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Initiatives" sheetId="3" state="visible" r:id="rId5"/>
    <sheet name="Monthly_I" sheetId="4" state="visible" r:id="rId6"/>
    <sheet name="Loyalty_Inputs" sheetId="5" state="visible" r:id="rId7"/>
    <sheet name="Prizes" sheetId="6" state="visible" r:id="rId8"/>
    <sheet name="Daily_Drops" sheetId="7" state="visible" r:id="rId9"/>
    <sheet name="Loyalty_Monthly" sheetId="8" state="visible" r:id="rId10"/>
    <sheet name="MVP_Budget" sheetId="9" state="visible" r:id="rId11"/>
    <sheet name="Thresholds" sheetId="10" state="visible" r:id="rId12"/>
    <sheet name="Portfolio" sheetId="11" state="visible" r:id="rId13"/>
    <sheet name="AB_Calculator" sheetId="12" state="visible" r:id="rId14"/>
    <sheet name="MC_Result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Монте-Карло: 0.25 … 0.4</t>
        </r>
      </text>
    </comment>
    <comment ref="C10" authorId="0">
      <text>
        <r>
          <rPr>
            <sz val="10"/>
            <rFont val="Arial"/>
            <family val="2"/>
          </rPr>
          <t xml:space="preserve">Монте-Карло: 0.1 … 0.15</t>
        </r>
      </text>
    </comment>
    <comment ref="C13" authorId="0">
      <text>
        <r>
          <rPr>
            <sz val="10"/>
            <rFont val="Arial"/>
            <family val="2"/>
          </rPr>
          <t xml:space="preserve">Монте-Карло: 0.08 … 0.2</t>
        </r>
      </text>
    </comment>
    <comment ref="C14" authorId="0">
      <text>
        <r>
          <rPr>
            <sz val="10"/>
            <rFont val="Arial"/>
            <family val="2"/>
          </rPr>
          <t xml:space="preserve">Монте-Карло: 6,000 … 15,000</t>
        </r>
      </text>
    </comment>
    <comment ref="C15" authorId="0">
      <text>
        <r>
          <rPr>
            <sz val="10"/>
            <rFont val="Arial"/>
            <family val="2"/>
          </rPr>
          <t xml:space="preserve">Монте-Карло: 0.04 … 0.14</t>
        </r>
      </text>
    </comment>
    <comment ref="C16" authorId="0">
      <text>
        <r>
          <rPr>
            <sz val="10"/>
            <rFont val="Arial"/>
            <family val="2"/>
          </rPr>
          <t xml:space="preserve">Монте-Карло: -4,000 … 0</t>
        </r>
      </text>
    </comment>
    <comment ref="C17" authorId="0">
      <text>
        <r>
          <rPr>
            <sz val="10"/>
            <rFont val="Arial"/>
            <family val="2"/>
          </rPr>
          <t xml:space="preserve">Монте-Карло: 0.015 … 0.05</t>
        </r>
      </text>
    </comment>
    <comment ref="C18" authorId="0">
      <text>
        <r>
          <rPr>
            <sz val="10"/>
            <rFont val="Arial"/>
            <family val="2"/>
          </rPr>
          <t xml:space="preserve">Монте-Карло: 100 … 600</t>
        </r>
      </text>
    </comment>
    <comment ref="C19" authorId="0">
      <text>
        <r>
          <rPr>
            <sz val="10"/>
            <rFont val="Arial"/>
            <family val="2"/>
          </rPr>
          <t xml:space="preserve">Монте-Карло: 30,000,000 … 120,000,000</t>
        </r>
      </text>
    </comment>
    <comment ref="C28" authorId="0">
      <text>
        <r>
          <rPr>
            <sz val="10"/>
            <rFont val="Arial"/>
            <family val="2"/>
          </rPr>
          <t xml:space="preserve">Монте-Карло: 3,000,000,000 … 8,000,000,000</t>
        </r>
      </text>
    </comment>
    <comment ref="D9" authorId="0">
      <text>
        <r>
          <rPr>
            <sz val="10"/>
            <rFont val="Arial"/>
            <family val="2"/>
          </rPr>
          <t xml:space="preserve">Монте-Карло: 0.18 … 0.26</t>
        </r>
      </text>
    </comment>
    <comment ref="D12" authorId="0">
      <text>
        <r>
          <rPr>
            <sz val="10"/>
            <rFont val="Arial"/>
            <family val="2"/>
          </rPr>
          <t xml:space="preserve">Монте-Карло: 4,000 … 6,000</t>
        </r>
      </text>
    </comment>
    <comment ref="D13" authorId="0">
      <text>
        <r>
          <rPr>
            <sz val="10"/>
            <rFont val="Arial"/>
            <family val="2"/>
          </rPr>
          <t xml:space="preserve">Монте-Карло: 0.0 … 0.0</t>
        </r>
      </text>
    </comment>
    <comment ref="D14" authorId="0">
      <text>
        <r>
          <rPr>
            <sz val="10"/>
            <rFont val="Arial"/>
            <family val="2"/>
          </rPr>
          <t xml:space="preserve">Монте-Карло: 0 … 0</t>
        </r>
      </text>
    </comment>
    <comment ref="D15" authorId="0">
      <text>
        <r>
          <rPr>
            <sz val="10"/>
            <rFont val="Arial"/>
            <family val="2"/>
          </rPr>
          <t xml:space="preserve">Монте-Карло: 0.04 … 0.15</t>
        </r>
      </text>
    </comment>
    <comment ref="D16" authorId="0">
      <text>
        <r>
          <rPr>
            <sz val="10"/>
            <rFont val="Arial"/>
            <family val="2"/>
          </rPr>
          <t xml:space="preserve">Монте-Карло: -6,000 … 0</t>
        </r>
      </text>
    </comment>
    <comment ref="D17" authorId="0">
      <text>
        <r>
          <rPr>
            <sz val="10"/>
            <rFont val="Arial"/>
            <family val="2"/>
          </rPr>
          <t xml:space="preserve">Монте-Карло: 0.01 … 0.05</t>
        </r>
      </text>
    </comment>
    <comment ref="D18" authorId="0">
      <text>
        <r>
          <rPr>
            <sz val="10"/>
            <rFont val="Arial"/>
            <family val="2"/>
          </rPr>
          <t xml:space="preserve">Монте-Карло: 200 … 800</t>
        </r>
      </text>
    </comment>
    <comment ref="D19" authorId="0">
      <text>
        <r>
          <rPr>
            <sz val="10"/>
            <rFont val="Arial"/>
            <family val="2"/>
          </rPr>
          <t xml:space="preserve">Монте-Карло: 0 … 0</t>
        </r>
      </text>
    </comment>
    <comment ref="D28" authorId="0">
      <text>
        <r>
          <rPr>
            <sz val="10"/>
            <rFont val="Arial"/>
            <family val="2"/>
          </rPr>
          <t xml:space="preserve">Монте-Карло: 200,000,000 … 500,000,000</t>
        </r>
      </text>
    </comment>
    <comment ref="E9" authorId="0">
      <text>
        <r>
          <rPr>
            <sz val="10"/>
            <rFont val="Arial"/>
            <family val="2"/>
          </rPr>
          <t xml:space="preserve">Монте-Карло: 0.1 … 0.2</t>
        </r>
      </text>
    </comment>
    <comment ref="E17" authorId="0">
      <text>
        <r>
          <rPr>
            <sz val="10"/>
            <rFont val="Arial"/>
            <family val="2"/>
          </rPr>
          <t xml:space="preserve">Монте-Карло: 0.0 … 0.002</t>
        </r>
      </text>
    </comment>
    <comment ref="E20" authorId="0">
      <text>
        <r>
          <rPr>
            <sz val="10"/>
            <rFont val="Arial"/>
            <family val="2"/>
          </rPr>
          <t xml:space="preserve">Монте-Карло: 0.85 … 0.95</t>
        </r>
      </text>
    </comment>
    <comment ref="E21" authorId="0">
      <text>
        <r>
          <rPr>
            <sz val="10"/>
            <rFont val="Arial"/>
            <family val="2"/>
          </rPr>
          <t xml:space="preserve">Монте-Карло: 0.08 … 0.18</t>
        </r>
      </text>
    </comment>
    <comment ref="E22" authorId="0">
      <text>
        <r>
          <rPr>
            <sz val="10"/>
            <rFont val="Arial"/>
            <family val="2"/>
          </rPr>
          <t xml:space="preserve">Монте-Карло: 0.3 … 0.6</t>
        </r>
      </text>
    </comment>
    <comment ref="E23" authorId="0">
      <text>
        <r>
          <rPr>
            <sz val="10"/>
            <rFont val="Arial"/>
            <family val="2"/>
          </rPr>
          <t xml:space="preserve">Монте-Карло: 5,000 … 12,000</t>
        </r>
      </text>
    </comment>
    <comment ref="E24" authorId="0">
      <text>
        <r>
          <rPr>
            <sz val="10"/>
            <rFont val="Arial"/>
            <family val="2"/>
          </rPr>
          <t xml:space="preserve">Монте-Карло: 0.0 … 0.1</t>
        </r>
      </text>
    </comment>
    <comment ref="E26" authorId="0">
      <text>
        <r>
          <rPr>
            <sz val="10"/>
            <rFont val="Arial"/>
            <family val="2"/>
          </rPr>
          <t xml:space="preserve">Монте-Карло: 0 … 0</t>
        </r>
      </text>
    </comment>
    <comment ref="E28" authorId="0">
      <text>
        <r>
          <rPr>
            <sz val="10"/>
            <rFont val="Arial"/>
            <family val="2"/>
          </rPr>
          <t xml:space="preserve">Монте-Карло: 250,000,000 … 550,000,000</t>
        </r>
      </text>
    </comment>
    <comment ref="F9" authorId="0">
      <text>
        <r>
          <rPr>
            <sz val="10"/>
            <rFont val="Arial"/>
            <family val="2"/>
          </rPr>
          <t xml:space="preserve">Монте-Карло: 0.04 … 0.08</t>
        </r>
      </text>
    </comment>
    <comment ref="F17" authorId="0">
      <text>
        <r>
          <rPr>
            <sz val="10"/>
            <rFont val="Arial"/>
            <family val="2"/>
          </rPr>
          <t xml:space="preserve">Монте-Карло: 0.0 … 0.0</t>
        </r>
      </text>
    </comment>
    <comment ref="F20" authorId="0">
      <text>
        <r>
          <rPr>
            <sz val="10"/>
            <rFont val="Arial"/>
            <family val="2"/>
          </rPr>
          <t xml:space="preserve">Монте-Карло: 0.7 … 0.88</t>
        </r>
      </text>
    </comment>
    <comment ref="F21" authorId="0">
      <text>
        <r>
          <rPr>
            <sz val="10"/>
            <rFont val="Arial"/>
            <family val="2"/>
          </rPr>
          <t xml:space="preserve">Монте-Карло: 0.12 … 0.3</t>
        </r>
      </text>
    </comment>
    <comment ref="F22" authorId="0">
      <text>
        <r>
          <rPr>
            <sz val="10"/>
            <rFont val="Arial"/>
            <family val="2"/>
          </rPr>
          <t xml:space="preserve">Монте-Карло: 0.15 … 0.35</t>
        </r>
      </text>
    </comment>
    <comment ref="F23" authorId="0">
      <text>
        <r>
          <rPr>
            <sz val="10"/>
            <rFont val="Arial"/>
            <family val="2"/>
          </rPr>
          <t xml:space="preserve">Монте-Карло: 3,000 … 12,000</t>
        </r>
      </text>
    </comment>
    <comment ref="F24" authorId="0">
      <text>
        <r>
          <rPr>
            <sz val="10"/>
            <rFont val="Arial"/>
            <family val="2"/>
          </rPr>
          <t xml:space="preserve">Монте-Карло: 0.1 … 0.35</t>
        </r>
      </text>
    </comment>
    <comment ref="F26" authorId="0">
      <text>
        <r>
          <rPr>
            <sz val="10"/>
            <rFont val="Arial"/>
            <family val="2"/>
          </rPr>
          <t xml:space="preserve">Монте-Карло: 4,000 … 9,000</t>
        </r>
      </text>
    </comment>
    <comment ref="F28" authorId="0">
      <text>
        <r>
          <rPr>
            <sz val="10"/>
            <rFont val="Arial"/>
            <family val="2"/>
          </rPr>
          <t xml:space="preserve">Монте-Карло: 100,000,000 … 250,000,000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Монте-Карло: 0.22 … 0.32</t>
        </r>
      </text>
    </comment>
    <comment ref="C5" authorId="0">
      <text>
        <r>
          <rPr>
            <sz val="10"/>
            <rFont val="Arial"/>
            <family val="2"/>
          </rPr>
          <t xml:space="preserve">Монте-Карло: 0.35 … 0.6</t>
        </r>
      </text>
    </comment>
    <comment ref="C6" authorId="0">
      <text>
        <r>
          <rPr>
            <sz val="10"/>
            <rFont val="Arial"/>
            <family val="2"/>
          </rPr>
          <t xml:space="preserve">Монте-Карло: 0.15 … 0.25</t>
        </r>
      </text>
    </comment>
    <comment ref="C12" authorId="0">
      <text>
        <r>
          <rPr>
            <sz val="10"/>
            <rFont val="Arial"/>
            <family val="2"/>
          </rPr>
          <t xml:space="preserve">Монте-Карло: 0.8 … 0.9</t>
        </r>
      </text>
    </comment>
    <comment ref="C13" authorId="0">
      <text>
        <r>
          <rPr>
            <sz val="10"/>
            <rFont val="Arial"/>
            <family val="2"/>
          </rPr>
          <t xml:space="preserve">Монте-Карло: 0.25 … 0.4</t>
        </r>
      </text>
    </comment>
    <comment ref="C14" authorId="0">
      <text>
        <r>
          <rPr>
            <sz val="10"/>
            <rFont val="Arial"/>
            <family val="2"/>
          </rPr>
          <t xml:space="preserve">Монте-Карло: 0.45 … 0.6</t>
        </r>
      </text>
    </comment>
    <comment ref="C15" authorId="0">
      <text>
        <r>
          <rPr>
            <sz val="10"/>
            <rFont val="Arial"/>
            <family val="2"/>
          </rPr>
          <t xml:space="preserve">Монте-Карло: 0.2 … 0.4</t>
        </r>
      </text>
    </comment>
    <comment ref="C17" authorId="0">
      <text>
        <r>
          <rPr>
            <sz val="10"/>
            <rFont val="Arial"/>
            <family val="2"/>
          </rPr>
          <t xml:space="preserve">Монте-Карло: 1,000,000,000.0 … 3,000,000,000.0</t>
        </r>
      </text>
    </comment>
    <comment ref="C18" authorId="0">
      <text>
        <r>
          <rPr>
            <sz val="10"/>
            <rFont val="Arial"/>
            <family val="2"/>
          </rPr>
          <t xml:space="preserve">Монте-Карло: 2,000,000,000.0 … 5,000,000,000.0</t>
        </r>
      </text>
    </comment>
    <comment ref="C19" authorId="0">
      <text>
        <r>
          <rPr>
            <sz val="10"/>
            <rFont val="Arial"/>
            <family val="2"/>
          </rPr>
          <t xml:space="preserve">Монте-Карло: 80,000,000 … 180,000,000</t>
        </r>
      </text>
    </comment>
    <comment ref="C20" authorId="0">
      <text>
        <r>
          <rPr>
            <sz val="10"/>
            <rFont val="Arial"/>
            <family val="2"/>
          </rPr>
          <t xml:space="preserve">Монте-Карло: 180,000,000 … 350,000,000</t>
        </r>
      </text>
    </comment>
    <comment ref="C21" authorId="0">
      <text>
        <r>
          <rPr>
            <sz val="10"/>
            <rFont val="Arial"/>
            <family val="2"/>
          </rPr>
          <t xml:space="preserve">Монте-Карло: 100,000,000 … 250,000,000</t>
        </r>
      </text>
    </comment>
    <comment ref="C22" authorId="0">
      <text>
        <r>
          <rPr>
            <sz val="10"/>
            <rFont val="Arial"/>
            <family val="2"/>
          </rPr>
          <t xml:space="preserve">Монте-Карло: 1,000,000,000.0 … 2,500,000,000.0</t>
        </r>
      </text>
    </comment>
    <comment ref="C23" authorId="0">
      <text>
        <r>
          <rPr>
            <sz val="10"/>
            <rFont val="Arial"/>
            <family val="2"/>
          </rPr>
          <t xml:space="preserve">Монте-Карло: 150,000,000 … 400,000,000</t>
        </r>
      </text>
    </comment>
    <comment ref="C25" authorId="0">
      <text>
        <r>
          <rPr>
            <sz val="10"/>
            <rFont val="Arial"/>
            <family val="2"/>
          </rPr>
          <t xml:space="preserve">Монте-Карло: 0.08 … 0.25</t>
        </r>
      </text>
    </comment>
    <comment ref="C26" authorId="0">
      <text>
        <r>
          <rPr>
            <sz val="10"/>
            <rFont val="Arial"/>
            <family val="2"/>
          </rPr>
          <t xml:space="preserve">Монте-Карло: 0.005 … 0.025</t>
        </r>
      </text>
    </comment>
    <comment ref="C27" authorId="0">
      <text>
        <r>
          <rPr>
            <sz val="10"/>
            <rFont val="Arial"/>
            <family val="2"/>
          </rPr>
          <t xml:space="preserve">Монте-Карло: 0.0015 … 0.008</t>
        </r>
      </text>
    </comment>
    <comment ref="C28" authorId="0">
      <text>
        <r>
          <rPr>
            <sz val="10"/>
            <rFont val="Arial"/>
            <family val="2"/>
          </rPr>
          <t xml:space="preserve">Монте-Карло: 12,000 … 28,000</t>
        </r>
      </text>
    </comment>
    <comment ref="C29" authorId="0">
      <text>
        <r>
          <rPr>
            <sz val="10"/>
            <rFont val="Arial"/>
            <family val="2"/>
          </rPr>
          <t xml:space="preserve">Монте-Карло: 0.02 … 0.05</t>
        </r>
      </text>
    </comment>
    <comment ref="C32" authorId="0">
      <text>
        <r>
          <rPr>
            <sz val="10"/>
            <rFont val="Arial"/>
            <family val="2"/>
          </rPr>
          <t xml:space="preserve">Монте-Карло: 0.004 … 0.015</t>
        </r>
      </text>
    </comment>
    <comment ref="C33" authorId="0">
      <text>
        <r>
          <rPr>
            <sz val="10"/>
            <rFont val="Arial"/>
            <family val="2"/>
          </rPr>
          <t xml:space="preserve">Монте-Карло: 0 … 150,000,000</t>
        </r>
      </text>
    </comment>
    <comment ref="C37" authorId="0">
      <text>
        <r>
          <rPr>
            <sz val="10"/>
            <rFont val="Arial"/>
            <family val="2"/>
          </rPr>
          <t xml:space="preserve">Монте-Карло: 0.002 … 0.008</t>
        </r>
      </text>
    </comment>
    <comment ref="C38" authorId="0">
      <text>
        <r>
          <rPr>
            <sz val="10"/>
            <rFont val="Arial"/>
            <family val="2"/>
          </rPr>
          <t xml:space="preserve">Монте-Карло: 8,000 … 18,000</t>
        </r>
      </text>
    </comment>
  </commentList>
</comments>
</file>

<file path=xl/sharedStrings.xml><?xml version="1.0" encoding="utf-8"?>
<sst xmlns="http://schemas.openxmlformats.org/spreadsheetml/2006/main" count="732" uniqueCount="574">
  <si>
    <t xml:space="preserve">Ucell v2 — 4 инициативы роста ARPU архивной базы + Loyalty program</t>
  </si>
  <si>
    <t xml:space="preserve">I1 Sunset / Migration → ТП дороже на 10–15% · I2 More-for-More · I3 Бустер при исчерпании + роуминг-промо · I4 Loyalty (кэшбэк, Daily Drops, Weekly Wins, Monthly Grand)</t>
  </si>
  <si>
    <t xml:space="preserve">Как пользоваться</t>
  </si>
  <si>
    <t xml:space="preserve">1. Жёлтые ячейки — гипотезы: заменить фактом из запроса данных (v2/docs/12_data_request_for_analysts.md).</t>
  </si>
  <si>
    <t xml:space="preserve">2. Синие — параметры (меняйте по итогам пилотов и MVP). Чёрные — формулы. Зелёные — ссылки на другие листы.</t>
  </si>
  <si>
    <t xml:space="preserve">3. Monthly_I и Loyalty_Monthly — помесячные движки на 36 мес. (M1 = ноябрь 2026).</t>
  </si>
  <si>
    <t xml:space="preserve">4. Prizes и Daily_Drops — каталог призов в сумах, фонды Weekly/Monthly, таблица вероятностей сундука.</t>
  </si>
  <si>
    <t xml:space="preserve">5. Thresholds — сравнение вариантов порога участия (O1–O5). MVP_Budget — бюджет пилота программы.</t>
  </si>
  <si>
    <t xml:space="preserve">6. MC_Results — вероятности из Монте-Карло (python v2/model/model_v2.py), это значения, не формулы.</t>
  </si>
  <si>
    <t xml:space="preserve">Единицы: сумы без НДС 12% (цены призов и абонплаты — с НДС, где указано). ARPU — по когорте архивных абонентов T0.</t>
  </si>
  <si>
    <t xml:space="preserve">Excel повторяет детерминированный прогон Python на модальных значениях.</t>
  </si>
  <si>
    <t xml:space="preserve">Базовые допущения (архивная когорта)</t>
  </si>
  <si>
    <t xml:space="preserve">Параметр</t>
  </si>
  <si>
    <t xml:space="preserve">Значение</t>
  </si>
  <si>
    <t xml:space="preserve">Ед.</t>
  </si>
  <si>
    <t xml:space="preserve">Источник / комментарий</t>
  </si>
  <si>
    <t xml:space="preserve">Абонентская база Ucell</t>
  </si>
  <si>
    <t xml:space="preserve">абон.</t>
  </si>
  <si>
    <t xml:space="preserve">Ucell: &gt;10,9 млн на начало 2026</t>
  </si>
  <si>
    <t xml:space="preserve">Доля абонентов на архивных ТП</t>
  </si>
  <si>
    <t xml:space="preserve">%</t>
  </si>
  <si>
    <t xml:space="preserve">HYPOTHESIS — запрос D1</t>
  </si>
  <si>
    <t xml:space="preserve">Доля активных среди архивных</t>
  </si>
  <si>
    <t xml:space="preserve">Активная архивная когорта (N)</t>
  </si>
  <si>
    <t xml:space="preserve">Формула</t>
  </si>
  <si>
    <t xml:space="preserve">ARPU архивной когорты (net)</t>
  </si>
  <si>
    <t xml:space="preserve">сум/мес</t>
  </si>
  <si>
    <t xml:space="preserve">HYPOTHESIS — запрос D2</t>
  </si>
  <si>
    <t xml:space="preserve">Месячный отток архивной когорты</t>
  </si>
  <si>
    <t xml:space="preserve">HYPOTHESIS — запрос D4</t>
  </si>
  <si>
    <t xml:space="preserve">НДС</t>
  </si>
  <si>
    <t xml:space="preserve">НК РУз: 12%</t>
  </si>
  <si>
    <t xml:space="preserve">Курс, сум за 1 USD</t>
  </si>
  <si>
    <t xml:space="preserve">сум</t>
  </si>
  <si>
    <t xml:space="preserve">ЦБ РУз, 2026</t>
  </si>
  <si>
    <t xml:space="preserve">Рынок мобильной связи, абонентов</t>
  </si>
  <si>
    <t xml:space="preserve">HYPOTHESIS</t>
  </si>
  <si>
    <t xml:space="preserve">Выручка когорты в месяц</t>
  </si>
  <si>
    <t xml:space="preserve">Перекрытие эффектов I1–I3</t>
  </si>
  <si>
    <t xml:space="preserve">Одни и те же абоненты в нескольких инициативах</t>
  </si>
  <si>
    <t xml:space="preserve">Инициативы I1–I3: параметры (синие) → производные → итоги (из Monthly_I)</t>
  </si>
  <si>
    <t xml:space="preserve">Ключ</t>
  </si>
  <si>
    <t xml:space="preserve">I1</t>
  </si>
  <si>
    <t xml:space="preserve">I2</t>
  </si>
  <si>
    <t xml:space="preserve">I3a</t>
  </si>
  <si>
    <t xml:space="preserve">I3b</t>
  </si>
  <si>
    <t xml:space="preserve">Название</t>
  </si>
  <si>
    <t xml:space="preserve">name</t>
  </si>
  <si>
    <t xml:space="preserve">Sunset / Migration старых неэффективных линеек → ТП дороже на 10–15%</t>
  </si>
  <si>
    <t xml:space="preserve">More-for-More: + абонплата и + трафик для когорты недооценённых линеек</t>
  </si>
  <si>
    <t xml:space="preserve">Пакет-бустер для исчерпывающих трафик (opt-in автопродление)</t>
  </si>
  <si>
    <t xml:space="preserve">Роуминг-пакет по акции (−50% первый месяц) для выезжающих</t>
  </si>
  <si>
    <t xml:space="preserve">Коротко</t>
  </si>
  <si>
    <t xml:space="preserve">short</t>
  </si>
  <si>
    <t xml:space="preserve">Sunset / Migration</t>
  </si>
  <si>
    <t xml:space="preserve">More-for-More</t>
  </si>
  <si>
    <t xml:space="preserve">Бустер при исчерпании</t>
  </si>
  <si>
    <t xml:space="preserve">Роуминг-промо</t>
  </si>
  <si>
    <t xml:space="preserve">Тип механики</t>
  </si>
  <si>
    <t xml:space="preserve">type</t>
  </si>
  <si>
    <t xml:space="preserve">reprice</t>
  </si>
  <si>
    <t xml:space="preserve">adoption</t>
  </si>
  <si>
    <t xml:space="preserve">Сложность биллинг/интеграции (1–5)</t>
  </si>
  <si>
    <t xml:space="preserve">complexity</t>
  </si>
  <si>
    <t xml:space="preserve">ARPU целевого сегмента, сум</t>
  </si>
  <si>
    <t xml:space="preserve">segment_arpu</t>
  </si>
  <si>
    <t xml:space="preserve">Доля целевой группы от когорты</t>
  </si>
  <si>
    <t xml:space="preserve">eligible_share</t>
  </si>
  <si>
    <t xml:space="preserve">Новый ТП дороже на, % (I1)</t>
  </si>
  <si>
    <t xml:space="preserve">price_up_pct</t>
  </si>
  <si>
    <t xml:space="preserve">Текущая абонплата мигрируемых линеек, с НДС (I1)</t>
  </si>
  <si>
    <t xml:space="preserve">base_fee_gross</t>
  </si>
  <si>
    <t xml:space="preserve">Повышение абонплаты, сум с НДС (I2)</t>
  </si>
  <si>
    <t xml:space="preserve">price_up_gross</t>
  </si>
  <si>
    <t xml:space="preserve">Доля выбравших ТП крупнее</t>
  </si>
  <si>
    <t xml:space="preserve">upsell_share</t>
  </si>
  <si>
    <t xml:space="preserve">Доп. ARPU у выбравших крупнее, сум</t>
  </si>
  <si>
    <t xml:space="preserve">upsell_delta</t>
  </si>
  <si>
    <t xml:space="preserve">Доля даунгрейда</t>
  </si>
  <si>
    <t xml:space="preserve">downgrade</t>
  </si>
  <si>
    <t xml:space="preserve">Δ выручки при даунгрейде, сум</t>
  </si>
  <si>
    <t xml:space="preserve">downgrade_delta</t>
  </si>
  <si>
    <t xml:space="preserve">Доп. отток</t>
  </si>
  <si>
    <t xml:space="preserve">churn_incr</t>
  </si>
  <si>
    <t xml:space="preserve">Себестоимость доп. трафика, сум/мес</t>
  </si>
  <si>
    <t xml:space="preserve">data_cost_m</t>
  </si>
  <si>
    <t xml:space="preserve">Экономия OPEX, сум/мес</t>
  </si>
  <si>
    <t xml:space="preserve">opex_savings_m</t>
  </si>
  <si>
    <t xml:space="preserve">Охват</t>
  </si>
  <si>
    <t xml:space="preserve">reach</t>
  </si>
  <si>
    <t xml:space="preserve">Конверсия</t>
  </si>
  <si>
    <t xml:space="preserve">takeup</t>
  </si>
  <si>
    <t xml:space="preserve">Каннибализация</t>
  </si>
  <si>
    <t xml:space="preserve">cannibal</t>
  </si>
  <si>
    <t xml:space="preserve">ΔARPU на адоптера, сум</t>
  </si>
  <si>
    <t xml:space="preserve">delta</t>
  </si>
  <si>
    <t xml:space="preserve">Снижение оттока адоптеров</t>
  </si>
  <si>
    <t xml:space="preserve">churn_red</t>
  </si>
  <si>
    <t xml:space="preserve">Стоимость контакта, сум</t>
  </si>
  <si>
    <t xml:space="preserve">cost_per_contact</t>
  </si>
  <si>
    <t xml:space="preserve">Разовая стоимость на адоптера, сум</t>
  </si>
  <si>
    <t xml:space="preserve">cost_per_adopter_once</t>
  </si>
  <si>
    <t xml:space="preserve">Перем. затраты на адоптера, сум/мес</t>
  </si>
  <si>
    <t xml:space="preserve">var_cost_m</t>
  </si>
  <si>
    <t xml:space="preserve">Разовые затраты, сум</t>
  </si>
  <si>
    <t xml:space="preserve">one_time</t>
  </si>
  <si>
    <t xml:space="preserve">OPEX, сум/мес</t>
  </si>
  <si>
    <t xml:space="preserve">opex_m</t>
  </si>
  <si>
    <t xml:space="preserve">Маржинальность</t>
  </si>
  <si>
    <t xml:space="preserve">margin</t>
  </si>
  <si>
    <t xml:space="preserve">Месяц запуска / волна 1</t>
  </si>
  <si>
    <t xml:space="preserve">L1</t>
  </si>
  <si>
    <t xml:space="preserve">Доля волны 1 (reprice)</t>
  </si>
  <si>
    <t xml:space="preserve">frac1</t>
  </si>
  <si>
    <t xml:space="preserve">Месяц волны 2 (reprice)</t>
  </si>
  <si>
    <t xml:space="preserve">L2</t>
  </si>
  <si>
    <t xml:space="preserve">Набор, мес. (adoption)</t>
  </si>
  <si>
    <t xml:space="preserve">ramp</t>
  </si>
  <si>
    <t xml:space="preserve">Вероятность запуска</t>
  </si>
  <si>
    <t xml:space="preserve">exec_prob</t>
  </si>
  <si>
    <t xml:space="preserve">ПРОИЗВОДНЫЕ</t>
  </si>
  <si>
    <t xml:space="preserve">Целевая группа, абон.</t>
  </si>
  <si>
    <t xml:space="preserve">elig</t>
  </si>
  <si>
    <t xml:space="preserve">Охвачено, абон.</t>
  </si>
  <si>
    <t xml:space="preserve">contacted</t>
  </si>
  <si>
    <t xml:space="preserve">Адоптеры при полном наборе</t>
  </si>
  <si>
    <t xml:space="preserve">a_final</t>
  </si>
  <si>
    <t xml:space="preserve">Повышение абонплаты net, сум</t>
  </si>
  <si>
    <t xml:space="preserve">up_net</t>
  </si>
  <si>
    <t xml:space="preserve">Остаются и платят больше</t>
  </si>
  <si>
    <t xml:space="preserve">stay</t>
  </si>
  <si>
    <t xml:space="preserve">Даунгрейд, абон.</t>
  </si>
  <si>
    <t xml:space="preserve">down</t>
  </si>
  <si>
    <t xml:space="preserve">Доп. отток всего, абон.</t>
  </si>
  <si>
    <t xml:space="preserve">lost_total</t>
  </si>
  <si>
    <t xml:space="preserve">Месяцев подготовки</t>
  </si>
  <si>
    <t xml:space="preserve">build</t>
  </si>
  <si>
    <t xml:space="preserve">Месяц оценки (12-й после старта)</t>
  </si>
  <si>
    <t xml:space="preserve">eval_m</t>
  </si>
  <si>
    <t xml:space="preserve">ИТОГИ</t>
  </si>
  <si>
    <t xml:space="preserve">Выручка Y1</t>
  </si>
  <si>
    <t xml:space="preserve">rev1</t>
  </si>
  <si>
    <t xml:space="preserve">Выручка Y2</t>
  </si>
  <si>
    <t xml:space="preserve">rev2</t>
  </si>
  <si>
    <t xml:space="preserve">Выручка Y3</t>
  </si>
  <si>
    <t xml:space="preserve">rev3</t>
  </si>
  <si>
    <t xml:space="preserve">Run-rate/год на M24</t>
  </si>
  <si>
    <t xml:space="preserve">runrate</t>
  </si>
  <si>
    <t xml:space="preserve">Затраты 24 мес.</t>
  </si>
  <si>
    <t xml:space="preserve">cost24</t>
  </si>
  <si>
    <t xml:space="preserve">Вклад 24 мес.</t>
  </si>
  <si>
    <t xml:space="preserve">contrib24</t>
  </si>
  <si>
    <t xml:space="preserve">Вклад 36 мес.</t>
  </si>
  <si>
    <t xml:space="preserve">contrib36</t>
  </si>
  <si>
    <t xml:space="preserve">ROI 24 мес.</t>
  </si>
  <si>
    <t xml:space="preserve">roi24</t>
  </si>
  <si>
    <t xml:space="preserve">ΔARPU когорты на месяц оценки</t>
  </si>
  <si>
    <t xml:space="preserve">upl_eval</t>
  </si>
  <si>
    <t xml:space="preserve">ΔARPU когорты на M24</t>
  </si>
  <si>
    <t xml:space="preserve">upl24</t>
  </si>
  <si>
    <t xml:space="preserve">Δ абонентов на M24</t>
  </si>
  <si>
    <t xml:space="preserve">dsubs24</t>
  </si>
  <si>
    <t xml:space="preserve">Ожидаемый вклад 24м × P(запуска)</t>
  </si>
  <si>
    <t xml:space="preserve">exp24</t>
  </si>
  <si>
    <t xml:space="preserve">Помесячный движок I1–I3 (36 мес., сум без НДС)</t>
  </si>
  <si>
    <t xml:space="preserve">Месяц</t>
  </si>
  <si>
    <t xml:space="preserve">S0: абоненты когорты без инициатив</t>
  </si>
  <si>
    <t xml:space="preserve">R0: выручка когорты без инициатив</t>
  </si>
  <si>
    <t xml:space="preserve">I1 — Sunset / Migration старых неэффективных линеек → ТП дороже на 10–15%</t>
  </si>
  <si>
    <t xml:space="preserve">Доля набора</t>
  </si>
  <si>
    <t xml:space="preserve">f</t>
  </si>
  <si>
    <t xml:space="preserve">Адоптеры (цель)</t>
  </si>
  <si>
    <t xml:space="preserve">target</t>
  </si>
  <si>
    <t xml:space="preserve">Новые адоптеры</t>
  </si>
  <si>
    <t xml:space="preserve">new</t>
  </si>
  <si>
    <t xml:space="preserve">Удержанные</t>
  </si>
  <si>
    <t xml:space="preserve">R</t>
  </si>
  <si>
    <t xml:space="preserve">Пул адоптеров</t>
  </si>
  <si>
    <t xml:space="preserve">pool</t>
  </si>
  <si>
    <t xml:space="preserve">Вес волн × затухание</t>
  </si>
  <si>
    <t xml:space="preserve">w</t>
  </si>
  <si>
    <t xml:space="preserve">Новый доп. отток</t>
  </si>
  <si>
    <t xml:space="preserve">newlost</t>
  </si>
  <si>
    <t xml:space="preserve">Потерянные</t>
  </si>
  <si>
    <t xml:space="preserve">L</t>
  </si>
  <si>
    <t xml:space="preserve">Инкр. выручка</t>
  </si>
  <si>
    <t xml:space="preserve">rev</t>
  </si>
  <si>
    <t xml:space="preserve">Затраты</t>
  </si>
  <si>
    <t xml:space="preserve">cost</t>
  </si>
  <si>
    <t xml:space="preserve">Вклад</t>
  </si>
  <si>
    <t xml:space="preserve">contrib</t>
  </si>
  <si>
    <t xml:space="preserve">Δ абонентов</t>
  </si>
  <si>
    <t xml:space="preserve">dsubs</t>
  </si>
  <si>
    <t xml:space="preserve">I2 — More-for-More: + абонплата и + трафик для когорты недооценённых линеек</t>
  </si>
  <si>
    <t xml:space="preserve">I3a — Пакет-бустер для исчерпывающих трафик (opt-in автопродление)</t>
  </si>
  <si>
    <t xml:space="preserve">I3b — Роуминг-пакет по акции (−50% первый месяц) для выезжающих</t>
  </si>
  <si>
    <t xml:space="preserve">Loyalty program: параметры</t>
  </si>
  <si>
    <t xml:space="preserve">Комментарий</t>
  </si>
  <si>
    <t xml:space="preserve">MAU приложения / база</t>
  </si>
  <si>
    <t xml:space="preserve">app_mau_share</t>
  </si>
  <si>
    <t xml:space="preserve">HYPOTHESIS — запрос L1</t>
  </si>
  <si>
    <t xml:space="preserve">Вступили в программу из MAU</t>
  </si>
  <si>
    <t xml:space="preserve">enroll_of_mau</t>
  </si>
  <si>
    <t xml:space="preserve">HYPOTHESIS; проверяется MVP</t>
  </si>
  <si>
    <t xml:space="preserve">Доля архивных среди участников</t>
  </si>
  <si>
    <t xml:space="preserve">archive_share_members</t>
  </si>
  <si>
    <t xml:space="preserve">Участников MVP</t>
  </si>
  <si>
    <t xml:space="preserve">mvp_participants</t>
  </si>
  <si>
    <t xml:space="preserve">Стратифицированная выборка</t>
  </si>
  <si>
    <t xml:space="preserve">Месяц старта MVP (M5 = март 2027)</t>
  </si>
  <si>
    <t xml:space="preserve">mvp_start</t>
  </si>
  <si>
    <t xml:space="preserve">Длительность MVP, мес.</t>
  </si>
  <si>
    <t xml:space="preserve">mvp_months</t>
  </si>
  <si>
    <t xml:space="preserve">Месяц старта масштаба (M11 = сентябрь 2027)</t>
  </si>
  <si>
    <t xml:space="preserve">scale_start</t>
  </si>
  <si>
    <t xml:space="preserve">Набор участников при масштабе, мес.</t>
  </si>
  <si>
    <t xml:space="preserve">scale_ramp</t>
  </si>
  <si>
    <t xml:space="preserve">Доля оплат вовремя (кэшбэк только им)</t>
  </si>
  <si>
    <t xml:space="preserve">ontime_share</t>
  </si>
  <si>
    <t xml:space="preserve">запрос L3</t>
  </si>
  <si>
    <t xml:space="preserve">Breakage: монеты не потрачены (12 мес.)</t>
  </si>
  <si>
    <t xml:space="preserve">breakage</t>
  </si>
  <si>
    <t xml:space="preserve">Бенчмарки 25–40%</t>
  </si>
  <si>
    <t xml:space="preserve">Себестоимость погашения монет</t>
  </si>
  <si>
    <t xml:space="preserve">redeem_cost_ratio</t>
  </si>
  <si>
    <t xml:space="preserve">50% услуги×0,15 + 30% счёт×1 + 20% мерч×0,7</t>
  </si>
  <si>
    <t xml:space="preserve">Ежедневно открывают сундук (доля участников)</t>
  </si>
  <si>
    <t xml:space="preserve">drops_dau_share</t>
  </si>
  <si>
    <t xml:space="preserve">проверяется MVP</t>
  </si>
  <si>
    <t xml:space="preserve">Призовые фонды MVP, доля от масштаба</t>
  </si>
  <si>
    <t xml:space="preserve">mvp_prize_share</t>
  </si>
  <si>
    <t xml:space="preserve">Разработка MVP, сум</t>
  </si>
  <si>
    <t xml:space="preserve">mvp_build</t>
  </si>
  <si>
    <t xml:space="preserve">web-view в приложении</t>
  </si>
  <si>
    <t xml:space="preserve">Разработка масштаба, сум</t>
  </si>
  <si>
    <t xml:space="preserve">scale_build</t>
  </si>
  <si>
    <t xml:space="preserve">OPEX MVP, сум/мес</t>
  </si>
  <si>
    <t xml:space="preserve">mvp_opex_m</t>
  </si>
  <si>
    <t xml:space="preserve">OPEX программы, сум/мес</t>
  </si>
  <si>
    <t xml:space="preserve">команда, лицензии, фулфилмент, КЦ</t>
  </si>
  <si>
    <t xml:space="preserve">Маркетинг, сум/мес</t>
  </si>
  <si>
    <t xml:space="preserve">marketing_m</t>
  </si>
  <si>
    <t xml:space="preserve">Маркетинг запуска масштаба, сум</t>
  </si>
  <si>
    <t xml:space="preserve">launch_marketing</t>
  </si>
  <si>
    <t xml:space="preserve">Маркетинг MVP, сум</t>
  </si>
  <si>
    <t xml:space="preserve">mvp_marketing</t>
  </si>
  <si>
    <t xml:space="preserve">Месячный отток участников (база)</t>
  </si>
  <si>
    <t xml:space="preserve">member_churn_base</t>
  </si>
  <si>
    <t xml:space="preserve">запрос L4</t>
  </si>
  <si>
    <t xml:space="preserve">Снижение оттока участников (отн.)</t>
  </si>
  <si>
    <t xml:space="preserve">churn_reduction</t>
  </si>
  <si>
    <t xml:space="preserve">T-Mobile Tuesdays −27% (с самоотбором)</t>
  </si>
  <si>
    <t xml:space="preserve">Рост выручки от оплат вовремя</t>
  </si>
  <si>
    <t xml:space="preserve">ontime_rev_uplift</t>
  </si>
  <si>
    <t xml:space="preserve">H2 MVP</t>
  </si>
  <si>
    <t xml:space="preserve">Доп. переходы на ТП ≥ 60 тыс., в мес.</t>
  </si>
  <si>
    <t xml:space="preserve">upgrade_rate_m</t>
  </si>
  <si>
    <t xml:space="preserve">H1 MVP — главный драйвер</t>
  </si>
  <si>
    <t xml:space="preserve">ΔARPU при переходе, сум</t>
  </si>
  <si>
    <t xml:space="preserve">upgrade_delta</t>
  </si>
  <si>
    <t xml:space="preserve">Club+ Pass: доля участников &lt; 60 тыс.</t>
  </si>
  <si>
    <t xml:space="preserve">pass_adoption</t>
  </si>
  <si>
    <t xml:space="preserve">H3 MVP</t>
  </si>
  <si>
    <t xml:space="preserve">Club+ Pass: цена с НДС, сум/мес</t>
  </si>
  <si>
    <t xml:space="preserve">pass_price_gross</t>
  </si>
  <si>
    <t xml:space="preserve">Себестоимость ценности Pass</t>
  </si>
  <si>
    <t xml:space="preserve">pass_value_cost</t>
  </si>
  <si>
    <t xml:space="preserve">ГБ, ×1,5 кэшбэк</t>
  </si>
  <si>
    <t xml:space="preserve">Допродажи в приложении (при DAU 30%)</t>
  </si>
  <si>
    <t xml:space="preserve">engagement_upsell</t>
  </si>
  <si>
    <t xml:space="preserve">Платные размещения партнёров, сум/мес (с M+6 масштаба)</t>
  </si>
  <si>
    <t xml:space="preserve">partner_cash_m</t>
  </si>
  <si>
    <t xml:space="preserve">Маржинальность доп. выручки</t>
  </si>
  <si>
    <t xml:space="preserve">ARPU архивного участника, сум</t>
  </si>
  <si>
    <t xml:space="preserve">archive_member_arpu</t>
  </si>
  <si>
    <t xml:space="preserve">запрос L1</t>
  </si>
  <si>
    <t xml:space="preserve">Отток архивных участников</t>
  </si>
  <si>
    <t xml:space="preserve">archive_churn_base</t>
  </si>
  <si>
    <t xml:space="preserve">Архивные: переход на актуальный ТП, в мес.</t>
  </si>
  <si>
    <t xml:space="preserve">archive_upgrade_rate_m</t>
  </si>
  <si>
    <t xml:space="preserve">Архивные: ΔARPU при переходе, сум</t>
  </si>
  <si>
    <t xml:space="preserve">archive_upgrade_delta</t>
  </si>
  <si>
    <t xml:space="preserve">Распределение участников по абонплате (HYPOTHESIS — запрос L2)</t>
  </si>
  <si>
    <t xml:space="preserve">Полоса</t>
  </si>
  <si>
    <t xml:space="preserve">Доля участников</t>
  </si>
  <si>
    <t xml:space="preserve">Доля архивных участников</t>
  </si>
  <si>
    <t xml:space="preserve">Средняя АП с НДС</t>
  </si>
  <si>
    <t xml:space="preserve">Кэшбэк</t>
  </si>
  <si>
    <t xml:space="preserve">Шансы/нед. (O5)</t>
  </si>
  <si>
    <t xml:space="preserve">АП &lt; 30 тыс.</t>
  </si>
  <si>
    <t xml:space="preserve">lt30</t>
  </si>
  <si>
    <t xml:space="preserve">АП 30–59 тыс.</t>
  </si>
  <si>
    <t xml:space="preserve">30_59</t>
  </si>
  <si>
    <t xml:space="preserve">АП 60–79 тыс.</t>
  </si>
  <si>
    <t xml:space="preserve">60_79</t>
  </si>
  <si>
    <t xml:space="preserve">АП ≥ 80 тыс.</t>
  </si>
  <si>
    <t xml:space="preserve">ge80</t>
  </si>
  <si>
    <t xml:space="preserve">ARPU участника net</t>
  </si>
  <si>
    <t xml:space="preserve">arpu_net</t>
  </si>
  <si>
    <t xml:space="preserve">Начисляется монет на участника/мес</t>
  </si>
  <si>
    <t xml:space="preserve">earn</t>
  </si>
  <si>
    <t xml:space="preserve">Средняя ставка кэшбэка</t>
  </si>
  <si>
    <t xml:space="preserve">cb_avg</t>
  </si>
  <si>
    <t xml:space="preserve">Доля участников с АП &lt; 60 тыс.</t>
  </si>
  <si>
    <t xml:space="preserve">below60</t>
  </si>
  <si>
    <t xml:space="preserve">Монет на архивного участника/мес</t>
  </si>
  <si>
    <t xml:space="preserve">a_earn</t>
  </si>
  <si>
    <t xml:space="preserve">Доля архивных участников &lt; 60 тыс.</t>
  </si>
  <si>
    <t xml:space="preserve">a_below60</t>
  </si>
  <si>
    <t xml:space="preserve">Участников при полном масштабе</t>
  </si>
  <si>
    <t xml:space="preserve">full</t>
  </si>
  <si>
    <t xml:space="preserve">Club+ Pass net, сум</t>
  </si>
  <si>
    <t xml:space="preserve">pass_net</t>
  </si>
  <si>
    <t xml:space="preserve">Проверка долей</t>
  </si>
  <si>
    <t xml:space="preserve">check</t>
  </si>
  <si>
    <t xml:space="preserve">Каталог призов (цены — ориентиры 10/2026, уточнить у закупок) и призовые фонды</t>
  </si>
  <si>
    <t xml:space="preserve">Приз</t>
  </si>
  <si>
    <t xml:space="preserve">Цена, сум с НДС</t>
  </si>
  <si>
    <t xml:space="preserve">Источник</t>
  </si>
  <si>
    <t xml:space="preserve">car_onix</t>
  </si>
  <si>
    <t xml:space="preserve">Chevrolet Onix 1LS MT</t>
  </si>
  <si>
    <t xml:space="preserve">kursiv.media, 04/2026</t>
  </si>
  <si>
    <t xml:space="preserve">car_cobalt</t>
  </si>
  <si>
    <t xml:space="preserve">Chevrolet Cobalt</t>
  </si>
  <si>
    <t xml:space="preserve">trip_turkey2</t>
  </si>
  <si>
    <t xml:space="preserve">Путешествие в Турцию на двоих (7 ночей)</t>
  </si>
  <si>
    <t xml:space="preserve">оценка ~$2 600</t>
  </si>
  <si>
    <t xml:space="preserve">umrah2</t>
  </si>
  <si>
    <t xml:space="preserve">Умра на двоих</t>
  </si>
  <si>
    <t xml:space="preserve">оценка ~$2 000/чел.</t>
  </si>
  <si>
    <t xml:space="preserve">domestic_trip2</t>
  </si>
  <si>
    <t xml:space="preserve">Самарканд–Бухара–Хива на двоих (Afrosiyob + отель)</t>
  </si>
  <si>
    <t xml:space="preserve">оценка</t>
  </si>
  <si>
    <t xml:space="preserve">iphone17</t>
  </si>
  <si>
    <t xml:space="preserve">iPhone 17 256 ГБ</t>
  </si>
  <si>
    <t xml:space="preserve">оценка, OLX/ритейл 11,3–13 млн</t>
  </si>
  <si>
    <t xml:space="preserve">galaxy_a</t>
  </si>
  <si>
    <t xml:space="preserve">Samsung Galaxy A (A36/A56)</t>
  </si>
  <si>
    <t xml:space="preserve">tablet</t>
  </si>
  <si>
    <t xml:space="preserve">Планшет Samsung Galaxy Tab A9+</t>
  </si>
  <si>
    <t xml:space="preserve">airpods</t>
  </si>
  <si>
    <t xml:space="preserve">AirPods 4</t>
  </si>
  <si>
    <t xml:space="preserve">оценка (MSRP $129 + импорт)</t>
  </si>
  <si>
    <t xml:space="preserve">jbl</t>
  </si>
  <si>
    <t xml:space="preserve">Наушники JBL Tune</t>
  </si>
  <si>
    <t xml:space="preserve">concert_pair</t>
  </si>
  <si>
    <t xml:space="preserve">2 билета на концерт</t>
  </si>
  <si>
    <t xml:space="preserve">cinema_pair</t>
  </si>
  <si>
    <t xml:space="preserve">2 билета в кино</t>
  </si>
  <si>
    <t xml:space="preserve">Premier Cinema 80–100 тыс./билет</t>
  </si>
  <si>
    <t xml:space="preserve">hoodie</t>
  </si>
  <si>
    <t xml:space="preserve">Худи с принтом (мерч)</t>
  </si>
  <si>
    <t xml:space="preserve">OLX: DTF-печать 100–180 тыс.</t>
  </si>
  <si>
    <t xml:space="preserve">cap</t>
  </si>
  <si>
    <t xml:space="preserve">Кепка / шоппер</t>
  </si>
  <si>
    <t xml:space="preserve">powerbank</t>
  </si>
  <si>
    <t xml:space="preserve">Power bank 10 000 мА·ч</t>
  </si>
  <si>
    <t xml:space="preserve">free_year</t>
  </si>
  <si>
    <t xml:space="preserve">Год связи бесплатно (АП 100 тыс./мес)</t>
  </si>
  <si>
    <t xml:space="preserve">расчёт</t>
  </si>
  <si>
    <t xml:space="preserve">data_5gb</t>
  </si>
  <si>
    <t xml:space="preserve">5 ГБ интернета (себестоимость)</t>
  </si>
  <si>
    <t xml:space="preserve">~250 сум/ГБ маржинально</t>
  </si>
  <si>
    <t xml:space="preserve">partner_voucher</t>
  </si>
  <si>
    <t xml:space="preserve">Ваучер партнёра (номинал 100 тыс.)</t>
  </si>
  <si>
    <t xml:space="preserve">100% финансирует партнёр</t>
  </si>
  <si>
    <t xml:space="preserve">Weekly Wins — еженедельный фонд (масштаб)</t>
  </si>
  <si>
    <t xml:space="preserve">Кол-во в неделю</t>
  </si>
  <si>
    <t xml:space="preserve">Софинансирует партнёр</t>
  </si>
  <si>
    <t xml:space="preserve">Затраты/нед., сум</t>
  </si>
  <si>
    <t xml:space="preserve">Итого в неделю</t>
  </si>
  <si>
    <t xml:space="preserve">Итого в месяц (×52/12)</t>
  </si>
  <si>
    <t xml:space="preserve">Daily Drops — еженедельный инвентарь (масштаб)</t>
  </si>
  <si>
    <t xml:space="preserve">Monthly Grand — календарь на 12 месяцев</t>
  </si>
  <si>
    <t xml:space="preserve">Стоимость, сум</t>
  </si>
  <si>
    <t xml:space="preserve">Сен</t>
  </si>
  <si>
    <t xml:space="preserve">Окт</t>
  </si>
  <si>
    <t xml:space="preserve">Ноя</t>
  </si>
  <si>
    <t xml:space="preserve">Дек</t>
  </si>
  <si>
    <t xml:space="preserve">Янв</t>
  </si>
  <si>
    <t xml:space="preserve">Фев</t>
  </si>
  <si>
    <t xml:space="preserve">5 × iPhone 17</t>
  </si>
  <si>
    <t xml:space="preserve">Мар</t>
  </si>
  <si>
    <t xml:space="preserve">Апр</t>
  </si>
  <si>
    <t xml:space="preserve">Май</t>
  </si>
  <si>
    <t xml:space="preserve">10 × год связи бесплатно</t>
  </si>
  <si>
    <t xml:space="preserve">Июн</t>
  </si>
  <si>
    <t xml:space="preserve">Июл</t>
  </si>
  <si>
    <t xml:space="preserve">Авг</t>
  </si>
  <si>
    <t xml:space="preserve">Итого за год</t>
  </si>
  <si>
    <t xml:space="preserve">Накладные (логистика, нотариус/комиссия, резерв налогов)</t>
  </si>
  <si>
    <t xml:space="preserve">В среднем в месяц с накладными</t>
  </si>
  <si>
    <t xml:space="preserve">Daily Drops: что выпадает из сундука (цифровые призы) и недельный бюджет</t>
  </si>
  <si>
    <t xml:space="preserve">Вероятность</t>
  </si>
  <si>
    <t xml:space="preserve">Себестоимость, сум</t>
  </si>
  <si>
    <t xml:space="preserve">Ожидаемо на открытие, сум</t>
  </si>
  <si>
    <t xml:space="preserve">30–100 Ucell Coins</t>
  </si>
  <si>
    <t xml:space="preserve">65 монет × 70% погашения × 0,515 себестоимости</t>
  </si>
  <si>
    <t xml:space="preserve">300 МБ – 1 ГБ интернета</t>
  </si>
  <si>
    <t xml:space="preserve">0,6 ГБ × ~250 сум/ГБ маржинальной себестоимости</t>
  </si>
  <si>
    <t xml:space="preserve">30 мин внутри сети / безлимит мессенджеров на сутки</t>
  </si>
  <si>
    <t xml:space="preserve">Купон партнёра (−10…30%)</t>
  </si>
  <si>
    <t xml:space="preserve">финансирует партнёр, наша стоимость — платформа</t>
  </si>
  <si>
    <t xml:space="preserve">Жетон серии: +1 шанс в Weekly Wins</t>
  </si>
  <si>
    <t xml:space="preserve">только шанс</t>
  </si>
  <si>
    <t xml:space="preserve">Слот инвентаря (кино, мерч, наушники, смартфон)</t>
  </si>
  <si>
    <t xml:space="preserve">лимит в неделю, бюджет — отдельной строкой</t>
  </si>
  <si>
    <t xml:space="preserve">Итого</t>
  </si>
  <si>
    <t xml:space="preserve">Проверка: вероятности = 100%</t>
  </si>
  <si>
    <t xml:space="preserve">Недельный бюджет Daily Drops при масштабе</t>
  </si>
  <si>
    <t xml:space="preserve">Участников</t>
  </si>
  <si>
    <t xml:space="preserve">Открытий в неделю</t>
  </si>
  <si>
    <t xml:space="preserve">Цифровые призы, сум/нед.</t>
  </si>
  <si>
    <t xml:space="preserve">Инвентарь, сум/нед. (лист Prizes)</t>
  </si>
  <si>
    <t xml:space="preserve">Итого Daily Drops, сум/нед.</t>
  </si>
  <si>
    <t xml:space="preserve">Стоимость на одно открытие, сум</t>
  </si>
  <si>
    <t xml:space="preserve">Правило безубыточности: ≤ доп. маржа от допродаж на одно открытие, сум</t>
  </si>
  <si>
    <t xml:space="preserve">Loyalty program: помесячный движок (36 мес.; MVP M5–M7, масштаб с M11)</t>
  </si>
  <si>
    <t xml:space="preserve">Участники</t>
  </si>
  <si>
    <t xml:space="preserve">mem</t>
  </si>
  <si>
    <t xml:space="preserve">Коэф. призовых фондов</t>
  </si>
  <si>
    <t xml:space="preserve">pf</t>
  </si>
  <si>
    <t xml:space="preserve">Разработка</t>
  </si>
  <si>
    <t xml:space="preserve">c_build</t>
  </si>
  <si>
    <t xml:space="preserve">OPEX</t>
  </si>
  <si>
    <t xml:space="preserve">c_opex</t>
  </si>
  <si>
    <t xml:space="preserve">Маркетинг</t>
  </si>
  <si>
    <t xml:space="preserve">c_mkt</t>
  </si>
  <si>
    <t xml:space="preserve">Кэшбэк (себестоимость погашений)</t>
  </si>
  <si>
    <t xml:space="preserve">c_cb</t>
  </si>
  <si>
    <t xml:space="preserve">Daily Drops — цифровые</t>
  </si>
  <si>
    <t xml:space="preserve">c_dd</t>
  </si>
  <si>
    <t xml:space="preserve">Daily Drops — инвентарь</t>
  </si>
  <si>
    <t xml:space="preserve">c_inv</t>
  </si>
  <si>
    <t xml:space="preserve">Weekly Wins</t>
  </si>
  <si>
    <t xml:space="preserve">c_ww</t>
  </si>
  <si>
    <t xml:space="preserve">Monthly Grand</t>
  </si>
  <si>
    <t xml:space="preserve">c_gr</t>
  </si>
  <si>
    <t xml:space="preserve">ЗАТРАТЫ ВСЕГО</t>
  </si>
  <si>
    <t xml:space="preserve">Удержанные участники</t>
  </si>
  <si>
    <t xml:space="preserve">Выручка: удержание</t>
  </si>
  <si>
    <t xml:space="preserve">b_ret</t>
  </si>
  <si>
    <t xml:space="preserve">Выручка: оплаты вовремя</t>
  </si>
  <si>
    <t xml:space="preserve">b_ont</t>
  </si>
  <si>
    <t xml:space="preserve">Накопленные переходы на ТП ≥ 60 тыс.</t>
  </si>
  <si>
    <t xml:space="preserve">U</t>
  </si>
  <si>
    <t xml:space="preserve">Выручка: переходы</t>
  </si>
  <si>
    <t xml:space="preserve">b_upg</t>
  </si>
  <si>
    <t xml:space="preserve">Club+ Pass (net)</t>
  </si>
  <si>
    <t xml:space="preserve">b_pass</t>
  </si>
  <si>
    <t xml:space="preserve">Выручка: допродажи</t>
  </si>
  <si>
    <t xml:space="preserve">b_eng</t>
  </si>
  <si>
    <t xml:space="preserve">Партнёры (платные размещения)</t>
  </si>
  <si>
    <t xml:space="preserve">b_par</t>
  </si>
  <si>
    <t xml:space="preserve">ВКЛАД</t>
  </si>
  <si>
    <t xml:space="preserve">Вклад накопленный</t>
  </si>
  <si>
    <t xml:space="preserve">cum</t>
  </si>
  <si>
    <t xml:space="preserve">Архивные участники</t>
  </si>
  <si>
    <t xml:space="preserve">am</t>
  </si>
  <si>
    <t xml:space="preserve">Архивные: удержанные</t>
  </si>
  <si>
    <t xml:space="preserve">Ra</t>
  </si>
  <si>
    <t xml:space="preserve">Архивные: перешли на актуальный ТП</t>
  </si>
  <si>
    <t xml:space="preserve">Ua</t>
  </si>
  <si>
    <t xml:space="preserve">Архивные: погашение счёта монетами</t>
  </si>
  <si>
    <t xml:space="preserve">contra</t>
  </si>
  <si>
    <t xml:space="preserve">Архивные: доп. выручка</t>
  </si>
  <si>
    <t xml:space="preserve">a_rev</t>
  </si>
  <si>
    <t xml:space="preserve">Архивные: Δ абонентов</t>
  </si>
  <si>
    <t xml:space="preserve">a_ds</t>
  </si>
  <si>
    <t xml:space="preserve">Бюджет MVP Loyalty (разработка дек–фев + 3 мес. пилота мар–май 2027)</t>
  </si>
  <si>
    <t xml:space="preserve">Статья</t>
  </si>
  <si>
    <t xml:space="preserve">Сум</t>
  </si>
  <si>
    <t xml:space="preserve">USD</t>
  </si>
  <si>
    <t xml:space="preserve">Доля</t>
  </si>
  <si>
    <t xml:space="preserve">Разработка MVP (web-view в приложении, CRM, антифрод)</t>
  </si>
  <si>
    <t xml:space="preserve">Операционные (команда, фулфилмент, КЦ)</t>
  </si>
  <si>
    <t xml:space="preserve">Маркетинг MVP</t>
  </si>
  <si>
    <t xml:space="preserve">Daily Drops — цифровые призы</t>
  </si>
  <si>
    <t xml:space="preserve">Monthly Grand (1 розыгрыш)</t>
  </si>
  <si>
    <t xml:space="preserve">ИТОГО MVP</t>
  </si>
  <si>
    <t xml:space="preserve">На одного участника MVP, сум</t>
  </si>
  <si>
    <t xml:space="preserve">Без разработки (стоимость самого теста), сум</t>
  </si>
  <si>
    <t xml:space="preserve">Порог участия в Weekly/Monthly: сравнение вариантов (стационарный режим масштаба, сум/мес)</t>
  </si>
  <si>
    <t xml:space="preserve">Кэшбэк, Daily Drops и OPEX одинаковы во всех вариантах и сюда не входят. Поведенческие параметры — гипотезы; O2 и O5 тестируются двумя ветками MVP.</t>
  </si>
  <si>
    <t xml:space="preserve">Вариант</t>
  </si>
  <si>
    <t xml:space="preserve">Описание</t>
  </si>
  <si>
    <t xml:space="preserve">Доля &lt; 60 тыс., которые играют</t>
  </si>
  <si>
    <t xml:space="preserve">Вовлечённость &lt; 60 тыс.</t>
  </si>
  <si>
    <t xml:space="preserve">Переходы на ≥ 60 тыс./мес</t>
  </si>
  <si>
    <t xml:space="preserve">Club+ Pass: доля</t>
  </si>
  <si>
    <t xml:space="preserve">Цена Pass, с НДС</t>
  </si>
  <si>
    <t xml:space="preserve">Платный вход: доля</t>
  </si>
  <si>
    <t xml:space="preserve">Цена входа (средн.), с НДС</t>
  </si>
  <si>
    <t xml:space="preserve">P(запрет/предписание)</t>
  </si>
  <si>
    <t xml:space="preserve">Коэф. переходов архивных</t>
  </si>
  <si>
    <t xml:space="preserve">Удержание</t>
  </si>
  <si>
    <t xml:space="preserve">Переходы</t>
  </si>
  <si>
    <t xml:space="preserve">Pass</t>
  </si>
  <si>
    <t xml:space="preserve">Платный вход</t>
  </si>
  <si>
    <t xml:space="preserve">Призы W+M</t>
  </si>
  <si>
    <t xml:space="preserve">ЧИСТЫЙ ЭФФЕКТ</t>
  </si>
  <si>
    <t xml:space="preserve">С учётом риска</t>
  </si>
  <si>
    <t xml:space="preserve">Играют всего</t>
  </si>
  <si>
    <t xml:space="preserve">Архивных играют</t>
  </si>
  <si>
    <t xml:space="preserve">Шанс выиграть за неделю</t>
  </si>
  <si>
    <t xml:space="preserve">Юр. риск</t>
  </si>
  <si>
    <t xml:space="preserve">PR-риск</t>
  </si>
  <si>
    <t xml:space="preserve">O1</t>
  </si>
  <si>
    <t xml:space="preserve">Открыто всем (без порога)</t>
  </si>
  <si>
    <t xml:space="preserve">низкий</t>
  </si>
  <si>
    <t xml:space="preserve">O2</t>
  </si>
  <si>
    <t xml:space="preserve">Weekly/Monthly только АП ≥ 60 тыс. и оплата вовремя</t>
  </si>
  <si>
    <t xml:space="preserve">средний</t>
  </si>
  <si>
    <t xml:space="preserve">O3</t>
  </si>
  <si>
    <t xml:space="preserve">Weekly/Monthly только АП ≥ 80 тыс.</t>
  </si>
  <si>
    <t xml:space="preserve">высокий</t>
  </si>
  <si>
    <t xml:space="preserve">O4</t>
  </si>
  <si>
    <t xml:space="preserve">Порог 60 тыс. + платный вход 4 999 / 9 999 сум для остальных</t>
  </si>
  <si>
    <t xml:space="preserve">ВЫСОКИЙ (платный шанс = лотерея, лицензия НАПП)</t>
  </si>
  <si>
    <t xml:space="preserve">O5</t>
  </si>
  <si>
    <t xml:space="preserve">РЕКОМЕНДУЕМ: играют все, шансы растут с АП + Club+ Pass с реальной ценностью</t>
  </si>
  <si>
    <t xml:space="preserve">низкий–средний (Pass ≥ своей цены по ценности)</t>
  </si>
  <si>
    <t xml:space="preserve">Портфель: ARPU архивной когорты (план: всё запущено) и вклад</t>
  </si>
  <si>
    <t xml:space="preserve">I1–I3: выручка (после перекрытия)</t>
  </si>
  <si>
    <t xml:space="preserve">I1–I3: Δ абонентов (после перекрытия)</t>
  </si>
  <si>
    <t xml:space="preserve">Loyalty: доп. выручка архивных</t>
  </si>
  <si>
    <t xml:space="preserve">Loyalty: Δ архивных абонентов</t>
  </si>
  <si>
    <t xml:space="preserve">ARPU когорты, сум</t>
  </si>
  <si>
    <t xml:space="preserve">ΔARPU когорты</t>
  </si>
  <si>
    <t xml:space="preserve">ΔARPU только I1–I3</t>
  </si>
  <si>
    <t xml:space="preserve">Вклад I1–I3</t>
  </si>
  <si>
    <t xml:space="preserve">Вклад Loyalty (вся программа)</t>
  </si>
  <si>
    <t xml:space="preserve">Вклад портфеля накопленный</t>
  </si>
  <si>
    <t xml:space="preserve">Итоги</t>
  </si>
  <si>
    <t xml:space="preserve">ΔARPU когорты M12</t>
  </si>
  <si>
    <t xml:space="preserve">ΔARPU когорты M24</t>
  </si>
  <si>
    <t xml:space="preserve">ΔARPU когорты M36</t>
  </si>
  <si>
    <t xml:space="preserve">из них I1–I3 на M24</t>
  </si>
  <si>
    <t xml:space="preserve">ARPU когорты M24, сум</t>
  </si>
  <si>
    <t xml:space="preserve">Доп. выручка архивной когорты Y1</t>
  </si>
  <si>
    <t xml:space="preserve">Доп. выручка архивной когорты Y2</t>
  </si>
  <si>
    <t xml:space="preserve">Доп. выручка архивной когорты Y3</t>
  </si>
  <si>
    <t xml:space="preserve">Вклад портфеля 24 мес.</t>
  </si>
  <si>
    <t xml:space="preserve">Вклад портфеля 36 мес.</t>
  </si>
  <si>
    <t xml:space="preserve">Калькулятор выборок (двусторонний тест, α и мощность — ниже)</t>
  </si>
  <si>
    <t xml:space="preserve">Уровень значимости α</t>
  </si>
  <si>
    <t xml:space="preserve">Мощность</t>
  </si>
  <si>
    <t xml:space="preserve">CV ARPU (σ/μ)</t>
  </si>
  <si>
    <t xml:space="preserve">MDE ARPU, отн.</t>
  </si>
  <si>
    <t xml:space="preserve">Пропорция в контроле p1 (напр. отток)</t>
  </si>
  <si>
    <t xml:space="preserve">Пропорция в тесте p2</t>
  </si>
  <si>
    <t xml:space="preserve">N на группу — ARPU</t>
  </si>
  <si>
    <t xml:space="preserve">N на группу — пропорции</t>
  </si>
  <si>
    <t xml:space="preserve">Монте-Карло (20 000 прогонов) — значения из v2/model/output/results_v2.json</t>
  </si>
  <si>
    <t xml:space="preserve">#</t>
  </si>
  <si>
    <t xml:space="preserve">Инициатива</t>
  </si>
  <si>
    <t xml:space="preserve">Вклад 24м P10</t>
  </si>
  <si>
    <t xml:space="preserve">P50</t>
  </si>
  <si>
    <t xml:space="preserve">P90</t>
  </si>
  <si>
    <t xml:space="preserve">ΔARPU P50</t>
  </si>
  <si>
    <t xml:space="preserve">P(запуска)</t>
  </si>
  <si>
    <t xml:space="preserve">Шанс успеха</t>
  </si>
  <si>
    <t xml:space="preserve">Шанс ≥70% плана</t>
  </si>
  <si>
    <t xml:space="preserve">I4</t>
  </si>
  <si>
    <t xml:space="preserve">Loyalty (вклад 36м)</t>
  </si>
  <si>
    <t xml:space="preserve">Портфель</t>
  </si>
  <si>
    <t xml:space="preserve">ΔARPU M24 P10</t>
  </si>
  <si>
    <t xml:space="preserve">ΔARPU M24 P50</t>
  </si>
  <si>
    <t xml:space="preserve">ΔARPU M24 P90</t>
  </si>
  <si>
    <t xml:space="preserve">P(ΔARPU ≥ 8%)</t>
  </si>
  <si>
    <t xml:space="preserve">P(ΔARPU ≥ 10%)</t>
  </si>
  <si>
    <t xml:space="preserve">Вклад 36м P50, млрд</t>
  </si>
  <si>
    <t xml:space="preserve">Бюджет MVP P50, млрд</t>
  </si>
  <si>
    <t xml:space="preserve">Затраты Loyalty в мес. при масштабе P50, млрд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</si>
</sst>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0.0%;\(0.0%\);\-"/>
    <numFmt numFmtId="167" formatCode="0.0\x;\(0.0&quot;x)&quot;;\-"/>
    <numFmt numFmtId="168" formatCode="0.00%;\(0.00%\);\-"/>
    <numFmt numFmtId="169" formatCode="#,##0.0;\(#,##0.0\);\-"/>
    <numFmt numFmtId="170" formatCode="\$#,##0"/>
    <numFmt numFmtId="171" formatCode="#,##0.00;\(#,##0.00\);\-"/>
    <numFmt numFmtId="172" formatCode="0.0000%"/>
    <numFmt numFmtId="173" formatCode="0%"/>
    <numFmt numFmtId="174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ΔARPU архивной когорты (план)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Portfolio!A9</c:f>
              <c:strCache>
                <c:ptCount val="1"/>
                <c:pt idx="0">
                  <c:v>ΔARPU когорты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Portfolio!$C$3:$AL$3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Portfolio!$B$9:$AL$9</c:f>
              <c:numCache>
                <c:formatCode>0.0%;\(0.0%\);\-</c:formatCode>
                <c:ptCount val="37"/>
                <c:pt idx="1">
                  <c:v>0</c:v>
                </c:pt>
                <c:pt idx="2">
                  <c:v>0.00662774399227062</c:v>
                </c:pt>
                <c:pt idx="3">
                  <c:v>0.00915592320908187</c:v>
                </c:pt>
                <c:pt idx="4">
                  <c:v>0.0482751306935956</c:v>
                </c:pt>
                <c:pt idx="5">
                  <c:v>0.0484033313517085</c:v>
                </c:pt>
                <c:pt idx="6">
                  <c:v>0.0732164887706135</c:v>
                </c:pt>
                <c:pt idx="7">
                  <c:v>0.0737299570981322</c:v>
                </c:pt>
                <c:pt idx="8">
                  <c:v>0.0737703580589246</c:v>
                </c:pt>
                <c:pt idx="9">
                  <c:v>0.0999086432704477</c:v>
                </c:pt>
                <c:pt idx="10">
                  <c:v>0.100510489530549</c:v>
                </c:pt>
                <c:pt idx="11">
                  <c:v>0.10078785655273</c:v>
                </c:pt>
                <c:pt idx="12">
                  <c:v>0.101460976174816</c:v>
                </c:pt>
                <c:pt idx="13">
                  <c:v>0.102201197213625</c:v>
                </c:pt>
                <c:pt idx="14">
                  <c:v>0.103010300560308</c:v>
                </c:pt>
                <c:pt idx="15">
                  <c:v>0.103890087560842</c:v>
                </c:pt>
                <c:pt idx="16">
                  <c:v>0.104842379127383</c:v>
                </c:pt>
                <c:pt idx="17">
                  <c:v>0.10521209954403</c:v>
                </c:pt>
                <c:pt idx="18">
                  <c:v>0.105587142246889</c:v>
                </c:pt>
                <c:pt idx="19">
                  <c:v>0.105967582411544</c:v>
                </c:pt>
                <c:pt idx="20">
                  <c:v>0.106353496192661</c:v>
                </c:pt>
                <c:pt idx="21">
                  <c:v>0.106744960734195</c:v>
                </c:pt>
                <c:pt idx="22">
                  <c:v>0.107142054179606</c:v>
                </c:pt>
                <c:pt idx="23">
                  <c:v>0.107544855682107</c:v>
                </c:pt>
                <c:pt idx="24">
                  <c:v>0.107953445414928</c:v>
                </c:pt>
                <c:pt idx="25">
                  <c:v>0.108367904581596</c:v>
                </c:pt>
                <c:pt idx="26">
                  <c:v>0.108788315426225</c:v>
                </c:pt>
                <c:pt idx="27">
                  <c:v>0.109214761243819</c:v>
                </c:pt>
                <c:pt idx="28">
                  <c:v>0.109647326390579</c:v>
                </c:pt>
                <c:pt idx="29">
                  <c:v>0.110086096294208</c:v>
                </c:pt>
                <c:pt idx="30">
                  <c:v>0.110531157464212</c:v>
                </c:pt>
                <c:pt idx="31">
                  <c:v>0.110982597502208</c:v>
                </c:pt>
                <c:pt idx="32">
                  <c:v>0.111440505112197</c:v>
                </c:pt>
                <c:pt idx="33">
                  <c:v>0.111904970110845</c:v>
                </c:pt>
                <c:pt idx="34">
                  <c:v>0.112376083437731</c:v>
                </c:pt>
                <c:pt idx="35">
                  <c:v>0.112853937165567</c:v>
                </c:pt>
                <c:pt idx="36">
                  <c:v>0.113338624510403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Portfolio!A10</c:f>
              <c:strCache>
                <c:ptCount val="1"/>
                <c:pt idx="0">
                  <c:v>ΔARPU только I1–I3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Portfolio!$C$3:$AL$3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Portfolio!$B$10:$AL$10</c:f>
              <c:numCache>
                <c:formatCode>0.0%;\(0.0%\);\-</c:formatCode>
                <c:ptCount val="37"/>
                <c:pt idx="1">
                  <c:v>0</c:v>
                </c:pt>
                <c:pt idx="2">
                  <c:v>0.00662774399227062</c:v>
                </c:pt>
                <c:pt idx="3">
                  <c:v>0.00915592320908187</c:v>
                </c:pt>
                <c:pt idx="4">
                  <c:v>0.0482751306935956</c:v>
                </c:pt>
                <c:pt idx="5">
                  <c:v>0.0480738568779495</c:v>
                </c:pt>
                <c:pt idx="6">
                  <c:v>0.0728547786833382</c:v>
                </c:pt>
                <c:pt idx="7">
                  <c:v>0.0733353964549308</c:v>
                </c:pt>
                <c:pt idx="8">
                  <c:v>0.0733432744748175</c:v>
                </c:pt>
                <c:pt idx="9">
                  <c:v>0.0994497340156499</c:v>
                </c:pt>
                <c:pt idx="10">
                  <c:v>0.100017462828669</c:v>
                </c:pt>
                <c:pt idx="11">
                  <c:v>0.100024668915345</c:v>
                </c:pt>
                <c:pt idx="12">
                  <c:v>0.100031884445121</c:v>
                </c:pt>
                <c:pt idx="13">
                  <c:v>0.100039109436459</c:v>
                </c:pt>
                <c:pt idx="14">
                  <c:v>0.10004634390786</c:v>
                </c:pt>
                <c:pt idx="15">
                  <c:v>0.100053587877873</c:v>
                </c:pt>
                <c:pt idx="16">
                  <c:v>0.10006084136509</c:v>
                </c:pt>
                <c:pt idx="17">
                  <c:v>0.100068104388149</c:v>
                </c:pt>
                <c:pt idx="18">
                  <c:v>0.100075376965732</c:v>
                </c:pt>
                <c:pt idx="19">
                  <c:v>0.100082659116564</c:v>
                </c:pt>
                <c:pt idx="20">
                  <c:v>0.100089950859419</c:v>
                </c:pt>
                <c:pt idx="21">
                  <c:v>0.100097252213113</c:v>
                </c:pt>
                <c:pt idx="22">
                  <c:v>0.100104563196507</c:v>
                </c:pt>
                <c:pt idx="23">
                  <c:v>0.100111883828509</c:v>
                </c:pt>
                <c:pt idx="24">
                  <c:v>0.100119214128072</c:v>
                </c:pt>
                <c:pt idx="25">
                  <c:v>0.100126554114194</c:v>
                </c:pt>
                <c:pt idx="26">
                  <c:v>0.100133903805919</c:v>
                </c:pt>
                <c:pt idx="27">
                  <c:v>0.100141263222336</c:v>
                </c:pt>
                <c:pt idx="28">
                  <c:v>0.10014863238258</c:v>
                </c:pt>
                <c:pt idx="29">
                  <c:v>0.100156011305834</c:v>
                </c:pt>
                <c:pt idx="30">
                  <c:v>0.100163400011323</c:v>
                </c:pt>
                <c:pt idx="31">
                  <c:v>0.100170798518322</c:v>
                </c:pt>
                <c:pt idx="32">
                  <c:v>0.100178206846151</c:v>
                </c:pt>
                <c:pt idx="33">
                  <c:v>0.100185625014176</c:v>
                </c:pt>
                <c:pt idx="34">
                  <c:v>0.100193053041808</c:v>
                </c:pt>
                <c:pt idx="35">
                  <c:v>0.100200490948508</c:v>
                </c:pt>
                <c:pt idx="36">
                  <c:v>0.100207938753781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605403"/>
        <c:axId val="14135545"/>
      </c:lineChart>
      <c:catAx>
        <c:axId val="396054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Месяц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35545"/>
        <c:crosses val="autoZero"/>
        <c:auto val="1"/>
        <c:lblAlgn val="ctr"/>
        <c:lblOffset val="100"/>
        <c:noMultiLvlLbl val="0"/>
      </c:catAx>
      <c:valAx>
        <c:axId val="141355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054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160920</xdr:rowOff>
    </xdr:from>
    <xdr:to>
      <xdr:col>4</xdr:col>
      <xdr:colOff>1302120</xdr:colOff>
      <xdr:row>41</xdr:row>
      <xdr:rowOff>182880</xdr:rowOff>
    </xdr:to>
    <xdr:graphicFrame>
      <xdr:nvGraphicFramePr>
        <xdr:cNvPr id="0" name="Chart 1"/>
        <xdr:cNvGraphicFramePr/>
      </xdr:nvGraphicFramePr>
      <xdr:xfrm>
        <a:off x="0" y="514368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3" style="0" width="16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11</v>
      </c>
      <c r="B1" s="4"/>
      <c r="C1" s="4"/>
      <c r="D1" s="4"/>
      <c r="E1" s="4"/>
    </row>
    <row r="2" customFormat="false" ht="15" hidden="false" customHeight="false" outlineLevel="0" collapsed="false">
      <c r="A2" s="4"/>
      <c r="B2" s="4"/>
      <c r="C2" s="4"/>
      <c r="D2" s="4"/>
      <c r="E2" s="4"/>
    </row>
    <row r="3" customFormat="false" ht="15" hidden="false" customHeight="false" outlineLevel="0" collapsed="false">
      <c r="A3" s="5" t="s">
        <v>12</v>
      </c>
      <c r="B3" s="5"/>
      <c r="C3" s="5" t="s">
        <v>13</v>
      </c>
      <c r="D3" s="5" t="s">
        <v>14</v>
      </c>
      <c r="E3" s="5" t="s">
        <v>15</v>
      </c>
    </row>
    <row r="4" customFormat="false" ht="15" hidden="false" customHeight="false" outlineLevel="0" collapsed="false">
      <c r="A4" s="4" t="s">
        <v>16</v>
      </c>
      <c r="B4" s="4"/>
      <c r="C4" s="6" t="n">
        <v>11000000</v>
      </c>
      <c r="D4" s="4" t="s">
        <v>17</v>
      </c>
      <c r="E4" s="4" t="s">
        <v>18</v>
      </c>
    </row>
    <row r="5" customFormat="false" ht="15" hidden="false" customHeight="false" outlineLevel="0" collapsed="false">
      <c r="A5" s="4" t="s">
        <v>19</v>
      </c>
      <c r="B5" s="4"/>
      <c r="C5" s="7" t="n">
        <v>0.4</v>
      </c>
      <c r="D5" s="4" t="s">
        <v>20</v>
      </c>
      <c r="E5" s="4" t="s">
        <v>21</v>
      </c>
    </row>
    <row r="6" customFormat="false" ht="15" hidden="false" customHeight="false" outlineLevel="0" collapsed="false">
      <c r="A6" s="4" t="s">
        <v>22</v>
      </c>
      <c r="B6" s="4"/>
      <c r="C6" s="7" t="n">
        <v>0.8</v>
      </c>
      <c r="D6" s="4" t="s">
        <v>20</v>
      </c>
      <c r="E6" s="4" t="s">
        <v>21</v>
      </c>
    </row>
    <row r="7" customFormat="false" ht="15" hidden="false" customHeight="false" outlineLevel="0" collapsed="false">
      <c r="A7" s="4" t="s">
        <v>23</v>
      </c>
      <c r="B7" s="4"/>
      <c r="C7" s="8" t="n">
        <f aca="false">C4*C5*C6</f>
        <v>3520000</v>
      </c>
      <c r="D7" s="4" t="s">
        <v>17</v>
      </c>
      <c r="E7" s="4" t="s">
        <v>24</v>
      </c>
    </row>
    <row r="8" customFormat="false" ht="15" hidden="false" customHeight="false" outlineLevel="0" collapsed="false">
      <c r="A8" s="4" t="s">
        <v>25</v>
      </c>
      <c r="B8" s="4"/>
      <c r="C8" s="9" t="n">
        <v>18500</v>
      </c>
      <c r="D8" s="4" t="s">
        <v>26</v>
      </c>
      <c r="E8" s="4" t="s">
        <v>27</v>
      </c>
    </row>
    <row r="9" customFormat="false" ht="15" hidden="false" customHeight="false" outlineLevel="0" collapsed="false">
      <c r="A9" s="4" t="s">
        <v>28</v>
      </c>
      <c r="B9" s="4"/>
      <c r="C9" s="7" t="n">
        <v>0.015</v>
      </c>
      <c r="D9" s="4" t="s">
        <v>20</v>
      </c>
      <c r="E9" s="4" t="s">
        <v>29</v>
      </c>
    </row>
    <row r="10" customFormat="false" ht="15" hidden="false" customHeight="false" outlineLevel="0" collapsed="false">
      <c r="A10" s="4" t="s">
        <v>30</v>
      </c>
      <c r="B10" s="4"/>
      <c r="C10" s="10" t="n">
        <v>0.12</v>
      </c>
      <c r="D10" s="4" t="s">
        <v>20</v>
      </c>
      <c r="E10" s="4" t="s">
        <v>31</v>
      </c>
    </row>
    <row r="11" customFormat="false" ht="15" hidden="false" customHeight="false" outlineLevel="0" collapsed="false">
      <c r="A11" s="4" t="s">
        <v>32</v>
      </c>
      <c r="B11" s="4"/>
      <c r="C11" s="6" t="n">
        <v>12100</v>
      </c>
      <c r="D11" s="4" t="s">
        <v>33</v>
      </c>
      <c r="E11" s="4" t="s">
        <v>34</v>
      </c>
    </row>
    <row r="12" customFormat="false" ht="15" hidden="false" customHeight="false" outlineLevel="0" collapsed="false">
      <c r="A12" s="4" t="s">
        <v>35</v>
      </c>
      <c r="B12" s="4"/>
      <c r="C12" s="9" t="n">
        <v>36500000</v>
      </c>
      <c r="D12" s="4" t="s">
        <v>17</v>
      </c>
      <c r="E12" s="4" t="s">
        <v>36</v>
      </c>
    </row>
    <row r="13" customFormat="false" ht="15" hidden="false" customHeight="false" outlineLevel="0" collapsed="false">
      <c r="A13" s="4" t="s">
        <v>37</v>
      </c>
      <c r="B13" s="4"/>
      <c r="C13" s="8" t="n">
        <f aca="false">C7*C8</f>
        <v>65120000000</v>
      </c>
      <c r="D13" s="4" t="s">
        <v>26</v>
      </c>
      <c r="E13" s="4" t="s">
        <v>24</v>
      </c>
    </row>
    <row r="14" customFormat="false" ht="15" hidden="false" customHeight="false" outlineLevel="0" collapsed="false">
      <c r="A14" s="4" t="s">
        <v>38</v>
      </c>
      <c r="B14" s="4"/>
      <c r="C14" s="7" t="n">
        <v>0.1</v>
      </c>
      <c r="D14" s="4" t="s">
        <v>20</v>
      </c>
      <c r="E14" s="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6" min="3" style="0" width="22"/>
  </cols>
  <sheetData>
    <row r="1" customFormat="false" ht="17.35" hidden="false" customHeight="false" outlineLevel="0" collapsed="false">
      <c r="A1" s="1" t="s">
        <v>40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</row>
    <row r="3" customFormat="false" ht="15" hidden="false" customHeight="false" outlineLevel="0" collapsed="false">
      <c r="A3" s="5" t="s">
        <v>12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</row>
    <row r="4" customFormat="false" ht="69.75" hidden="false" customHeight="true" outlineLevel="0" collapsed="false">
      <c r="A4" s="4" t="s">
        <v>46</v>
      </c>
      <c r="B4" s="4" t="s">
        <v>47</v>
      </c>
      <c r="C4" s="11" t="s">
        <v>48</v>
      </c>
      <c r="D4" s="11" t="s">
        <v>49</v>
      </c>
      <c r="E4" s="11" t="s">
        <v>50</v>
      </c>
      <c r="F4" s="11" t="s">
        <v>51</v>
      </c>
    </row>
    <row r="5" customFormat="false" ht="15" hidden="false" customHeight="false" outlineLevel="0" collapsed="false">
      <c r="A5" s="4" t="s">
        <v>52</v>
      </c>
      <c r="B5" s="4" t="s">
        <v>53</v>
      </c>
      <c r="C5" s="12" t="s">
        <v>54</v>
      </c>
      <c r="D5" s="12" t="s">
        <v>55</v>
      </c>
      <c r="E5" s="12" t="s">
        <v>56</v>
      </c>
      <c r="F5" s="12" t="s">
        <v>57</v>
      </c>
    </row>
    <row r="6" customFormat="false" ht="15" hidden="false" customHeight="false" outlineLevel="0" collapsed="false">
      <c r="A6" s="4" t="s">
        <v>58</v>
      </c>
      <c r="B6" s="4" t="s">
        <v>59</v>
      </c>
      <c r="C6" s="12" t="s">
        <v>60</v>
      </c>
      <c r="D6" s="12" t="s">
        <v>60</v>
      </c>
      <c r="E6" s="12" t="s">
        <v>61</v>
      </c>
      <c r="F6" s="12" t="s">
        <v>61</v>
      </c>
    </row>
    <row r="7" customFormat="false" ht="15" hidden="false" customHeight="false" outlineLevel="0" collapsed="false">
      <c r="A7" s="4" t="s">
        <v>62</v>
      </c>
      <c r="B7" s="4" t="s">
        <v>63</v>
      </c>
      <c r="C7" s="6" t="n">
        <v>4</v>
      </c>
      <c r="D7" s="6" t="n">
        <v>1</v>
      </c>
      <c r="E7" s="6" t="n">
        <v>2</v>
      </c>
      <c r="F7" s="6" t="n">
        <v>2</v>
      </c>
    </row>
    <row r="8" customFormat="false" ht="15" hidden="false" customHeight="false" outlineLevel="0" collapsed="false">
      <c r="A8" s="4" t="s">
        <v>64</v>
      </c>
      <c r="B8" s="4" t="s">
        <v>65</v>
      </c>
      <c r="C8" s="6" t="n">
        <v>16000</v>
      </c>
      <c r="D8" s="6" t="n">
        <v>21000</v>
      </c>
      <c r="E8" s="6" t="n">
        <v>28000</v>
      </c>
      <c r="F8" s="6" t="n">
        <v>15000</v>
      </c>
    </row>
    <row r="9" customFormat="false" ht="15" hidden="false" customHeight="false" outlineLevel="0" collapsed="false">
      <c r="A9" s="4" t="s">
        <v>66</v>
      </c>
      <c r="B9" s="4" t="s">
        <v>67</v>
      </c>
      <c r="C9" s="10" t="n">
        <v>0.3</v>
      </c>
      <c r="D9" s="10" t="n">
        <v>0.22</v>
      </c>
      <c r="E9" s="10" t="n">
        <v>0.15</v>
      </c>
      <c r="F9" s="10" t="n">
        <v>0.06</v>
      </c>
    </row>
    <row r="10" customFormat="false" ht="15" hidden="false" customHeight="false" outlineLevel="0" collapsed="false">
      <c r="A10" s="4" t="s">
        <v>68</v>
      </c>
      <c r="B10" s="4" t="s">
        <v>69</v>
      </c>
      <c r="C10" s="10" t="n">
        <v>0.125</v>
      </c>
      <c r="D10" s="10" t="n">
        <v>0</v>
      </c>
      <c r="E10" s="10" t="n">
        <v>0</v>
      </c>
      <c r="F10" s="10" t="n">
        <v>0</v>
      </c>
    </row>
    <row r="11" customFormat="false" ht="15" hidden="false" customHeight="false" outlineLevel="0" collapsed="false">
      <c r="A11" s="4" t="s">
        <v>70</v>
      </c>
      <c r="B11" s="4" t="s">
        <v>71</v>
      </c>
      <c r="C11" s="6" t="n">
        <v>20000</v>
      </c>
      <c r="D11" s="6" t="n">
        <v>0</v>
      </c>
      <c r="E11" s="6" t="n">
        <v>0</v>
      </c>
      <c r="F11" s="6" t="n">
        <v>0</v>
      </c>
    </row>
    <row r="12" customFormat="false" ht="15" hidden="false" customHeight="false" outlineLevel="0" collapsed="false">
      <c r="A12" s="4" t="s">
        <v>72</v>
      </c>
      <c r="B12" s="4" t="s">
        <v>73</v>
      </c>
      <c r="C12" s="6" t="n">
        <v>0</v>
      </c>
      <c r="D12" s="6" t="n">
        <v>5000</v>
      </c>
      <c r="E12" s="6" t="n">
        <v>0</v>
      </c>
      <c r="F12" s="6" t="n">
        <v>0</v>
      </c>
    </row>
    <row r="13" customFormat="false" ht="15" hidden="false" customHeight="false" outlineLevel="0" collapsed="false">
      <c r="A13" s="4" t="s">
        <v>74</v>
      </c>
      <c r="B13" s="4" t="s">
        <v>75</v>
      </c>
      <c r="C13" s="10" t="n">
        <v>0.12</v>
      </c>
      <c r="D13" s="10" t="n">
        <v>0</v>
      </c>
      <c r="E13" s="10" t="n">
        <v>0</v>
      </c>
      <c r="F13" s="10" t="n">
        <v>0</v>
      </c>
    </row>
    <row r="14" customFormat="false" ht="15" hidden="false" customHeight="false" outlineLevel="0" collapsed="false">
      <c r="A14" s="4" t="s">
        <v>76</v>
      </c>
      <c r="B14" s="4" t="s">
        <v>77</v>
      </c>
      <c r="C14" s="6" t="n">
        <v>10000</v>
      </c>
      <c r="D14" s="6" t="n">
        <v>0</v>
      </c>
      <c r="E14" s="6" t="n">
        <v>0</v>
      </c>
      <c r="F14" s="6" t="n">
        <v>0</v>
      </c>
    </row>
    <row r="15" customFormat="false" ht="15" hidden="false" customHeight="false" outlineLevel="0" collapsed="false">
      <c r="A15" s="4" t="s">
        <v>78</v>
      </c>
      <c r="B15" s="4" t="s">
        <v>79</v>
      </c>
      <c r="C15" s="10" t="n">
        <v>0.08</v>
      </c>
      <c r="D15" s="10" t="n">
        <v>0.08</v>
      </c>
      <c r="E15" s="10" t="n">
        <v>0</v>
      </c>
      <c r="F15" s="10" t="n">
        <v>0</v>
      </c>
    </row>
    <row r="16" customFormat="false" ht="15" hidden="false" customHeight="false" outlineLevel="0" collapsed="false">
      <c r="A16" s="4" t="s">
        <v>80</v>
      </c>
      <c r="B16" s="4" t="s">
        <v>81</v>
      </c>
      <c r="C16" s="6" t="n">
        <v>-2000</v>
      </c>
      <c r="D16" s="6" t="n">
        <v>-3000</v>
      </c>
      <c r="E16" s="6" t="n">
        <v>0</v>
      </c>
      <c r="F16" s="6" t="n">
        <v>0</v>
      </c>
    </row>
    <row r="17" customFormat="false" ht="15" hidden="false" customHeight="false" outlineLevel="0" collapsed="false">
      <c r="A17" s="4" t="s">
        <v>82</v>
      </c>
      <c r="B17" s="4" t="s">
        <v>83</v>
      </c>
      <c r="C17" s="10" t="n">
        <v>0.03</v>
      </c>
      <c r="D17" s="10" t="n">
        <v>0.025</v>
      </c>
      <c r="E17" s="10" t="n">
        <v>0</v>
      </c>
      <c r="F17" s="10" t="n">
        <v>0</v>
      </c>
    </row>
    <row r="18" customFormat="false" ht="15" hidden="false" customHeight="false" outlineLevel="0" collapsed="false">
      <c r="A18" s="4" t="s">
        <v>84</v>
      </c>
      <c r="B18" s="4" t="s">
        <v>85</v>
      </c>
      <c r="C18" s="6" t="n">
        <v>300</v>
      </c>
      <c r="D18" s="6" t="n">
        <v>400</v>
      </c>
      <c r="E18" s="6" t="n">
        <v>0</v>
      </c>
      <c r="F18" s="6" t="n">
        <v>0</v>
      </c>
    </row>
    <row r="19" customFormat="false" ht="15" hidden="false" customHeight="false" outlineLevel="0" collapsed="false">
      <c r="A19" s="4" t="s">
        <v>86</v>
      </c>
      <c r="B19" s="4" t="s">
        <v>87</v>
      </c>
      <c r="C19" s="6" t="n">
        <v>60000000</v>
      </c>
      <c r="D19" s="6" t="n">
        <v>0</v>
      </c>
      <c r="E19" s="6" t="n">
        <v>0</v>
      </c>
      <c r="F19" s="6" t="n">
        <v>0</v>
      </c>
    </row>
    <row r="20" customFormat="false" ht="15" hidden="false" customHeight="false" outlineLevel="0" collapsed="false">
      <c r="A20" s="4" t="s">
        <v>88</v>
      </c>
      <c r="B20" s="4" t="s">
        <v>89</v>
      </c>
      <c r="C20" s="10" t="n">
        <v>0</v>
      </c>
      <c r="D20" s="10" t="n">
        <v>0</v>
      </c>
      <c r="E20" s="10" t="n">
        <v>0.9</v>
      </c>
      <c r="F20" s="10" t="n">
        <v>0.8</v>
      </c>
    </row>
    <row r="21" customFormat="false" ht="15" hidden="false" customHeight="false" outlineLevel="0" collapsed="false">
      <c r="A21" s="4" t="s">
        <v>90</v>
      </c>
      <c r="B21" s="4" t="s">
        <v>91</v>
      </c>
      <c r="C21" s="10" t="n">
        <v>0</v>
      </c>
      <c r="D21" s="10" t="n">
        <v>0</v>
      </c>
      <c r="E21" s="10" t="n">
        <v>0.12</v>
      </c>
      <c r="F21" s="10" t="n">
        <v>0.2</v>
      </c>
    </row>
    <row r="22" customFormat="false" ht="15" hidden="false" customHeight="false" outlineLevel="0" collapsed="false">
      <c r="A22" s="4" t="s">
        <v>92</v>
      </c>
      <c r="B22" s="4" t="s">
        <v>93</v>
      </c>
      <c r="C22" s="10" t="n">
        <v>0</v>
      </c>
      <c r="D22" s="10" t="n">
        <v>0</v>
      </c>
      <c r="E22" s="10" t="n">
        <v>0.45</v>
      </c>
      <c r="F22" s="10" t="n">
        <v>0.25</v>
      </c>
    </row>
    <row r="23" customFormat="false" ht="15" hidden="false" customHeight="false" outlineLevel="0" collapsed="false">
      <c r="A23" s="4" t="s">
        <v>94</v>
      </c>
      <c r="B23" s="4" t="s">
        <v>95</v>
      </c>
      <c r="C23" s="6" t="n">
        <v>0</v>
      </c>
      <c r="D23" s="6" t="n">
        <v>0</v>
      </c>
      <c r="E23" s="6" t="n">
        <v>7500</v>
      </c>
      <c r="F23" s="6" t="n">
        <v>7000</v>
      </c>
    </row>
    <row r="24" customFormat="false" ht="15" hidden="false" customHeight="false" outlineLevel="0" collapsed="false">
      <c r="A24" s="4" t="s">
        <v>96</v>
      </c>
      <c r="B24" s="4" t="s">
        <v>97</v>
      </c>
      <c r="C24" s="10" t="n">
        <v>0</v>
      </c>
      <c r="D24" s="10" t="n">
        <v>0</v>
      </c>
      <c r="E24" s="10" t="n">
        <v>0.05</v>
      </c>
      <c r="F24" s="10" t="n">
        <v>0.2</v>
      </c>
    </row>
    <row r="25" customFormat="false" ht="15" hidden="false" customHeight="false" outlineLevel="0" collapsed="false">
      <c r="A25" s="4" t="s">
        <v>98</v>
      </c>
      <c r="B25" s="4" t="s">
        <v>99</v>
      </c>
      <c r="C25" s="6" t="n">
        <v>200</v>
      </c>
      <c r="D25" s="6" t="n">
        <v>100</v>
      </c>
      <c r="E25" s="6" t="n">
        <v>50</v>
      </c>
      <c r="F25" s="6" t="n">
        <v>150</v>
      </c>
    </row>
    <row r="26" customFormat="false" ht="15" hidden="false" customHeight="false" outlineLevel="0" collapsed="false">
      <c r="A26" s="4" t="s">
        <v>100</v>
      </c>
      <c r="B26" s="4" t="s">
        <v>101</v>
      </c>
      <c r="C26" s="6" t="n">
        <v>0</v>
      </c>
      <c r="D26" s="6" t="n">
        <v>0</v>
      </c>
      <c r="E26" s="6" t="n">
        <v>0</v>
      </c>
      <c r="F26" s="6" t="n">
        <v>6000</v>
      </c>
    </row>
    <row r="27" customFormat="false" ht="15" hidden="false" customHeight="false" outlineLevel="0" collapsed="false">
      <c r="A27" s="4" t="s">
        <v>102</v>
      </c>
      <c r="B27" s="4" t="s">
        <v>103</v>
      </c>
      <c r="C27" s="6" t="n">
        <v>0</v>
      </c>
      <c r="D27" s="6" t="n">
        <v>0</v>
      </c>
      <c r="E27" s="6" t="n">
        <v>500</v>
      </c>
      <c r="F27" s="6" t="n">
        <v>0</v>
      </c>
    </row>
    <row r="28" customFormat="false" ht="15" hidden="false" customHeight="false" outlineLevel="0" collapsed="false">
      <c r="A28" s="4" t="s">
        <v>104</v>
      </c>
      <c r="B28" s="4" t="s">
        <v>105</v>
      </c>
      <c r="C28" s="6" t="n">
        <v>5000000000</v>
      </c>
      <c r="D28" s="6" t="n">
        <v>300000000</v>
      </c>
      <c r="E28" s="6" t="n">
        <v>350000000</v>
      </c>
      <c r="F28" s="6" t="n">
        <v>150000000</v>
      </c>
    </row>
    <row r="29" customFormat="false" ht="15" hidden="false" customHeight="false" outlineLevel="0" collapsed="false">
      <c r="A29" s="4" t="s">
        <v>106</v>
      </c>
      <c r="B29" s="4" t="s">
        <v>107</v>
      </c>
      <c r="C29" s="6" t="n">
        <v>30000000</v>
      </c>
      <c r="D29" s="6" t="n">
        <v>20000000</v>
      </c>
      <c r="E29" s="6" t="n">
        <v>10000000</v>
      </c>
      <c r="F29" s="6" t="n">
        <v>10000000</v>
      </c>
    </row>
    <row r="30" customFormat="false" ht="15" hidden="false" customHeight="false" outlineLevel="0" collapsed="false">
      <c r="A30" s="4" t="s">
        <v>108</v>
      </c>
      <c r="B30" s="4" t="s">
        <v>109</v>
      </c>
      <c r="C30" s="10" t="n">
        <v>1</v>
      </c>
      <c r="D30" s="10" t="n">
        <v>1</v>
      </c>
      <c r="E30" s="10" t="n">
        <v>0.85</v>
      </c>
      <c r="F30" s="10" t="n">
        <v>0.6</v>
      </c>
    </row>
    <row r="31" customFormat="false" ht="15" hidden="false" customHeight="false" outlineLevel="0" collapsed="false">
      <c r="A31" s="4" t="s">
        <v>110</v>
      </c>
      <c r="B31" s="4" t="s">
        <v>111</v>
      </c>
      <c r="C31" s="6" t="n">
        <v>6</v>
      </c>
      <c r="D31" s="6" t="n">
        <v>2</v>
      </c>
      <c r="E31" s="6" t="n">
        <v>2</v>
      </c>
      <c r="F31" s="6" t="n">
        <v>2</v>
      </c>
    </row>
    <row r="32" customFormat="false" ht="15" hidden="false" customHeight="false" outlineLevel="0" collapsed="false">
      <c r="A32" s="4" t="s">
        <v>112</v>
      </c>
      <c r="B32" s="4" t="s">
        <v>113</v>
      </c>
      <c r="C32" s="10" t="n">
        <v>0.5</v>
      </c>
      <c r="D32" s="10" t="n">
        <v>0.1</v>
      </c>
      <c r="E32" s="10" t="n">
        <v>1</v>
      </c>
      <c r="F32" s="10" t="n">
        <v>1</v>
      </c>
    </row>
    <row r="33" customFormat="false" ht="15" hidden="false" customHeight="false" outlineLevel="0" collapsed="false">
      <c r="A33" s="4" t="s">
        <v>114</v>
      </c>
      <c r="B33" s="4" t="s">
        <v>115</v>
      </c>
      <c r="C33" s="6" t="n">
        <v>9</v>
      </c>
      <c r="D33" s="6" t="n">
        <v>4</v>
      </c>
      <c r="E33" s="6" t="n">
        <v>99</v>
      </c>
      <c r="F33" s="6" t="n">
        <v>99</v>
      </c>
    </row>
    <row r="34" customFormat="false" ht="15" hidden="false" customHeight="false" outlineLevel="0" collapsed="false">
      <c r="A34" s="4" t="s">
        <v>116</v>
      </c>
      <c r="B34" s="4" t="s">
        <v>117</v>
      </c>
      <c r="C34" s="6" t="n">
        <v>1</v>
      </c>
      <c r="D34" s="6" t="n">
        <v>1</v>
      </c>
      <c r="E34" s="6" t="n">
        <v>2</v>
      </c>
      <c r="F34" s="6" t="n">
        <v>3</v>
      </c>
    </row>
    <row r="35" customFormat="false" ht="15" hidden="false" customHeight="false" outlineLevel="0" collapsed="false">
      <c r="A35" s="4" t="s">
        <v>118</v>
      </c>
      <c r="B35" s="4" t="s">
        <v>119</v>
      </c>
      <c r="C35" s="10" t="n">
        <v>0.65</v>
      </c>
      <c r="D35" s="10" t="n">
        <v>0.8</v>
      </c>
      <c r="E35" s="10" t="n">
        <v>0.9</v>
      </c>
      <c r="F35" s="10" t="n">
        <v>0.9</v>
      </c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</row>
    <row r="37" customFormat="false" ht="15" hidden="false" customHeight="false" outlineLevel="0" collapsed="false">
      <c r="A37" s="13" t="s">
        <v>120</v>
      </c>
      <c r="B37" s="14"/>
      <c r="C37" s="14"/>
      <c r="D37" s="14"/>
      <c r="E37" s="14"/>
      <c r="F37" s="14"/>
    </row>
    <row r="38" customFormat="false" ht="15" hidden="false" customHeight="false" outlineLevel="0" collapsed="false">
      <c r="A38" s="4" t="s">
        <v>121</v>
      </c>
      <c r="B38" s="4" t="s">
        <v>122</v>
      </c>
      <c r="C38" s="8" t="n">
        <f aca="false">Inputs!$C$7*C9</f>
        <v>1056000</v>
      </c>
      <c r="D38" s="8" t="n">
        <f aca="false">Inputs!$C$7*D9</f>
        <v>774400</v>
      </c>
      <c r="E38" s="8" t="n">
        <f aca="false">Inputs!$C$7*E9</f>
        <v>528000</v>
      </c>
      <c r="F38" s="8" t="n">
        <f aca="false">Inputs!$C$7*F9</f>
        <v>211200</v>
      </c>
    </row>
    <row r="39" customFormat="false" ht="15" hidden="false" customHeight="false" outlineLevel="0" collapsed="false">
      <c r="A39" s="4" t="s">
        <v>123</v>
      </c>
      <c r="B39" s="4" t="s">
        <v>124</v>
      </c>
      <c r="C39" s="8" t="n">
        <f aca="false">IF(C6="adoption",C38*C20,C38)</f>
        <v>1056000</v>
      </c>
      <c r="D39" s="8" t="n">
        <f aca="false">IF(D6="adoption",D38*D20,D38)</f>
        <v>774400</v>
      </c>
      <c r="E39" s="8" t="n">
        <f aca="false">IF(E6="adoption",E38*E20,E38)</f>
        <v>475200</v>
      </c>
      <c r="F39" s="8" t="n">
        <f aca="false">IF(F6="adoption",F38*F20,F38)</f>
        <v>168960</v>
      </c>
    </row>
    <row r="40" customFormat="false" ht="15" hidden="false" customHeight="false" outlineLevel="0" collapsed="false">
      <c r="A40" s="4" t="s">
        <v>125</v>
      </c>
      <c r="B40" s="4" t="s">
        <v>126</v>
      </c>
      <c r="C40" s="8" t="n">
        <f aca="false">IF(C6="adoption",C39*C21*(1-C22),0)</f>
        <v>0</v>
      </c>
      <c r="D40" s="8" t="n">
        <f aca="false">IF(D6="adoption",D39*D21*(1-D22),0)</f>
        <v>0</v>
      </c>
      <c r="E40" s="8" t="n">
        <f aca="false">IF(E6="adoption",E39*E21*(1-E22),0)</f>
        <v>31363.2</v>
      </c>
      <c r="F40" s="8" t="n">
        <f aca="false">IF(F6="adoption",F39*F21*(1-F22),0)</f>
        <v>25344</v>
      </c>
    </row>
    <row r="41" customFormat="false" ht="15" hidden="false" customHeight="false" outlineLevel="0" collapsed="false">
      <c r="A41" s="4" t="s">
        <v>127</v>
      </c>
      <c r="B41" s="4" t="s">
        <v>128</v>
      </c>
      <c r="C41" s="8" t="n">
        <f aca="false">IF(C10&gt;0,C11*C10,C12)/(1+Inputs!$C$10)</f>
        <v>2232.14285714286</v>
      </c>
      <c r="D41" s="8" t="n">
        <f aca="false">IF(D10&gt;0,D11*D10,D12)/(1+Inputs!$C$10)</f>
        <v>4464.28571428571</v>
      </c>
      <c r="E41" s="8" t="n">
        <f aca="false">IF(E10&gt;0,E11*E10,E12)/(1+Inputs!$C$10)</f>
        <v>0</v>
      </c>
      <c r="F41" s="8" t="n">
        <f aca="false">IF(F10&gt;0,F11*F10,F12)/(1+Inputs!$C$10)</f>
        <v>0</v>
      </c>
    </row>
    <row r="42" customFormat="false" ht="15" hidden="false" customHeight="false" outlineLevel="0" collapsed="false">
      <c r="A42" s="4" t="s">
        <v>129</v>
      </c>
      <c r="B42" s="4" t="s">
        <v>130</v>
      </c>
      <c r="C42" s="8" t="n">
        <f aca="false">IF(C6="reprice",C38*(1-C15-C17),0)</f>
        <v>939840</v>
      </c>
      <c r="D42" s="8" t="n">
        <f aca="false">IF(D6="reprice",D38*(1-D15-D17),0)</f>
        <v>693088</v>
      </c>
      <c r="E42" s="8" t="n">
        <f aca="false">IF(E6="reprice",E38*(1-E15-E17),0)</f>
        <v>0</v>
      </c>
      <c r="F42" s="8" t="n">
        <f aca="false">IF(F6="reprice",F38*(1-F15-F17),0)</f>
        <v>0</v>
      </c>
    </row>
    <row r="43" customFormat="false" ht="15" hidden="false" customHeight="false" outlineLevel="0" collapsed="false">
      <c r="A43" s="4" t="s">
        <v>131</v>
      </c>
      <c r="B43" s="4" t="s">
        <v>132</v>
      </c>
      <c r="C43" s="8" t="n">
        <f aca="false">IF(C6="reprice",C38*C15,0)</f>
        <v>84480</v>
      </c>
      <c r="D43" s="8" t="n">
        <f aca="false">IF(D6="reprice",D38*D15,0)</f>
        <v>61952</v>
      </c>
      <c r="E43" s="8" t="n">
        <f aca="false">IF(E6="reprice",E38*E15,0)</f>
        <v>0</v>
      </c>
      <c r="F43" s="8" t="n">
        <f aca="false">IF(F6="reprice",F38*F15,0)</f>
        <v>0</v>
      </c>
    </row>
    <row r="44" customFormat="false" ht="15" hidden="false" customHeight="false" outlineLevel="0" collapsed="false">
      <c r="A44" s="4" t="s">
        <v>133</v>
      </c>
      <c r="B44" s="4" t="s">
        <v>134</v>
      </c>
      <c r="C44" s="8" t="n">
        <f aca="false">C39*C17</f>
        <v>31680</v>
      </c>
      <c r="D44" s="8" t="n">
        <f aca="false">D39*D17</f>
        <v>19360</v>
      </c>
      <c r="E44" s="8" t="n">
        <f aca="false">E39*E17</f>
        <v>0</v>
      </c>
      <c r="F44" s="8" t="n">
        <f aca="false">F39*F17</f>
        <v>0</v>
      </c>
    </row>
    <row r="45" customFormat="false" ht="15" hidden="false" customHeight="false" outlineLevel="0" collapsed="false">
      <c r="A45" s="4" t="s">
        <v>135</v>
      </c>
      <c r="B45" s="4" t="s">
        <v>136</v>
      </c>
      <c r="C45" s="8" t="n">
        <f aca="false">MAX(C31-1,1)</f>
        <v>5</v>
      </c>
      <c r="D45" s="8" t="n">
        <f aca="false">MAX(D31-1,1)</f>
        <v>1</v>
      </c>
      <c r="E45" s="8" t="n">
        <f aca="false">MAX(E31-1,1)</f>
        <v>1</v>
      </c>
      <c r="F45" s="8" t="n">
        <f aca="false">MAX(F31-1,1)</f>
        <v>1</v>
      </c>
    </row>
    <row r="46" customFormat="false" ht="15" hidden="false" customHeight="false" outlineLevel="0" collapsed="false">
      <c r="A46" s="4" t="s">
        <v>137</v>
      </c>
      <c r="B46" s="4" t="s">
        <v>138</v>
      </c>
      <c r="C46" s="8" t="n">
        <f aca="false">MIN(C31+11,36)</f>
        <v>17</v>
      </c>
      <c r="D46" s="8" t="n">
        <f aca="false">MIN(D31+11,36)</f>
        <v>13</v>
      </c>
      <c r="E46" s="8" t="n">
        <f aca="false">MIN(E31+11,36)</f>
        <v>13</v>
      </c>
      <c r="F46" s="8" t="n">
        <f aca="false">MIN(F31+11,36)</f>
        <v>13</v>
      </c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</row>
    <row r="48" customFormat="false" ht="15" hidden="false" customHeight="false" outlineLevel="0" collapsed="false">
      <c r="A48" s="13" t="s">
        <v>139</v>
      </c>
      <c r="B48" s="14"/>
      <c r="C48" s="14"/>
      <c r="D48" s="14"/>
      <c r="E48" s="14"/>
      <c r="F48" s="14"/>
    </row>
    <row r="49" customFormat="false" ht="15" hidden="false" customHeight="false" outlineLevel="0" collapsed="false">
      <c r="A49" s="4" t="s">
        <v>140</v>
      </c>
      <c r="B49" s="4" t="s">
        <v>141</v>
      </c>
      <c r="C49" s="15" t="n">
        <f aca="false">SUM(Monthly_I!C16:N16)</f>
        <v>14494601937.2855</v>
      </c>
      <c r="D49" s="15" t="n">
        <f aca="false">SUM(Monthly_I!C30:N30)</f>
        <v>21823874303.4934</v>
      </c>
      <c r="E49" s="15" t="n">
        <f aca="false">SUM(Monthly_I!C44:N44)</f>
        <v>2339178436.04719</v>
      </c>
      <c r="F49" s="15" t="n">
        <f aca="false">SUM(Monthly_I!C58:N58)</f>
        <v>1728695353.1637</v>
      </c>
    </row>
    <row r="50" customFormat="false" ht="15" hidden="false" customHeight="false" outlineLevel="0" collapsed="false">
      <c r="A50" s="4" t="s">
        <v>142</v>
      </c>
      <c r="B50" s="4" t="s">
        <v>143</v>
      </c>
      <c r="C50" s="15" t="n">
        <f aca="false">SUM(Monthly_I!O16:Z16)</f>
        <v>27332819186.2922</v>
      </c>
      <c r="D50" s="15" t="n">
        <f aca="false">SUM(Monthly_I!O30:Z30)</f>
        <v>24043884228.9734</v>
      </c>
      <c r="E50" s="15" t="n">
        <f aca="false">SUM(Monthly_I!O44:Z44)</f>
        <v>2346720787.35669</v>
      </c>
      <c r="F50" s="15" t="n">
        <f aca="false">SUM(Monthly_I!O58:Z58)</f>
        <v>1939676439.56535</v>
      </c>
    </row>
    <row r="51" customFormat="false" ht="15" hidden="false" customHeight="false" outlineLevel="0" collapsed="false">
      <c r="A51" s="4" t="s">
        <v>144</v>
      </c>
      <c r="B51" s="4" t="s">
        <v>145</v>
      </c>
      <c r="C51" s="15" t="n">
        <f aca="false">SUM(Monthly_I!AA16:AL16)</f>
        <v>22799178268.1672</v>
      </c>
      <c r="D51" s="15" t="n">
        <f aca="false">SUM(Monthly_I!AA30:AL30)</f>
        <v>20055772478.4737</v>
      </c>
      <c r="E51" s="15" t="n">
        <f aca="false">SUM(Monthly_I!AA44:AL44)</f>
        <v>2038852121.25363</v>
      </c>
      <c r="F51" s="15" t="n">
        <f aca="false">SUM(Monthly_I!AA58:AL58)</f>
        <v>1790132508.41171</v>
      </c>
    </row>
    <row r="52" customFormat="false" ht="15" hidden="false" customHeight="false" outlineLevel="0" collapsed="false">
      <c r="A52" s="4" t="s">
        <v>146</v>
      </c>
      <c r="B52" s="4" t="s">
        <v>147</v>
      </c>
      <c r="C52" s="15" t="n">
        <f aca="false">Monthly_I!Z16*12</f>
        <v>25118446611.2099</v>
      </c>
      <c r="D52" s="15" t="n">
        <f aca="false">Monthly_I!Z30*12</f>
        <v>22095965228.2947</v>
      </c>
      <c r="E52" s="15" t="n">
        <f aca="false">Monthly_I!Z44*12</f>
        <v>2198901920.64531</v>
      </c>
      <c r="F52" s="15" t="n">
        <f aca="false">Monthly_I!Z58*12</f>
        <v>1871177400.66693</v>
      </c>
    </row>
    <row r="53" customFormat="false" ht="15" hidden="false" customHeight="false" outlineLevel="0" collapsed="false">
      <c r="A53" s="4" t="s">
        <v>148</v>
      </c>
      <c r="B53" s="4" t="s">
        <v>149</v>
      </c>
      <c r="C53" s="15" t="n">
        <f aca="false">SUM(Monthly_I!C17:Z17)</f>
        <v>9095899403.11322</v>
      </c>
      <c r="D53" s="15" t="n">
        <f aca="false">SUM(Monthly_I!C31:Z31)</f>
        <v>5903790930.60666</v>
      </c>
      <c r="E53" s="15" t="n">
        <f aca="false">SUM(Monthly_I!C45:Z45)</f>
        <v>907441423.875801</v>
      </c>
      <c r="F53" s="15" t="n">
        <f aca="false">SUM(Monthly_I!C59:Z59)</f>
        <v>557408000</v>
      </c>
    </row>
    <row r="54" customFormat="false" ht="15" hidden="false" customHeight="false" outlineLevel="0" collapsed="false">
      <c r="A54" s="4" t="s">
        <v>150</v>
      </c>
      <c r="B54" s="4" t="s">
        <v>151</v>
      </c>
      <c r="C54" s="15" t="n">
        <f aca="false">SUM(Monthly_I!C18:Z18)</f>
        <v>32731521720.4645</v>
      </c>
      <c r="D54" s="15" t="n">
        <f aca="false">SUM(Monthly_I!C32:Z32)</f>
        <v>39963967601.8601</v>
      </c>
      <c r="E54" s="15" t="n">
        <f aca="false">SUM(Monthly_I!C46:Z46)</f>
        <v>3075572916.01749</v>
      </c>
      <c r="F54" s="15" t="n">
        <f aca="false">SUM(Monthly_I!C60:Z60)</f>
        <v>1643615075.63743</v>
      </c>
    </row>
    <row r="55" customFormat="false" ht="15" hidden="false" customHeight="false" outlineLevel="0" collapsed="false">
      <c r="A55" s="4" t="s">
        <v>152</v>
      </c>
      <c r="B55" s="4" t="s">
        <v>153</v>
      </c>
      <c r="C55" s="15" t="n">
        <f aca="false">SUM(Monthly_I!C18:AL18)</f>
        <v>53496875869.9197</v>
      </c>
      <c r="D55" s="15" t="n">
        <f aca="false">SUM(Monthly_I!C32:AL32)</f>
        <v>57554455274.8464</v>
      </c>
      <c r="E55" s="15" t="n">
        <f aca="false">SUM(Monthly_I!C46:AL46)</f>
        <v>4562534777.38062</v>
      </c>
      <c r="F55" s="15" t="n">
        <f aca="false">SUM(Monthly_I!C60:AL60)</f>
        <v>2597694580.68446</v>
      </c>
    </row>
    <row r="56" customFormat="false" ht="15" hidden="false" customHeight="false" outlineLevel="0" collapsed="false">
      <c r="A56" s="4" t="s">
        <v>154</v>
      </c>
      <c r="B56" s="4" t="s">
        <v>155</v>
      </c>
      <c r="C56" s="16" t="n">
        <f aca="false">IF(C53&gt;0,C54/C53,0)</f>
        <v>3.59849205338195</v>
      </c>
      <c r="D56" s="16" t="n">
        <f aca="false">IF(D53&gt;0,D54/D53,0)</f>
        <v>6.76920440977634</v>
      </c>
      <c r="E56" s="16" t="n">
        <f aca="false">IF(E53&gt;0,E54/E53,0)</f>
        <v>3.38927983128798</v>
      </c>
      <c r="F56" s="16" t="n">
        <f aca="false">IF(F53&gt;0,F54/F53,0)</f>
        <v>2.9486750739807</v>
      </c>
    </row>
    <row r="57" customFormat="false" ht="15" hidden="false" customHeight="false" outlineLevel="0" collapsed="false">
      <c r="A57" s="4" t="s">
        <v>156</v>
      </c>
      <c r="B57" s="4" t="s">
        <v>157</v>
      </c>
      <c r="C57" s="17" t="n">
        <f aca="false">(INDEX(Monthly_I!$C$5:$AL$5,1,C46)+INDEX(Monthly_I!$C$16:$AL$16,1,C46))/(INDEX(Monthly_I!$C$4:$AL$4,1,C46)+INDEX(Monthly_I!$C$19:$AL$19,1,C46))/Inputs!$C$8-1</f>
        <v>0.0569365251714697</v>
      </c>
      <c r="D57" s="17" t="n">
        <f aca="false">(INDEX(Monthly_I!$C$5:$AL$5,1,D46)+INDEX(Monthly_I!$C$30:$AL$30,1,D46))/(INDEX(Monthly_I!$C$4:$AL$4,1,D46)+INDEX(Monthly_I!$C$33:$AL$33,1,D46))/Inputs!$C$8-1</f>
        <v>0.0467837710660588</v>
      </c>
      <c r="E57" s="17" t="n">
        <f aca="false">(INDEX(Monthly_I!$C$5:$AL$5,1,E46)+INDEX(Monthly_I!$C$44:$AL$44,1,E46))/(INDEX(Monthly_I!$C$4:$AL$4,1,E46)+INDEX(Monthly_I!$C$47:$AL$47,1,E46))/Inputs!$C$8-1</f>
        <v>0.00381928320992175</v>
      </c>
      <c r="F57" s="17" t="n">
        <f aca="false">(INDEX(Monthly_I!$C$5:$AL$5,1,F46)+INDEX(Monthly_I!$C$58:$AL$58,1,F46))/(INDEX(Monthly_I!$C$4:$AL$4,1,F46)+INDEX(Monthly_I!$C$61:$AL$61,1,F46))/Inputs!$C$8-1</f>
        <v>0.00289420938809171</v>
      </c>
    </row>
    <row r="58" customFormat="false" ht="15" hidden="false" customHeight="false" outlineLevel="0" collapsed="false">
      <c r="A58" s="4" t="s">
        <v>158</v>
      </c>
      <c r="B58" s="4" t="s">
        <v>159</v>
      </c>
      <c r="C58" s="17" t="n">
        <f aca="false">(Monthly_I!Z$5+Monthly_I!Z16)/(Monthly_I!Z$4+Monthly_I!Z19)/Inputs!$C$8-1</f>
        <v>0.0569365251714697</v>
      </c>
      <c r="D58" s="17" t="n">
        <f aca="false">(Monthly_I!Z$5+Monthly_I!Z30)/(Monthly_I!Z$4+Monthly_I!Z33)/Inputs!$C$8-1</f>
        <v>0.046783771066059</v>
      </c>
      <c r="E58" s="17" t="n">
        <f aca="false">(Monthly_I!Z$5+Monthly_I!Z44)/(Monthly_I!Z$4+Monthly_I!Z47)/Inputs!$C$8-1</f>
        <v>0.00389103669302648</v>
      </c>
      <c r="F58" s="17" t="n">
        <f aca="false">(Monthly_I!Z$5+Monthly_I!Z58)/(Monthly_I!Z$4+Monthly_I!Z61)/Inputs!$C$8-1</f>
        <v>0.00294340642202751</v>
      </c>
    </row>
    <row r="59" customFormat="false" ht="15" hidden="false" customHeight="false" outlineLevel="0" collapsed="false">
      <c r="A59" s="4" t="s">
        <v>160</v>
      </c>
      <c r="B59" s="4" t="s">
        <v>161</v>
      </c>
      <c r="C59" s="15" t="n">
        <f aca="false">Monthly_I!Z19</f>
        <v>-24882.2044505664</v>
      </c>
      <c r="D59" s="15" t="n">
        <f aca="false">Monthly_I!Z33</f>
        <v>-14375.7068186103</v>
      </c>
      <c r="E59" s="15" t="n">
        <f aca="false">Monthly_I!Z47</f>
        <v>373.846420170585</v>
      </c>
      <c r="F59" s="15" t="n">
        <f aca="false">Monthly_I!Z61</f>
        <v>1216.35589909619</v>
      </c>
    </row>
    <row r="60" customFormat="false" ht="15" hidden="false" customHeight="false" outlineLevel="0" collapsed="false">
      <c r="A60" s="4" t="s">
        <v>162</v>
      </c>
      <c r="B60" s="4" t="s">
        <v>163</v>
      </c>
      <c r="C60" s="8" t="n">
        <f aca="false">C54*C35</f>
        <v>21275489118.302</v>
      </c>
      <c r="D60" s="8" t="n">
        <f aca="false">D54*D35</f>
        <v>31971174081.4881</v>
      </c>
      <c r="E60" s="8" t="n">
        <f aca="false">E54*E35</f>
        <v>2768015624.41574</v>
      </c>
      <c r="F60" s="8" t="n">
        <f aca="false">F54*F35</f>
        <v>1479253568.07369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8" min="3" style="0" width="15"/>
  </cols>
  <sheetData>
    <row r="1" customFormat="false" ht="17.35" hidden="false" customHeight="false" outlineLevel="0" collapsed="false">
      <c r="A1" s="1" t="s">
        <v>164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customFormat="false" ht="15" hidden="false" customHeight="false" outlineLevel="0" collapsed="false">
      <c r="A3" s="5" t="s">
        <v>165</v>
      </c>
      <c r="B3" s="5"/>
      <c r="C3" s="5" t="n">
        <v>1</v>
      </c>
      <c r="D3" s="5" t="n">
        <v>2</v>
      </c>
      <c r="E3" s="5" t="n">
        <v>3</v>
      </c>
      <c r="F3" s="5" t="n">
        <v>4</v>
      </c>
      <c r="G3" s="5" t="n">
        <v>5</v>
      </c>
      <c r="H3" s="5" t="n">
        <v>6</v>
      </c>
      <c r="I3" s="5" t="n">
        <v>7</v>
      </c>
      <c r="J3" s="5" t="n">
        <v>8</v>
      </c>
      <c r="K3" s="5" t="n">
        <v>9</v>
      </c>
      <c r="L3" s="5" t="n">
        <v>10</v>
      </c>
      <c r="M3" s="5" t="n">
        <v>11</v>
      </c>
      <c r="N3" s="5" t="n">
        <v>12</v>
      </c>
      <c r="O3" s="5" t="n">
        <v>13</v>
      </c>
      <c r="P3" s="5" t="n">
        <v>14</v>
      </c>
      <c r="Q3" s="5" t="n">
        <v>15</v>
      </c>
      <c r="R3" s="5" t="n">
        <v>16</v>
      </c>
      <c r="S3" s="5" t="n">
        <v>17</v>
      </c>
      <c r="T3" s="5" t="n">
        <v>18</v>
      </c>
      <c r="U3" s="5" t="n">
        <v>19</v>
      </c>
      <c r="V3" s="5" t="n">
        <v>20</v>
      </c>
      <c r="W3" s="5" t="n">
        <v>21</v>
      </c>
      <c r="X3" s="5" t="n">
        <v>22</v>
      </c>
      <c r="Y3" s="5" t="n">
        <v>23</v>
      </c>
      <c r="Z3" s="5" t="n">
        <v>24</v>
      </c>
      <c r="AA3" s="5" t="n">
        <v>25</v>
      </c>
      <c r="AB3" s="5" t="n">
        <v>26</v>
      </c>
      <c r="AC3" s="5" t="n">
        <v>27</v>
      </c>
      <c r="AD3" s="5" t="n">
        <v>28</v>
      </c>
      <c r="AE3" s="5" t="n">
        <v>29</v>
      </c>
      <c r="AF3" s="5" t="n">
        <v>30</v>
      </c>
      <c r="AG3" s="5" t="n">
        <v>31</v>
      </c>
      <c r="AH3" s="5" t="n">
        <v>32</v>
      </c>
      <c r="AI3" s="5" t="n">
        <v>33</v>
      </c>
      <c r="AJ3" s="5" t="n">
        <v>34</v>
      </c>
      <c r="AK3" s="5" t="n">
        <v>35</v>
      </c>
      <c r="AL3" s="5" t="n">
        <v>36</v>
      </c>
    </row>
    <row r="4" customFormat="false" ht="15" hidden="false" customHeight="false" outlineLevel="0" collapsed="false">
      <c r="A4" s="4" t="s">
        <v>166</v>
      </c>
      <c r="B4" s="4"/>
      <c r="C4" s="8" t="n">
        <f aca="false">Inputs!$C$7*(1-Inputs!$C$9)^C$3</f>
        <v>3467200</v>
      </c>
      <c r="D4" s="8" t="n">
        <f aca="false">Inputs!$C$7*(1-Inputs!$C$9)^D$3</f>
        <v>3415192</v>
      </c>
      <c r="E4" s="8" t="n">
        <f aca="false">Inputs!$C$7*(1-Inputs!$C$9)^E$3</f>
        <v>3363964.12</v>
      </c>
      <c r="F4" s="8" t="n">
        <f aca="false">Inputs!$C$7*(1-Inputs!$C$9)^F$3</f>
        <v>3313504.6582</v>
      </c>
      <c r="G4" s="8" t="n">
        <f aca="false">Inputs!$C$7*(1-Inputs!$C$9)^G$3</f>
        <v>3263802.088327</v>
      </c>
      <c r="H4" s="8" t="n">
        <f aca="false">Inputs!$C$7*(1-Inputs!$C$9)^H$3</f>
        <v>3214845.05700209</v>
      </c>
      <c r="I4" s="8" t="n">
        <f aca="false">Inputs!$C$7*(1-Inputs!$C$9)^I$3</f>
        <v>3166622.38114706</v>
      </c>
      <c r="J4" s="8" t="n">
        <f aca="false">Inputs!$C$7*(1-Inputs!$C$9)^J$3</f>
        <v>3119123.04542986</v>
      </c>
      <c r="K4" s="8" t="n">
        <f aca="false">Inputs!$C$7*(1-Inputs!$C$9)^K$3</f>
        <v>3072336.19974841</v>
      </c>
      <c r="L4" s="8" t="n">
        <f aca="false">Inputs!$C$7*(1-Inputs!$C$9)^L$3</f>
        <v>3026251.15675218</v>
      </c>
      <c r="M4" s="8" t="n">
        <f aca="false">Inputs!$C$7*(1-Inputs!$C$9)^M$3</f>
        <v>2980857.3894009</v>
      </c>
      <c r="N4" s="8" t="n">
        <f aca="false">Inputs!$C$7*(1-Inputs!$C$9)^N$3</f>
        <v>2936144.52855989</v>
      </c>
      <c r="O4" s="8" t="n">
        <f aca="false">Inputs!$C$7*(1-Inputs!$C$9)^O$3</f>
        <v>2892102.36063149</v>
      </c>
      <c r="P4" s="8" t="n">
        <f aca="false">Inputs!$C$7*(1-Inputs!$C$9)^P$3</f>
        <v>2848720.82522202</v>
      </c>
      <c r="Q4" s="8" t="n">
        <f aca="false">Inputs!$C$7*(1-Inputs!$C$9)^Q$3</f>
        <v>2805990.01284369</v>
      </c>
      <c r="R4" s="8" t="n">
        <f aca="false">Inputs!$C$7*(1-Inputs!$C$9)^R$3</f>
        <v>2763900.16265103</v>
      </c>
      <c r="S4" s="8" t="n">
        <f aca="false">Inputs!$C$7*(1-Inputs!$C$9)^S$3</f>
        <v>2722441.66021127</v>
      </c>
      <c r="T4" s="8" t="n">
        <f aca="false">Inputs!$C$7*(1-Inputs!$C$9)^T$3</f>
        <v>2681605.0353081</v>
      </c>
      <c r="U4" s="8" t="n">
        <f aca="false">Inputs!$C$7*(1-Inputs!$C$9)^U$3</f>
        <v>2641380.95977847</v>
      </c>
      <c r="V4" s="8" t="n">
        <f aca="false">Inputs!$C$7*(1-Inputs!$C$9)^V$3</f>
        <v>2601760.2453818</v>
      </c>
      <c r="W4" s="8" t="n">
        <f aca="false">Inputs!$C$7*(1-Inputs!$C$9)^W$3</f>
        <v>2562733.84170107</v>
      </c>
      <c r="X4" s="8" t="n">
        <f aca="false">Inputs!$C$7*(1-Inputs!$C$9)^X$3</f>
        <v>2524292.83407555</v>
      </c>
      <c r="Y4" s="8" t="n">
        <f aca="false">Inputs!$C$7*(1-Inputs!$C$9)^Y$3</f>
        <v>2486428.44156442</v>
      </c>
      <c r="Z4" s="8" t="n">
        <f aca="false">Inputs!$C$7*(1-Inputs!$C$9)^Z$3</f>
        <v>2449132.01494095</v>
      </c>
      <c r="AA4" s="8" t="n">
        <f aca="false">Inputs!$C$7*(1-Inputs!$C$9)^AA$3</f>
        <v>2412395.03471684</v>
      </c>
      <c r="AB4" s="8" t="n">
        <f aca="false">Inputs!$C$7*(1-Inputs!$C$9)^AB$3</f>
        <v>2376209.10919609</v>
      </c>
      <c r="AC4" s="8" t="n">
        <f aca="false">Inputs!$C$7*(1-Inputs!$C$9)^AC$3</f>
        <v>2340565.97255815</v>
      </c>
      <c r="AD4" s="8" t="n">
        <f aca="false">Inputs!$C$7*(1-Inputs!$C$9)^AD$3</f>
        <v>2305457.48296977</v>
      </c>
      <c r="AE4" s="8" t="n">
        <f aca="false">Inputs!$C$7*(1-Inputs!$C$9)^AE$3</f>
        <v>2270875.62072523</v>
      </c>
      <c r="AF4" s="8" t="n">
        <f aca="false">Inputs!$C$7*(1-Inputs!$C$9)^AF$3</f>
        <v>2236812.48641435</v>
      </c>
      <c r="AG4" s="8" t="n">
        <f aca="false">Inputs!$C$7*(1-Inputs!$C$9)^AG$3</f>
        <v>2203260.29911813</v>
      </c>
      <c r="AH4" s="8" t="n">
        <f aca="false">Inputs!$C$7*(1-Inputs!$C$9)^AH$3</f>
        <v>2170211.39463136</v>
      </c>
      <c r="AI4" s="8" t="n">
        <f aca="false">Inputs!$C$7*(1-Inputs!$C$9)^AI$3</f>
        <v>2137658.22371189</v>
      </c>
      <c r="AJ4" s="8" t="n">
        <f aca="false">Inputs!$C$7*(1-Inputs!$C$9)^AJ$3</f>
        <v>2105593.35035621</v>
      </c>
      <c r="AK4" s="8" t="n">
        <f aca="false">Inputs!$C$7*(1-Inputs!$C$9)^AK$3</f>
        <v>2074009.45010087</v>
      </c>
      <c r="AL4" s="8" t="n">
        <f aca="false">Inputs!$C$7*(1-Inputs!$C$9)^AL$3</f>
        <v>2042899.30834936</v>
      </c>
    </row>
    <row r="5" customFormat="false" ht="15" hidden="false" customHeight="false" outlineLevel="0" collapsed="false">
      <c r="A5" s="4" t="s">
        <v>167</v>
      </c>
      <c r="B5" s="4"/>
      <c r="C5" s="8" t="n">
        <f aca="false">C4*Inputs!$C$8</f>
        <v>64143200000</v>
      </c>
      <c r="D5" s="8" t="n">
        <f aca="false">D4*Inputs!$C$8</f>
        <v>63181052000</v>
      </c>
      <c r="E5" s="8" t="n">
        <f aca="false">E4*Inputs!$C$8</f>
        <v>62233336220</v>
      </c>
      <c r="F5" s="8" t="n">
        <f aca="false">F4*Inputs!$C$8</f>
        <v>61299836176.7</v>
      </c>
      <c r="G5" s="8" t="n">
        <f aca="false">G4*Inputs!$C$8</f>
        <v>60380338634.0495</v>
      </c>
      <c r="H5" s="8" t="n">
        <f aca="false">H4*Inputs!$C$8</f>
        <v>59474633554.5388</v>
      </c>
      <c r="I5" s="8" t="n">
        <f aca="false">I4*Inputs!$C$8</f>
        <v>58582514051.2207</v>
      </c>
      <c r="J5" s="8" t="n">
        <f aca="false">J4*Inputs!$C$8</f>
        <v>57703776340.4524</v>
      </c>
      <c r="K5" s="8" t="n">
        <f aca="false">K4*Inputs!$C$8</f>
        <v>56838219695.3456</v>
      </c>
      <c r="L5" s="8" t="n">
        <f aca="false">L4*Inputs!$C$8</f>
        <v>55985646399.9154</v>
      </c>
      <c r="M5" s="8" t="n">
        <f aca="false">M4*Inputs!$C$8</f>
        <v>55145861703.9167</v>
      </c>
      <c r="N5" s="8" t="n">
        <f aca="false">N4*Inputs!$C$8</f>
        <v>54318673778.3579</v>
      </c>
      <c r="O5" s="8" t="n">
        <f aca="false">O4*Inputs!$C$8</f>
        <v>53503893671.6825</v>
      </c>
      <c r="P5" s="8" t="n">
        <f aca="false">P4*Inputs!$C$8</f>
        <v>52701335266.6073</v>
      </c>
      <c r="Q5" s="8" t="n">
        <f aca="false">Q4*Inputs!$C$8</f>
        <v>51910815237.6082</v>
      </c>
      <c r="R5" s="8" t="n">
        <f aca="false">R4*Inputs!$C$8</f>
        <v>51132153009.0441</v>
      </c>
      <c r="S5" s="8" t="n">
        <f aca="false">S4*Inputs!$C$8</f>
        <v>50365170713.9084</v>
      </c>
      <c r="T5" s="8" t="n">
        <f aca="false">T4*Inputs!$C$8</f>
        <v>49609693153.1998</v>
      </c>
      <c r="U5" s="8" t="n">
        <f aca="false">U4*Inputs!$C$8</f>
        <v>48865547755.9018</v>
      </c>
      <c r="V5" s="8" t="n">
        <f aca="false">V4*Inputs!$C$8</f>
        <v>48132564539.5633</v>
      </c>
      <c r="W5" s="8" t="n">
        <f aca="false">W4*Inputs!$C$8</f>
        <v>47410576071.4698</v>
      </c>
      <c r="X5" s="8" t="n">
        <f aca="false">X4*Inputs!$C$8</f>
        <v>46699417430.3978</v>
      </c>
      <c r="Y5" s="8" t="n">
        <f aca="false">Y4*Inputs!$C$8</f>
        <v>45998926168.9418</v>
      </c>
      <c r="Z5" s="8" t="n">
        <f aca="false">Z4*Inputs!$C$8</f>
        <v>45308942276.4077</v>
      </c>
      <c r="AA5" s="8" t="n">
        <f aca="false">AA4*Inputs!$C$8</f>
        <v>44629308142.2615</v>
      </c>
      <c r="AB5" s="8" t="n">
        <f aca="false">AB4*Inputs!$C$8</f>
        <v>43959868520.1276</v>
      </c>
      <c r="AC5" s="8" t="n">
        <f aca="false">AC4*Inputs!$C$8</f>
        <v>43300470492.3257</v>
      </c>
      <c r="AD5" s="8" t="n">
        <f aca="false">AD4*Inputs!$C$8</f>
        <v>42650963434.9408</v>
      </c>
      <c r="AE5" s="8" t="n">
        <f aca="false">AE4*Inputs!$C$8</f>
        <v>42011198983.4167</v>
      </c>
      <c r="AF5" s="8" t="n">
        <f aca="false">AF4*Inputs!$C$8</f>
        <v>41381030998.6655</v>
      </c>
      <c r="AG5" s="8" t="n">
        <f aca="false">AG4*Inputs!$C$8</f>
        <v>40760315533.6855</v>
      </c>
      <c r="AH5" s="8" t="n">
        <f aca="false">AH4*Inputs!$C$8</f>
        <v>40148910800.6802</v>
      </c>
      <c r="AI5" s="8" t="n">
        <f aca="false">AI4*Inputs!$C$8</f>
        <v>39546677138.67</v>
      </c>
      <c r="AJ5" s="8" t="n">
        <f aca="false">AJ4*Inputs!$C$8</f>
        <v>38953476981.5899</v>
      </c>
      <c r="AK5" s="8" t="n">
        <f aca="false">AK4*Inputs!$C$8</f>
        <v>38369174826.8661</v>
      </c>
      <c r="AL5" s="8" t="n">
        <f aca="false">AL4*Inputs!$C$8</f>
        <v>37793637204.4631</v>
      </c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customFormat="false" ht="15" hidden="false" customHeight="false" outlineLevel="0" collapsed="false">
      <c r="A7" s="13" t="s">
        <v>168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</row>
    <row r="8" customFormat="false" ht="15" hidden="false" customHeight="false" outlineLevel="0" collapsed="false">
      <c r="A8" s="4" t="s">
        <v>169</v>
      </c>
      <c r="B8" s="4" t="s">
        <v>170</v>
      </c>
      <c r="C8" s="18" t="n">
        <f aca="false">IF(Initiatives!$C$6="adoption",IF(C$3&lt;Initiatives!$C$31,0,MIN((C$3-Initiatives!$C$31+1)/Initiatives!$C$34,1)),0)</f>
        <v>0</v>
      </c>
      <c r="D8" s="18" t="n">
        <f aca="false">IF(Initiatives!$C$6="adoption",IF(D$3&lt;Initiatives!$C$31,0,MIN((D$3-Initiatives!$C$31+1)/Initiatives!$C$34,1)),0)</f>
        <v>0</v>
      </c>
      <c r="E8" s="18" t="n">
        <f aca="false">IF(Initiatives!$C$6="adoption",IF(E$3&lt;Initiatives!$C$31,0,MIN((E$3-Initiatives!$C$31+1)/Initiatives!$C$34,1)),0)</f>
        <v>0</v>
      </c>
      <c r="F8" s="18" t="n">
        <f aca="false">IF(Initiatives!$C$6="adoption",IF(F$3&lt;Initiatives!$C$31,0,MIN((F$3-Initiatives!$C$31+1)/Initiatives!$C$34,1)),0)</f>
        <v>0</v>
      </c>
      <c r="G8" s="18" t="n">
        <f aca="false">IF(Initiatives!$C$6="adoption",IF(G$3&lt;Initiatives!$C$31,0,MIN((G$3-Initiatives!$C$31+1)/Initiatives!$C$34,1)),0)</f>
        <v>0</v>
      </c>
      <c r="H8" s="18" t="n">
        <f aca="false">IF(Initiatives!$C$6="adoption",IF(H$3&lt;Initiatives!$C$31,0,MIN((H$3-Initiatives!$C$31+1)/Initiatives!$C$34,1)),0)</f>
        <v>0</v>
      </c>
      <c r="I8" s="18" t="n">
        <f aca="false">IF(Initiatives!$C$6="adoption",IF(I$3&lt;Initiatives!$C$31,0,MIN((I$3-Initiatives!$C$31+1)/Initiatives!$C$34,1)),0)</f>
        <v>0</v>
      </c>
      <c r="J8" s="18" t="n">
        <f aca="false">IF(Initiatives!$C$6="adoption",IF(J$3&lt;Initiatives!$C$31,0,MIN((J$3-Initiatives!$C$31+1)/Initiatives!$C$34,1)),0)</f>
        <v>0</v>
      </c>
      <c r="K8" s="18" t="n">
        <f aca="false">IF(Initiatives!$C$6="adoption",IF(K$3&lt;Initiatives!$C$31,0,MIN((K$3-Initiatives!$C$31+1)/Initiatives!$C$34,1)),0)</f>
        <v>0</v>
      </c>
      <c r="L8" s="18" t="n">
        <f aca="false">IF(Initiatives!$C$6="adoption",IF(L$3&lt;Initiatives!$C$31,0,MIN((L$3-Initiatives!$C$31+1)/Initiatives!$C$34,1)),0)</f>
        <v>0</v>
      </c>
      <c r="M8" s="18" t="n">
        <f aca="false">IF(Initiatives!$C$6="adoption",IF(M$3&lt;Initiatives!$C$31,0,MIN((M$3-Initiatives!$C$31+1)/Initiatives!$C$34,1)),0)</f>
        <v>0</v>
      </c>
      <c r="N8" s="18" t="n">
        <f aca="false">IF(Initiatives!$C$6="adoption",IF(N$3&lt;Initiatives!$C$31,0,MIN((N$3-Initiatives!$C$31+1)/Initiatives!$C$34,1)),0)</f>
        <v>0</v>
      </c>
      <c r="O8" s="18" t="n">
        <f aca="false">IF(Initiatives!$C$6="adoption",IF(O$3&lt;Initiatives!$C$31,0,MIN((O$3-Initiatives!$C$31+1)/Initiatives!$C$34,1)),0)</f>
        <v>0</v>
      </c>
      <c r="P8" s="18" t="n">
        <f aca="false">IF(Initiatives!$C$6="adoption",IF(P$3&lt;Initiatives!$C$31,0,MIN((P$3-Initiatives!$C$31+1)/Initiatives!$C$34,1)),0)</f>
        <v>0</v>
      </c>
      <c r="Q8" s="18" t="n">
        <f aca="false">IF(Initiatives!$C$6="adoption",IF(Q$3&lt;Initiatives!$C$31,0,MIN((Q$3-Initiatives!$C$31+1)/Initiatives!$C$34,1)),0)</f>
        <v>0</v>
      </c>
      <c r="R8" s="18" t="n">
        <f aca="false">IF(Initiatives!$C$6="adoption",IF(R$3&lt;Initiatives!$C$31,0,MIN((R$3-Initiatives!$C$31+1)/Initiatives!$C$34,1)),0)</f>
        <v>0</v>
      </c>
      <c r="S8" s="18" t="n">
        <f aca="false">IF(Initiatives!$C$6="adoption",IF(S$3&lt;Initiatives!$C$31,0,MIN((S$3-Initiatives!$C$31+1)/Initiatives!$C$34,1)),0)</f>
        <v>0</v>
      </c>
      <c r="T8" s="18" t="n">
        <f aca="false">IF(Initiatives!$C$6="adoption",IF(T$3&lt;Initiatives!$C$31,0,MIN((T$3-Initiatives!$C$31+1)/Initiatives!$C$34,1)),0)</f>
        <v>0</v>
      </c>
      <c r="U8" s="18" t="n">
        <f aca="false">IF(Initiatives!$C$6="adoption",IF(U$3&lt;Initiatives!$C$31,0,MIN((U$3-Initiatives!$C$31+1)/Initiatives!$C$34,1)),0)</f>
        <v>0</v>
      </c>
      <c r="V8" s="18" t="n">
        <f aca="false">IF(Initiatives!$C$6="adoption",IF(V$3&lt;Initiatives!$C$31,0,MIN((V$3-Initiatives!$C$31+1)/Initiatives!$C$34,1)),0)</f>
        <v>0</v>
      </c>
      <c r="W8" s="18" t="n">
        <f aca="false">IF(Initiatives!$C$6="adoption",IF(W$3&lt;Initiatives!$C$31,0,MIN((W$3-Initiatives!$C$31+1)/Initiatives!$C$34,1)),0)</f>
        <v>0</v>
      </c>
      <c r="X8" s="18" t="n">
        <f aca="false">IF(Initiatives!$C$6="adoption",IF(X$3&lt;Initiatives!$C$31,0,MIN((X$3-Initiatives!$C$31+1)/Initiatives!$C$34,1)),0)</f>
        <v>0</v>
      </c>
      <c r="Y8" s="18" t="n">
        <f aca="false">IF(Initiatives!$C$6="adoption",IF(Y$3&lt;Initiatives!$C$31,0,MIN((Y$3-Initiatives!$C$31+1)/Initiatives!$C$34,1)),0)</f>
        <v>0</v>
      </c>
      <c r="Z8" s="18" t="n">
        <f aca="false">IF(Initiatives!$C$6="adoption",IF(Z$3&lt;Initiatives!$C$31,0,MIN((Z$3-Initiatives!$C$31+1)/Initiatives!$C$34,1)),0)</f>
        <v>0</v>
      </c>
      <c r="AA8" s="18" t="n">
        <f aca="false">IF(Initiatives!$C$6="adoption",IF(AA$3&lt;Initiatives!$C$31,0,MIN((AA$3-Initiatives!$C$31+1)/Initiatives!$C$34,1)),0)</f>
        <v>0</v>
      </c>
      <c r="AB8" s="18" t="n">
        <f aca="false">IF(Initiatives!$C$6="adoption",IF(AB$3&lt;Initiatives!$C$31,0,MIN((AB$3-Initiatives!$C$31+1)/Initiatives!$C$34,1)),0)</f>
        <v>0</v>
      </c>
      <c r="AC8" s="18" t="n">
        <f aca="false">IF(Initiatives!$C$6="adoption",IF(AC$3&lt;Initiatives!$C$31,0,MIN((AC$3-Initiatives!$C$31+1)/Initiatives!$C$34,1)),0)</f>
        <v>0</v>
      </c>
      <c r="AD8" s="18" t="n">
        <f aca="false">IF(Initiatives!$C$6="adoption",IF(AD$3&lt;Initiatives!$C$31,0,MIN((AD$3-Initiatives!$C$31+1)/Initiatives!$C$34,1)),0)</f>
        <v>0</v>
      </c>
      <c r="AE8" s="18" t="n">
        <f aca="false">IF(Initiatives!$C$6="adoption",IF(AE$3&lt;Initiatives!$C$31,0,MIN((AE$3-Initiatives!$C$31+1)/Initiatives!$C$34,1)),0)</f>
        <v>0</v>
      </c>
      <c r="AF8" s="18" t="n">
        <f aca="false">IF(Initiatives!$C$6="adoption",IF(AF$3&lt;Initiatives!$C$31,0,MIN((AF$3-Initiatives!$C$31+1)/Initiatives!$C$34,1)),0)</f>
        <v>0</v>
      </c>
      <c r="AG8" s="18" t="n">
        <f aca="false">IF(Initiatives!$C$6="adoption",IF(AG$3&lt;Initiatives!$C$31,0,MIN((AG$3-Initiatives!$C$31+1)/Initiatives!$C$34,1)),0)</f>
        <v>0</v>
      </c>
      <c r="AH8" s="18" t="n">
        <f aca="false">IF(Initiatives!$C$6="adoption",IF(AH$3&lt;Initiatives!$C$31,0,MIN((AH$3-Initiatives!$C$31+1)/Initiatives!$C$34,1)),0)</f>
        <v>0</v>
      </c>
      <c r="AI8" s="18" t="n">
        <f aca="false">IF(Initiatives!$C$6="adoption",IF(AI$3&lt;Initiatives!$C$31,0,MIN((AI$3-Initiatives!$C$31+1)/Initiatives!$C$34,1)),0)</f>
        <v>0</v>
      </c>
      <c r="AJ8" s="18" t="n">
        <f aca="false">IF(Initiatives!$C$6="adoption",IF(AJ$3&lt;Initiatives!$C$31,0,MIN((AJ$3-Initiatives!$C$31+1)/Initiatives!$C$34,1)),0)</f>
        <v>0</v>
      </c>
      <c r="AK8" s="18" t="n">
        <f aca="false">IF(Initiatives!$C$6="adoption",IF(AK$3&lt;Initiatives!$C$31,0,MIN((AK$3-Initiatives!$C$31+1)/Initiatives!$C$34,1)),0)</f>
        <v>0</v>
      </c>
      <c r="AL8" s="18" t="n">
        <f aca="false">IF(Initiatives!$C$6="adoption",IF(AL$3&lt;Initiatives!$C$31,0,MIN((AL$3-Initiatives!$C$31+1)/Initiatives!$C$34,1)),0)</f>
        <v>0</v>
      </c>
    </row>
    <row r="9" customFormat="false" ht="15" hidden="false" customHeight="false" outlineLevel="0" collapsed="false">
      <c r="A9" s="4" t="s">
        <v>171</v>
      </c>
      <c r="B9" s="4" t="s">
        <v>172</v>
      </c>
      <c r="C9" s="8" t="n">
        <f aca="false">Initiatives!$C$40*C8</f>
        <v>0</v>
      </c>
      <c r="D9" s="8" t="n">
        <f aca="false">Initiatives!$C$40*D8</f>
        <v>0</v>
      </c>
      <c r="E9" s="8" t="n">
        <f aca="false">Initiatives!$C$40*E8</f>
        <v>0</v>
      </c>
      <c r="F9" s="8" t="n">
        <f aca="false">Initiatives!$C$40*F8</f>
        <v>0</v>
      </c>
      <c r="G9" s="8" t="n">
        <f aca="false">Initiatives!$C$40*G8</f>
        <v>0</v>
      </c>
      <c r="H9" s="8" t="n">
        <f aca="false">Initiatives!$C$40*H8</f>
        <v>0</v>
      </c>
      <c r="I9" s="8" t="n">
        <f aca="false">Initiatives!$C$40*I8</f>
        <v>0</v>
      </c>
      <c r="J9" s="8" t="n">
        <f aca="false">Initiatives!$C$40*J8</f>
        <v>0</v>
      </c>
      <c r="K9" s="8" t="n">
        <f aca="false">Initiatives!$C$40*K8</f>
        <v>0</v>
      </c>
      <c r="L9" s="8" t="n">
        <f aca="false">Initiatives!$C$40*L8</f>
        <v>0</v>
      </c>
      <c r="M9" s="8" t="n">
        <f aca="false">Initiatives!$C$40*M8</f>
        <v>0</v>
      </c>
      <c r="N9" s="8" t="n">
        <f aca="false">Initiatives!$C$40*N8</f>
        <v>0</v>
      </c>
      <c r="O9" s="8" t="n">
        <f aca="false">Initiatives!$C$40*O8</f>
        <v>0</v>
      </c>
      <c r="P9" s="8" t="n">
        <f aca="false">Initiatives!$C$40*P8</f>
        <v>0</v>
      </c>
      <c r="Q9" s="8" t="n">
        <f aca="false">Initiatives!$C$40*Q8</f>
        <v>0</v>
      </c>
      <c r="R9" s="8" t="n">
        <f aca="false">Initiatives!$C$40*R8</f>
        <v>0</v>
      </c>
      <c r="S9" s="8" t="n">
        <f aca="false">Initiatives!$C$40*S8</f>
        <v>0</v>
      </c>
      <c r="T9" s="8" t="n">
        <f aca="false">Initiatives!$C$40*T8</f>
        <v>0</v>
      </c>
      <c r="U9" s="8" t="n">
        <f aca="false">Initiatives!$C$40*U8</f>
        <v>0</v>
      </c>
      <c r="V9" s="8" t="n">
        <f aca="false">Initiatives!$C$40*V8</f>
        <v>0</v>
      </c>
      <c r="W9" s="8" t="n">
        <f aca="false">Initiatives!$C$40*W8</f>
        <v>0</v>
      </c>
      <c r="X9" s="8" t="n">
        <f aca="false">Initiatives!$C$40*X8</f>
        <v>0</v>
      </c>
      <c r="Y9" s="8" t="n">
        <f aca="false">Initiatives!$C$40*Y8</f>
        <v>0</v>
      </c>
      <c r="Z9" s="8" t="n">
        <f aca="false">Initiatives!$C$40*Z8</f>
        <v>0</v>
      </c>
      <c r="AA9" s="8" t="n">
        <f aca="false">Initiatives!$C$40*AA8</f>
        <v>0</v>
      </c>
      <c r="AB9" s="8" t="n">
        <f aca="false">Initiatives!$C$40*AB8</f>
        <v>0</v>
      </c>
      <c r="AC9" s="8" t="n">
        <f aca="false">Initiatives!$C$40*AC8</f>
        <v>0</v>
      </c>
      <c r="AD9" s="8" t="n">
        <f aca="false">Initiatives!$C$40*AD8</f>
        <v>0</v>
      </c>
      <c r="AE9" s="8" t="n">
        <f aca="false">Initiatives!$C$40*AE8</f>
        <v>0</v>
      </c>
      <c r="AF9" s="8" t="n">
        <f aca="false">Initiatives!$C$40*AF8</f>
        <v>0</v>
      </c>
      <c r="AG9" s="8" t="n">
        <f aca="false">Initiatives!$C$40*AG8</f>
        <v>0</v>
      </c>
      <c r="AH9" s="8" t="n">
        <f aca="false">Initiatives!$C$40*AH8</f>
        <v>0</v>
      </c>
      <c r="AI9" s="8" t="n">
        <f aca="false">Initiatives!$C$40*AI8</f>
        <v>0</v>
      </c>
      <c r="AJ9" s="8" t="n">
        <f aca="false">Initiatives!$C$40*AJ8</f>
        <v>0</v>
      </c>
      <c r="AK9" s="8" t="n">
        <f aca="false">Initiatives!$C$40*AK8</f>
        <v>0</v>
      </c>
      <c r="AL9" s="8" t="n">
        <f aca="false">Initiatives!$C$40*AL8</f>
        <v>0</v>
      </c>
    </row>
    <row r="10" customFormat="false" ht="15" hidden="false" customHeight="false" outlineLevel="0" collapsed="false">
      <c r="A10" s="4" t="s">
        <v>173</v>
      </c>
      <c r="B10" s="4" t="s">
        <v>174</v>
      </c>
      <c r="C10" s="8" t="n">
        <f aca="false">MAX(C9-N(B9),0)</f>
        <v>0</v>
      </c>
      <c r="D10" s="8" t="n">
        <f aca="false">MAX(D9-N(C9),0)</f>
        <v>0</v>
      </c>
      <c r="E10" s="8" t="n">
        <f aca="false">MAX(E9-N(D9),0)</f>
        <v>0</v>
      </c>
      <c r="F10" s="8" t="n">
        <f aca="false">MAX(F9-N(E9),0)</f>
        <v>0</v>
      </c>
      <c r="G10" s="8" t="n">
        <f aca="false">MAX(G9-N(F9),0)</f>
        <v>0</v>
      </c>
      <c r="H10" s="8" t="n">
        <f aca="false">MAX(H9-N(G9),0)</f>
        <v>0</v>
      </c>
      <c r="I10" s="8" t="n">
        <f aca="false">MAX(I9-N(H9),0)</f>
        <v>0</v>
      </c>
      <c r="J10" s="8" t="n">
        <f aca="false">MAX(J9-N(I9),0)</f>
        <v>0</v>
      </c>
      <c r="K10" s="8" t="n">
        <f aca="false">MAX(K9-N(J9),0)</f>
        <v>0</v>
      </c>
      <c r="L10" s="8" t="n">
        <f aca="false">MAX(L9-N(K9),0)</f>
        <v>0</v>
      </c>
      <c r="M10" s="8" t="n">
        <f aca="false">MAX(M9-N(L9),0)</f>
        <v>0</v>
      </c>
      <c r="N10" s="8" t="n">
        <f aca="false">MAX(N9-N(M9),0)</f>
        <v>0</v>
      </c>
      <c r="O10" s="8" t="n">
        <f aca="false">MAX(O9-N(N9),0)</f>
        <v>0</v>
      </c>
      <c r="P10" s="8" t="n">
        <f aca="false">MAX(P9-N(O9),0)</f>
        <v>0</v>
      </c>
      <c r="Q10" s="8" t="n">
        <f aca="false">MAX(Q9-N(P9),0)</f>
        <v>0</v>
      </c>
      <c r="R10" s="8" t="n">
        <f aca="false">MAX(R9-N(Q9),0)</f>
        <v>0</v>
      </c>
      <c r="S10" s="8" t="n">
        <f aca="false">MAX(S9-N(R9),0)</f>
        <v>0</v>
      </c>
      <c r="T10" s="8" t="n">
        <f aca="false">MAX(T9-N(S9),0)</f>
        <v>0</v>
      </c>
      <c r="U10" s="8" t="n">
        <f aca="false">MAX(U9-N(T9),0)</f>
        <v>0</v>
      </c>
      <c r="V10" s="8" t="n">
        <f aca="false">MAX(V9-N(U9),0)</f>
        <v>0</v>
      </c>
      <c r="W10" s="8" t="n">
        <f aca="false">MAX(W9-N(V9),0)</f>
        <v>0</v>
      </c>
      <c r="X10" s="8" t="n">
        <f aca="false">MAX(X9-N(W9),0)</f>
        <v>0</v>
      </c>
      <c r="Y10" s="8" t="n">
        <f aca="false">MAX(Y9-N(X9),0)</f>
        <v>0</v>
      </c>
      <c r="Z10" s="8" t="n">
        <f aca="false">MAX(Z9-N(Y9),0)</f>
        <v>0</v>
      </c>
      <c r="AA10" s="8" t="n">
        <f aca="false">MAX(AA9-N(Z9),0)</f>
        <v>0</v>
      </c>
      <c r="AB10" s="8" t="n">
        <f aca="false">MAX(AB9-N(AA9),0)</f>
        <v>0</v>
      </c>
      <c r="AC10" s="8" t="n">
        <f aca="false">MAX(AC9-N(AB9),0)</f>
        <v>0</v>
      </c>
      <c r="AD10" s="8" t="n">
        <f aca="false">MAX(AD9-N(AC9),0)</f>
        <v>0</v>
      </c>
      <c r="AE10" s="8" t="n">
        <f aca="false">MAX(AE9-N(AD9),0)</f>
        <v>0</v>
      </c>
      <c r="AF10" s="8" t="n">
        <f aca="false">MAX(AF9-N(AE9),0)</f>
        <v>0</v>
      </c>
      <c r="AG10" s="8" t="n">
        <f aca="false">MAX(AG9-N(AF9),0)</f>
        <v>0</v>
      </c>
      <c r="AH10" s="8" t="n">
        <f aca="false">MAX(AH9-N(AG9),0)</f>
        <v>0</v>
      </c>
      <c r="AI10" s="8" t="n">
        <f aca="false">MAX(AI9-N(AH9),0)</f>
        <v>0</v>
      </c>
      <c r="AJ10" s="8" t="n">
        <f aca="false">MAX(AJ9-N(AI9),0)</f>
        <v>0</v>
      </c>
      <c r="AK10" s="8" t="n">
        <f aca="false">MAX(AK9-N(AJ9),0)</f>
        <v>0</v>
      </c>
      <c r="AL10" s="8" t="n">
        <f aca="false">MAX(AL9-N(AK9),0)</f>
        <v>0</v>
      </c>
    </row>
    <row r="11" customFormat="false" ht="15" hidden="false" customHeight="false" outlineLevel="0" collapsed="false">
      <c r="A11" s="4" t="s">
        <v>175</v>
      </c>
      <c r="B11" s="4" t="s">
        <v>176</v>
      </c>
      <c r="C11" s="8" t="n">
        <f aca="false">IF(Initiatives!$C$6="adoption",N(B11)*(1-Inputs!$C$9)+N(B12)*Inputs!$C$9*Initiatives!$C$24,0)</f>
        <v>0</v>
      </c>
      <c r="D11" s="8" t="n">
        <f aca="false">IF(Initiatives!$C$6="adoption",N(C11)*(1-Inputs!$C$9)+N(C12)*Inputs!$C$9*Initiatives!$C$24,0)</f>
        <v>0</v>
      </c>
      <c r="E11" s="8" t="n">
        <f aca="false">IF(Initiatives!$C$6="adoption",N(D11)*(1-Inputs!$C$9)+N(D12)*Inputs!$C$9*Initiatives!$C$24,0)</f>
        <v>0</v>
      </c>
      <c r="F11" s="8" t="n">
        <f aca="false">IF(Initiatives!$C$6="adoption",N(E11)*(1-Inputs!$C$9)+N(E12)*Inputs!$C$9*Initiatives!$C$24,0)</f>
        <v>0</v>
      </c>
      <c r="G11" s="8" t="n">
        <f aca="false">IF(Initiatives!$C$6="adoption",N(F11)*(1-Inputs!$C$9)+N(F12)*Inputs!$C$9*Initiatives!$C$24,0)</f>
        <v>0</v>
      </c>
      <c r="H11" s="8" t="n">
        <f aca="false">IF(Initiatives!$C$6="adoption",N(G11)*(1-Inputs!$C$9)+N(G12)*Inputs!$C$9*Initiatives!$C$24,0)</f>
        <v>0</v>
      </c>
      <c r="I11" s="8" t="n">
        <f aca="false">IF(Initiatives!$C$6="adoption",N(H11)*(1-Inputs!$C$9)+N(H12)*Inputs!$C$9*Initiatives!$C$24,0)</f>
        <v>0</v>
      </c>
      <c r="J11" s="8" t="n">
        <f aca="false">IF(Initiatives!$C$6="adoption",N(I11)*(1-Inputs!$C$9)+N(I12)*Inputs!$C$9*Initiatives!$C$24,0)</f>
        <v>0</v>
      </c>
      <c r="K11" s="8" t="n">
        <f aca="false">IF(Initiatives!$C$6="adoption",N(J11)*(1-Inputs!$C$9)+N(J12)*Inputs!$C$9*Initiatives!$C$24,0)</f>
        <v>0</v>
      </c>
      <c r="L11" s="8" t="n">
        <f aca="false">IF(Initiatives!$C$6="adoption",N(K11)*(1-Inputs!$C$9)+N(K12)*Inputs!$C$9*Initiatives!$C$24,0)</f>
        <v>0</v>
      </c>
      <c r="M11" s="8" t="n">
        <f aca="false">IF(Initiatives!$C$6="adoption",N(L11)*(1-Inputs!$C$9)+N(L12)*Inputs!$C$9*Initiatives!$C$24,0)</f>
        <v>0</v>
      </c>
      <c r="N11" s="8" t="n">
        <f aca="false">IF(Initiatives!$C$6="adoption",N(M11)*(1-Inputs!$C$9)+N(M12)*Inputs!$C$9*Initiatives!$C$24,0)</f>
        <v>0</v>
      </c>
      <c r="O11" s="8" t="n">
        <f aca="false">IF(Initiatives!$C$6="adoption",N(N11)*(1-Inputs!$C$9)+N(N12)*Inputs!$C$9*Initiatives!$C$24,0)</f>
        <v>0</v>
      </c>
      <c r="P11" s="8" t="n">
        <f aca="false">IF(Initiatives!$C$6="adoption",N(O11)*(1-Inputs!$C$9)+N(O12)*Inputs!$C$9*Initiatives!$C$24,0)</f>
        <v>0</v>
      </c>
      <c r="Q11" s="8" t="n">
        <f aca="false">IF(Initiatives!$C$6="adoption",N(P11)*(1-Inputs!$C$9)+N(P12)*Inputs!$C$9*Initiatives!$C$24,0)</f>
        <v>0</v>
      </c>
      <c r="R11" s="8" t="n">
        <f aca="false">IF(Initiatives!$C$6="adoption",N(Q11)*(1-Inputs!$C$9)+N(Q12)*Inputs!$C$9*Initiatives!$C$24,0)</f>
        <v>0</v>
      </c>
      <c r="S11" s="8" t="n">
        <f aca="false">IF(Initiatives!$C$6="adoption",N(R11)*(1-Inputs!$C$9)+N(R12)*Inputs!$C$9*Initiatives!$C$24,0)</f>
        <v>0</v>
      </c>
      <c r="T11" s="8" t="n">
        <f aca="false">IF(Initiatives!$C$6="adoption",N(S11)*(1-Inputs!$C$9)+N(S12)*Inputs!$C$9*Initiatives!$C$24,0)</f>
        <v>0</v>
      </c>
      <c r="U11" s="8" t="n">
        <f aca="false">IF(Initiatives!$C$6="adoption",N(T11)*(1-Inputs!$C$9)+N(T12)*Inputs!$C$9*Initiatives!$C$24,0)</f>
        <v>0</v>
      </c>
      <c r="V11" s="8" t="n">
        <f aca="false">IF(Initiatives!$C$6="adoption",N(U11)*(1-Inputs!$C$9)+N(U12)*Inputs!$C$9*Initiatives!$C$24,0)</f>
        <v>0</v>
      </c>
      <c r="W11" s="8" t="n">
        <f aca="false">IF(Initiatives!$C$6="adoption",N(V11)*(1-Inputs!$C$9)+N(V12)*Inputs!$C$9*Initiatives!$C$24,0)</f>
        <v>0</v>
      </c>
      <c r="X11" s="8" t="n">
        <f aca="false">IF(Initiatives!$C$6="adoption",N(W11)*(1-Inputs!$C$9)+N(W12)*Inputs!$C$9*Initiatives!$C$24,0)</f>
        <v>0</v>
      </c>
      <c r="Y11" s="8" t="n">
        <f aca="false">IF(Initiatives!$C$6="adoption",N(X11)*(1-Inputs!$C$9)+N(X12)*Inputs!$C$9*Initiatives!$C$24,0)</f>
        <v>0</v>
      </c>
      <c r="Z11" s="8" t="n">
        <f aca="false">IF(Initiatives!$C$6="adoption",N(Y11)*(1-Inputs!$C$9)+N(Y12)*Inputs!$C$9*Initiatives!$C$24,0)</f>
        <v>0</v>
      </c>
      <c r="AA11" s="8" t="n">
        <f aca="false">IF(Initiatives!$C$6="adoption",N(Z11)*(1-Inputs!$C$9)+N(Z12)*Inputs!$C$9*Initiatives!$C$24,0)</f>
        <v>0</v>
      </c>
      <c r="AB11" s="8" t="n">
        <f aca="false">IF(Initiatives!$C$6="adoption",N(AA11)*(1-Inputs!$C$9)+N(AA12)*Inputs!$C$9*Initiatives!$C$24,0)</f>
        <v>0</v>
      </c>
      <c r="AC11" s="8" t="n">
        <f aca="false">IF(Initiatives!$C$6="adoption",N(AB11)*(1-Inputs!$C$9)+N(AB12)*Inputs!$C$9*Initiatives!$C$24,0)</f>
        <v>0</v>
      </c>
      <c r="AD11" s="8" t="n">
        <f aca="false">IF(Initiatives!$C$6="adoption",N(AC11)*(1-Inputs!$C$9)+N(AC12)*Inputs!$C$9*Initiatives!$C$24,0)</f>
        <v>0</v>
      </c>
      <c r="AE11" s="8" t="n">
        <f aca="false">IF(Initiatives!$C$6="adoption",N(AD11)*(1-Inputs!$C$9)+N(AD12)*Inputs!$C$9*Initiatives!$C$24,0)</f>
        <v>0</v>
      </c>
      <c r="AF11" s="8" t="n">
        <f aca="false">IF(Initiatives!$C$6="adoption",N(AE11)*(1-Inputs!$C$9)+N(AE12)*Inputs!$C$9*Initiatives!$C$24,0)</f>
        <v>0</v>
      </c>
      <c r="AG11" s="8" t="n">
        <f aca="false">IF(Initiatives!$C$6="adoption",N(AF11)*(1-Inputs!$C$9)+N(AF12)*Inputs!$C$9*Initiatives!$C$24,0)</f>
        <v>0</v>
      </c>
      <c r="AH11" s="8" t="n">
        <f aca="false">IF(Initiatives!$C$6="adoption",N(AG11)*(1-Inputs!$C$9)+N(AG12)*Inputs!$C$9*Initiatives!$C$24,0)</f>
        <v>0</v>
      </c>
      <c r="AI11" s="8" t="n">
        <f aca="false">IF(Initiatives!$C$6="adoption",N(AH11)*(1-Inputs!$C$9)+N(AH12)*Inputs!$C$9*Initiatives!$C$24,0)</f>
        <v>0</v>
      </c>
      <c r="AJ11" s="8" t="n">
        <f aca="false">IF(Initiatives!$C$6="adoption",N(AI11)*(1-Inputs!$C$9)+N(AI12)*Inputs!$C$9*Initiatives!$C$24,0)</f>
        <v>0</v>
      </c>
      <c r="AK11" s="8" t="n">
        <f aca="false">IF(Initiatives!$C$6="adoption",N(AJ11)*(1-Inputs!$C$9)+N(AJ12)*Inputs!$C$9*Initiatives!$C$24,0)</f>
        <v>0</v>
      </c>
      <c r="AL11" s="8" t="n">
        <f aca="false">IF(Initiatives!$C$6="adoption",N(AK11)*(1-Inputs!$C$9)+N(AK12)*Inputs!$C$9*Initiatives!$C$24,0)</f>
        <v>0</v>
      </c>
    </row>
    <row r="12" customFormat="false" ht="15" hidden="false" customHeight="false" outlineLevel="0" collapsed="false">
      <c r="A12" s="4" t="s">
        <v>177</v>
      </c>
      <c r="B12" s="4" t="s">
        <v>178</v>
      </c>
      <c r="C12" s="8" t="n">
        <f aca="false">N(B12)*(1-Inputs!$C$9*(1-Initiatives!$C$24))+C10</f>
        <v>0</v>
      </c>
      <c r="D12" s="8" t="n">
        <f aca="false">N(C12)*(1-Inputs!$C$9*(1-Initiatives!$C$24))+D10</f>
        <v>0</v>
      </c>
      <c r="E12" s="8" t="n">
        <f aca="false">N(D12)*(1-Inputs!$C$9*(1-Initiatives!$C$24))+E10</f>
        <v>0</v>
      </c>
      <c r="F12" s="8" t="n">
        <f aca="false">N(E12)*(1-Inputs!$C$9*(1-Initiatives!$C$24))+F10</f>
        <v>0</v>
      </c>
      <c r="G12" s="8" t="n">
        <f aca="false">N(F12)*(1-Inputs!$C$9*(1-Initiatives!$C$24))+G10</f>
        <v>0</v>
      </c>
      <c r="H12" s="8" t="n">
        <f aca="false">N(G12)*(1-Inputs!$C$9*(1-Initiatives!$C$24))+H10</f>
        <v>0</v>
      </c>
      <c r="I12" s="8" t="n">
        <f aca="false">N(H12)*(1-Inputs!$C$9*(1-Initiatives!$C$24))+I10</f>
        <v>0</v>
      </c>
      <c r="J12" s="8" t="n">
        <f aca="false">N(I12)*(1-Inputs!$C$9*(1-Initiatives!$C$24))+J10</f>
        <v>0</v>
      </c>
      <c r="K12" s="8" t="n">
        <f aca="false">N(J12)*(1-Inputs!$C$9*(1-Initiatives!$C$24))+K10</f>
        <v>0</v>
      </c>
      <c r="L12" s="8" t="n">
        <f aca="false">N(K12)*(1-Inputs!$C$9*(1-Initiatives!$C$24))+L10</f>
        <v>0</v>
      </c>
      <c r="M12" s="8" t="n">
        <f aca="false">N(L12)*(1-Inputs!$C$9*(1-Initiatives!$C$24))+M10</f>
        <v>0</v>
      </c>
      <c r="N12" s="8" t="n">
        <f aca="false">N(M12)*(1-Inputs!$C$9*(1-Initiatives!$C$24))+N10</f>
        <v>0</v>
      </c>
      <c r="O12" s="8" t="n">
        <f aca="false">N(N12)*(1-Inputs!$C$9*(1-Initiatives!$C$24))+O10</f>
        <v>0</v>
      </c>
      <c r="P12" s="8" t="n">
        <f aca="false">N(O12)*(1-Inputs!$C$9*(1-Initiatives!$C$24))+P10</f>
        <v>0</v>
      </c>
      <c r="Q12" s="8" t="n">
        <f aca="false">N(P12)*(1-Inputs!$C$9*(1-Initiatives!$C$24))+Q10</f>
        <v>0</v>
      </c>
      <c r="R12" s="8" t="n">
        <f aca="false">N(Q12)*(1-Inputs!$C$9*(1-Initiatives!$C$24))+R10</f>
        <v>0</v>
      </c>
      <c r="S12" s="8" t="n">
        <f aca="false">N(R12)*(1-Inputs!$C$9*(1-Initiatives!$C$24))+S10</f>
        <v>0</v>
      </c>
      <c r="T12" s="8" t="n">
        <f aca="false">N(S12)*(1-Inputs!$C$9*(1-Initiatives!$C$24))+T10</f>
        <v>0</v>
      </c>
      <c r="U12" s="8" t="n">
        <f aca="false">N(T12)*(1-Inputs!$C$9*(1-Initiatives!$C$24))+U10</f>
        <v>0</v>
      </c>
      <c r="V12" s="8" t="n">
        <f aca="false">N(U12)*(1-Inputs!$C$9*(1-Initiatives!$C$24))+V10</f>
        <v>0</v>
      </c>
      <c r="W12" s="8" t="n">
        <f aca="false">N(V12)*(1-Inputs!$C$9*(1-Initiatives!$C$24))+W10</f>
        <v>0</v>
      </c>
      <c r="X12" s="8" t="n">
        <f aca="false">N(W12)*(1-Inputs!$C$9*(1-Initiatives!$C$24))+X10</f>
        <v>0</v>
      </c>
      <c r="Y12" s="8" t="n">
        <f aca="false">N(X12)*(1-Inputs!$C$9*(1-Initiatives!$C$24))+Y10</f>
        <v>0</v>
      </c>
      <c r="Z12" s="8" t="n">
        <f aca="false">N(Y12)*(1-Inputs!$C$9*(1-Initiatives!$C$24))+Z10</f>
        <v>0</v>
      </c>
      <c r="AA12" s="8" t="n">
        <f aca="false">N(Z12)*(1-Inputs!$C$9*(1-Initiatives!$C$24))+AA10</f>
        <v>0</v>
      </c>
      <c r="AB12" s="8" t="n">
        <f aca="false">N(AA12)*(1-Inputs!$C$9*(1-Initiatives!$C$24))+AB10</f>
        <v>0</v>
      </c>
      <c r="AC12" s="8" t="n">
        <f aca="false">N(AB12)*(1-Inputs!$C$9*(1-Initiatives!$C$24))+AC10</f>
        <v>0</v>
      </c>
      <c r="AD12" s="8" t="n">
        <f aca="false">N(AC12)*(1-Inputs!$C$9*(1-Initiatives!$C$24))+AD10</f>
        <v>0</v>
      </c>
      <c r="AE12" s="8" t="n">
        <f aca="false">N(AD12)*(1-Inputs!$C$9*(1-Initiatives!$C$24))+AE10</f>
        <v>0</v>
      </c>
      <c r="AF12" s="8" t="n">
        <f aca="false">N(AE12)*(1-Inputs!$C$9*(1-Initiatives!$C$24))+AF10</f>
        <v>0</v>
      </c>
      <c r="AG12" s="8" t="n">
        <f aca="false">N(AF12)*(1-Inputs!$C$9*(1-Initiatives!$C$24))+AG10</f>
        <v>0</v>
      </c>
      <c r="AH12" s="8" t="n">
        <f aca="false">N(AG12)*(1-Inputs!$C$9*(1-Initiatives!$C$24))+AH10</f>
        <v>0</v>
      </c>
      <c r="AI12" s="8" t="n">
        <f aca="false">N(AH12)*(1-Inputs!$C$9*(1-Initiatives!$C$24))+AI10</f>
        <v>0</v>
      </c>
      <c r="AJ12" s="8" t="n">
        <f aca="false">N(AI12)*(1-Inputs!$C$9*(1-Initiatives!$C$24))+AJ10</f>
        <v>0</v>
      </c>
      <c r="AK12" s="8" t="n">
        <f aca="false">N(AJ12)*(1-Inputs!$C$9*(1-Initiatives!$C$24))+AK10</f>
        <v>0</v>
      </c>
      <c r="AL12" s="8" t="n">
        <f aca="false">N(AK12)*(1-Inputs!$C$9*(1-Initiatives!$C$24))+AL10</f>
        <v>0</v>
      </c>
    </row>
    <row r="13" customFormat="false" ht="15" hidden="false" customHeight="false" outlineLevel="0" collapsed="false">
      <c r="A13" s="4" t="s">
        <v>179</v>
      </c>
      <c r="B13" s="4" t="s">
        <v>180</v>
      </c>
      <c r="C13" s="8" t="n">
        <f aca="false">IF(Initiatives!$C$6="adoption",0,IF(C$3&gt;=Initiatives!$C$31,Initiatives!$C$32*(1-Inputs!$C$9)^(C$3-Initiatives!$C$31),0)+IF(C$3&gt;=Initiatives!$C$33,(1-Initiatives!$C$32)*(1-Inputs!$C$9)^(C$3-Initiatives!$C$33),0))</f>
        <v>0</v>
      </c>
      <c r="D13" s="8" t="n">
        <f aca="false">IF(Initiatives!$C$6="adoption",0,IF(D$3&gt;=Initiatives!$C$31,Initiatives!$C$32*(1-Inputs!$C$9)^(D$3-Initiatives!$C$31),0)+IF(D$3&gt;=Initiatives!$C$33,(1-Initiatives!$C$32)*(1-Inputs!$C$9)^(D$3-Initiatives!$C$33),0))</f>
        <v>0</v>
      </c>
      <c r="E13" s="8" t="n">
        <f aca="false">IF(Initiatives!$C$6="adoption",0,IF(E$3&gt;=Initiatives!$C$31,Initiatives!$C$32*(1-Inputs!$C$9)^(E$3-Initiatives!$C$31),0)+IF(E$3&gt;=Initiatives!$C$33,(1-Initiatives!$C$32)*(1-Inputs!$C$9)^(E$3-Initiatives!$C$33),0))</f>
        <v>0</v>
      </c>
      <c r="F13" s="8" t="n">
        <f aca="false">IF(Initiatives!$C$6="adoption",0,IF(F$3&gt;=Initiatives!$C$31,Initiatives!$C$32*(1-Inputs!$C$9)^(F$3-Initiatives!$C$31),0)+IF(F$3&gt;=Initiatives!$C$33,(1-Initiatives!$C$32)*(1-Inputs!$C$9)^(F$3-Initiatives!$C$33),0))</f>
        <v>0</v>
      </c>
      <c r="G13" s="8" t="n">
        <f aca="false">IF(Initiatives!$C$6="adoption",0,IF(G$3&gt;=Initiatives!$C$31,Initiatives!$C$32*(1-Inputs!$C$9)^(G$3-Initiatives!$C$31),0)+IF(G$3&gt;=Initiatives!$C$33,(1-Initiatives!$C$32)*(1-Inputs!$C$9)^(G$3-Initiatives!$C$33),0))</f>
        <v>0</v>
      </c>
      <c r="H13" s="8" t="n">
        <f aca="false">IF(Initiatives!$C$6="adoption",0,IF(H$3&gt;=Initiatives!$C$31,Initiatives!$C$32*(1-Inputs!$C$9)^(H$3-Initiatives!$C$31),0)+IF(H$3&gt;=Initiatives!$C$33,(1-Initiatives!$C$32)*(1-Inputs!$C$9)^(H$3-Initiatives!$C$33),0))</f>
        <v>0.5</v>
      </c>
      <c r="I13" s="8" t="n">
        <f aca="false">IF(Initiatives!$C$6="adoption",0,IF(I$3&gt;=Initiatives!$C$31,Initiatives!$C$32*(1-Inputs!$C$9)^(I$3-Initiatives!$C$31),0)+IF(I$3&gt;=Initiatives!$C$33,(1-Initiatives!$C$32)*(1-Inputs!$C$9)^(I$3-Initiatives!$C$33),0))</f>
        <v>0.4925</v>
      </c>
      <c r="J13" s="8" t="n">
        <f aca="false">IF(Initiatives!$C$6="adoption",0,IF(J$3&gt;=Initiatives!$C$31,Initiatives!$C$32*(1-Inputs!$C$9)^(J$3-Initiatives!$C$31),0)+IF(J$3&gt;=Initiatives!$C$33,(1-Initiatives!$C$32)*(1-Inputs!$C$9)^(J$3-Initiatives!$C$33),0))</f>
        <v>0.4851125</v>
      </c>
      <c r="K13" s="8" t="n">
        <f aca="false">IF(Initiatives!$C$6="adoption",0,IF(K$3&gt;=Initiatives!$C$31,Initiatives!$C$32*(1-Inputs!$C$9)^(K$3-Initiatives!$C$31),0)+IF(K$3&gt;=Initiatives!$C$33,(1-Initiatives!$C$32)*(1-Inputs!$C$9)^(K$3-Initiatives!$C$33),0))</f>
        <v>0.9778358125</v>
      </c>
      <c r="L13" s="8" t="n">
        <f aca="false">IF(Initiatives!$C$6="adoption",0,IF(L$3&gt;=Initiatives!$C$31,Initiatives!$C$32*(1-Inputs!$C$9)^(L$3-Initiatives!$C$31),0)+IF(L$3&gt;=Initiatives!$C$33,(1-Initiatives!$C$32)*(1-Inputs!$C$9)^(L$3-Initiatives!$C$33),0))</f>
        <v>0.9631682753125</v>
      </c>
      <c r="M13" s="8" t="n">
        <f aca="false">IF(Initiatives!$C$6="adoption",0,IF(M$3&gt;=Initiatives!$C$31,Initiatives!$C$32*(1-Inputs!$C$9)^(M$3-Initiatives!$C$31),0)+IF(M$3&gt;=Initiatives!$C$33,(1-Initiatives!$C$32)*(1-Inputs!$C$9)^(M$3-Initiatives!$C$33),0))</f>
        <v>0.948720751182812</v>
      </c>
      <c r="N13" s="8" t="n">
        <f aca="false">IF(Initiatives!$C$6="adoption",0,IF(N$3&gt;=Initiatives!$C$31,Initiatives!$C$32*(1-Inputs!$C$9)^(N$3-Initiatives!$C$31),0)+IF(N$3&gt;=Initiatives!$C$33,(1-Initiatives!$C$32)*(1-Inputs!$C$9)^(N$3-Initiatives!$C$33),0))</f>
        <v>0.93448993991507</v>
      </c>
      <c r="O13" s="8" t="n">
        <f aca="false">IF(Initiatives!$C$6="adoption",0,IF(O$3&gt;=Initiatives!$C$31,Initiatives!$C$32*(1-Inputs!$C$9)^(O$3-Initiatives!$C$31),0)+IF(O$3&gt;=Initiatives!$C$33,(1-Initiatives!$C$32)*(1-Inputs!$C$9)^(O$3-Initiatives!$C$33),0))</f>
        <v>0.920472590816344</v>
      </c>
      <c r="P13" s="8" t="n">
        <f aca="false">IF(Initiatives!$C$6="adoption",0,IF(P$3&gt;=Initiatives!$C$31,Initiatives!$C$32*(1-Inputs!$C$9)^(P$3-Initiatives!$C$31),0)+IF(P$3&gt;=Initiatives!$C$33,(1-Initiatives!$C$32)*(1-Inputs!$C$9)^(P$3-Initiatives!$C$33),0))</f>
        <v>0.906665501954099</v>
      </c>
      <c r="Q13" s="8" t="n">
        <f aca="false">IF(Initiatives!$C$6="adoption",0,IF(Q$3&gt;=Initiatives!$C$31,Initiatives!$C$32*(1-Inputs!$C$9)^(Q$3-Initiatives!$C$31),0)+IF(Q$3&gt;=Initiatives!$C$33,(1-Initiatives!$C$32)*(1-Inputs!$C$9)^(Q$3-Initiatives!$C$33),0))</f>
        <v>0.893065519424788</v>
      </c>
      <c r="R13" s="8" t="n">
        <f aca="false">IF(Initiatives!$C$6="adoption",0,IF(R$3&gt;=Initiatives!$C$31,Initiatives!$C$32*(1-Inputs!$C$9)^(R$3-Initiatives!$C$31),0)+IF(R$3&gt;=Initiatives!$C$33,(1-Initiatives!$C$32)*(1-Inputs!$C$9)^(R$3-Initiatives!$C$33),0))</f>
        <v>0.879669536633416</v>
      </c>
      <c r="S13" s="8" t="n">
        <f aca="false">IF(Initiatives!$C$6="adoption",0,IF(S$3&gt;=Initiatives!$C$31,Initiatives!$C$32*(1-Inputs!$C$9)^(S$3-Initiatives!$C$31),0)+IF(S$3&gt;=Initiatives!$C$33,(1-Initiatives!$C$32)*(1-Inputs!$C$9)^(S$3-Initiatives!$C$33),0))</f>
        <v>0.866474493583914</v>
      </c>
      <c r="T13" s="8" t="n">
        <f aca="false">IF(Initiatives!$C$6="adoption",0,IF(T$3&gt;=Initiatives!$C$31,Initiatives!$C$32*(1-Inputs!$C$9)^(T$3-Initiatives!$C$31),0)+IF(T$3&gt;=Initiatives!$C$33,(1-Initiatives!$C$32)*(1-Inputs!$C$9)^(T$3-Initiatives!$C$33),0))</f>
        <v>0.853477376180156</v>
      </c>
      <c r="U13" s="8" t="n">
        <f aca="false">IF(Initiatives!$C$6="adoption",0,IF(U$3&gt;=Initiatives!$C$31,Initiatives!$C$32*(1-Inputs!$C$9)^(U$3-Initiatives!$C$31),0)+IF(U$3&gt;=Initiatives!$C$33,(1-Initiatives!$C$32)*(1-Inputs!$C$9)^(U$3-Initiatives!$C$33),0))</f>
        <v>0.840675215537453</v>
      </c>
      <c r="V13" s="8" t="n">
        <f aca="false">IF(Initiatives!$C$6="adoption",0,IF(V$3&gt;=Initiatives!$C$31,Initiatives!$C$32*(1-Inputs!$C$9)^(V$3-Initiatives!$C$31),0)+IF(V$3&gt;=Initiatives!$C$33,(1-Initiatives!$C$32)*(1-Inputs!$C$9)^(V$3-Initiatives!$C$33),0))</f>
        <v>0.828065087304392</v>
      </c>
      <c r="W13" s="8" t="n">
        <f aca="false">IF(Initiatives!$C$6="adoption",0,IF(W$3&gt;=Initiatives!$C$31,Initiatives!$C$32*(1-Inputs!$C$9)^(W$3-Initiatives!$C$31),0)+IF(W$3&gt;=Initiatives!$C$33,(1-Initiatives!$C$32)*(1-Inputs!$C$9)^(W$3-Initiatives!$C$33),0))</f>
        <v>0.815644110994826</v>
      </c>
      <c r="X13" s="8" t="n">
        <f aca="false">IF(Initiatives!$C$6="adoption",0,IF(X$3&gt;=Initiatives!$C$31,Initiatives!$C$32*(1-Inputs!$C$9)^(X$3-Initiatives!$C$31),0)+IF(X$3&gt;=Initiatives!$C$33,(1-Initiatives!$C$32)*(1-Inputs!$C$9)^(X$3-Initiatives!$C$33),0))</f>
        <v>0.803409449329903</v>
      </c>
      <c r="Y13" s="8" t="n">
        <f aca="false">IF(Initiatives!$C$6="adoption",0,IF(Y$3&gt;=Initiatives!$C$31,Initiatives!$C$32*(1-Inputs!$C$9)^(Y$3-Initiatives!$C$31),0)+IF(Y$3&gt;=Initiatives!$C$33,(1-Initiatives!$C$32)*(1-Inputs!$C$9)^(Y$3-Initiatives!$C$33),0))</f>
        <v>0.791358307589955</v>
      </c>
      <c r="Z13" s="8" t="n">
        <f aca="false">IF(Initiatives!$C$6="adoption",0,IF(Z$3&gt;=Initiatives!$C$31,Initiatives!$C$32*(1-Inputs!$C$9)^(Z$3-Initiatives!$C$31),0)+IF(Z$3&gt;=Initiatives!$C$33,(1-Initiatives!$C$32)*(1-Inputs!$C$9)^(Z$3-Initiatives!$C$33),0))</f>
        <v>0.779487932976105</v>
      </c>
      <c r="AA13" s="8" t="n">
        <f aca="false">IF(Initiatives!$C$6="adoption",0,IF(AA$3&gt;=Initiatives!$C$31,Initiatives!$C$32*(1-Inputs!$C$9)^(AA$3-Initiatives!$C$31),0)+IF(AA$3&gt;=Initiatives!$C$33,(1-Initiatives!$C$32)*(1-Inputs!$C$9)^(AA$3-Initiatives!$C$33),0))</f>
        <v>0.767795613981464</v>
      </c>
      <c r="AB13" s="8" t="n">
        <f aca="false">IF(Initiatives!$C$6="adoption",0,IF(AB$3&gt;=Initiatives!$C$31,Initiatives!$C$32*(1-Inputs!$C$9)^(AB$3-Initiatives!$C$31),0)+IF(AB$3&gt;=Initiatives!$C$33,(1-Initiatives!$C$32)*(1-Inputs!$C$9)^(AB$3-Initiatives!$C$33),0))</f>
        <v>0.756278679771742</v>
      </c>
      <c r="AC13" s="8" t="n">
        <f aca="false">IF(Initiatives!$C$6="adoption",0,IF(AC$3&gt;=Initiatives!$C$31,Initiatives!$C$32*(1-Inputs!$C$9)^(AC$3-Initiatives!$C$31),0)+IF(AC$3&gt;=Initiatives!$C$33,(1-Initiatives!$C$32)*(1-Inputs!$C$9)^(AC$3-Initiatives!$C$33),0))</f>
        <v>0.744934499575166</v>
      </c>
      <c r="AD13" s="8" t="n">
        <f aca="false">IF(Initiatives!$C$6="adoption",0,IF(AD$3&gt;=Initiatives!$C$31,Initiatives!$C$32*(1-Inputs!$C$9)^(AD$3-Initiatives!$C$31),0)+IF(AD$3&gt;=Initiatives!$C$33,(1-Initiatives!$C$32)*(1-Inputs!$C$9)^(AD$3-Initiatives!$C$33),0))</f>
        <v>0.733760482081538</v>
      </c>
      <c r="AE13" s="8" t="n">
        <f aca="false">IF(Initiatives!$C$6="adoption",0,IF(AE$3&gt;=Initiatives!$C$31,Initiatives!$C$32*(1-Inputs!$C$9)^(AE$3-Initiatives!$C$31),0)+IF(AE$3&gt;=Initiatives!$C$33,(1-Initiatives!$C$32)*(1-Inputs!$C$9)^(AE$3-Initiatives!$C$33),0))</f>
        <v>0.722754074850315</v>
      </c>
      <c r="AF13" s="8" t="n">
        <f aca="false">IF(Initiatives!$C$6="adoption",0,IF(AF$3&gt;=Initiatives!$C$31,Initiatives!$C$32*(1-Inputs!$C$9)^(AF$3-Initiatives!$C$31),0)+IF(AF$3&gt;=Initiatives!$C$33,(1-Initiatives!$C$32)*(1-Inputs!$C$9)^(AF$3-Initiatives!$C$33),0))</f>
        <v>0.71191276372756</v>
      </c>
      <c r="AG13" s="8" t="n">
        <f aca="false">IF(Initiatives!$C$6="adoption",0,IF(AG$3&gt;=Initiatives!$C$31,Initiatives!$C$32*(1-Inputs!$C$9)^(AG$3-Initiatives!$C$31),0)+IF(AG$3&gt;=Initiatives!$C$33,(1-Initiatives!$C$32)*(1-Inputs!$C$9)^(AG$3-Initiatives!$C$33),0))</f>
        <v>0.701234072271647</v>
      </c>
      <c r="AH13" s="8" t="n">
        <f aca="false">IF(Initiatives!$C$6="adoption",0,IF(AH$3&gt;=Initiatives!$C$31,Initiatives!$C$32*(1-Inputs!$C$9)^(AH$3-Initiatives!$C$31),0)+IF(AH$3&gt;=Initiatives!$C$33,(1-Initiatives!$C$32)*(1-Inputs!$C$9)^(AH$3-Initiatives!$C$33),0))</f>
        <v>0.690715561187572</v>
      </c>
      <c r="AI13" s="8" t="n">
        <f aca="false">IF(Initiatives!$C$6="adoption",0,IF(AI$3&gt;=Initiatives!$C$31,Initiatives!$C$32*(1-Inputs!$C$9)^(AI$3-Initiatives!$C$31),0)+IF(AI$3&gt;=Initiatives!$C$33,(1-Initiatives!$C$32)*(1-Inputs!$C$9)^(AI$3-Initiatives!$C$33),0))</f>
        <v>0.680354827769759</v>
      </c>
      <c r="AJ13" s="8" t="n">
        <f aca="false">IF(Initiatives!$C$6="adoption",0,IF(AJ$3&gt;=Initiatives!$C$31,Initiatives!$C$32*(1-Inputs!$C$9)^(AJ$3-Initiatives!$C$31),0)+IF(AJ$3&gt;=Initiatives!$C$33,(1-Initiatives!$C$32)*(1-Inputs!$C$9)^(AJ$3-Initiatives!$C$33),0))</f>
        <v>0.670149505353212</v>
      </c>
      <c r="AK13" s="8" t="n">
        <f aca="false">IF(Initiatives!$C$6="adoption",0,IF(AK$3&gt;=Initiatives!$C$31,Initiatives!$C$32*(1-Inputs!$C$9)^(AK$3-Initiatives!$C$31),0)+IF(AK$3&gt;=Initiatives!$C$33,(1-Initiatives!$C$32)*(1-Inputs!$C$9)^(AK$3-Initiatives!$C$33),0))</f>
        <v>0.660097262772914</v>
      </c>
      <c r="AL13" s="8" t="n">
        <f aca="false">IF(Initiatives!$C$6="adoption",0,IF(AL$3&gt;=Initiatives!$C$31,Initiatives!$C$32*(1-Inputs!$C$9)^(AL$3-Initiatives!$C$31),0)+IF(AL$3&gt;=Initiatives!$C$33,(1-Initiatives!$C$32)*(1-Inputs!$C$9)^(AL$3-Initiatives!$C$33),0))</f>
        <v>0.65019580383132</v>
      </c>
    </row>
    <row r="14" customFormat="false" ht="15" hidden="false" customHeight="false" outlineLevel="0" collapsed="false">
      <c r="A14" s="4" t="s">
        <v>181</v>
      </c>
      <c r="B14" s="4" t="s">
        <v>182</v>
      </c>
      <c r="C14" s="8" t="n">
        <f aca="false">IF(Initiatives!$C$6="adoption",IF(AND(C$3&gt;=Initiatives!$C$31,C$3&lt;Initiatives!$C$31+3),Initiatives!$C$44/3,0),IF(AND(C$3&gt;=Initiatives!$C$31,C$3&lt;Initiatives!$C$31+2),Initiatives!$C$32*Initiatives!$C$44/2,0)+IF(AND(C$3&gt;=Initiatives!$C$33,C$3&lt;Initiatives!$C$33+2),(1-Initiatives!$C$32)*Initiatives!$C$44/2,0))</f>
        <v>0</v>
      </c>
      <c r="D14" s="8" t="n">
        <f aca="false">IF(Initiatives!$C$6="adoption",IF(AND(D$3&gt;=Initiatives!$C$31,D$3&lt;Initiatives!$C$31+3),Initiatives!$C$44/3,0),IF(AND(D$3&gt;=Initiatives!$C$31,D$3&lt;Initiatives!$C$31+2),Initiatives!$C$32*Initiatives!$C$44/2,0)+IF(AND(D$3&gt;=Initiatives!$C$33,D$3&lt;Initiatives!$C$33+2),(1-Initiatives!$C$32)*Initiatives!$C$44/2,0))</f>
        <v>0</v>
      </c>
      <c r="E14" s="8" t="n">
        <f aca="false">IF(Initiatives!$C$6="adoption",IF(AND(E$3&gt;=Initiatives!$C$31,E$3&lt;Initiatives!$C$31+3),Initiatives!$C$44/3,0),IF(AND(E$3&gt;=Initiatives!$C$31,E$3&lt;Initiatives!$C$31+2),Initiatives!$C$32*Initiatives!$C$44/2,0)+IF(AND(E$3&gt;=Initiatives!$C$33,E$3&lt;Initiatives!$C$33+2),(1-Initiatives!$C$32)*Initiatives!$C$44/2,0))</f>
        <v>0</v>
      </c>
      <c r="F14" s="8" t="n">
        <f aca="false">IF(Initiatives!$C$6="adoption",IF(AND(F$3&gt;=Initiatives!$C$31,F$3&lt;Initiatives!$C$31+3),Initiatives!$C$44/3,0),IF(AND(F$3&gt;=Initiatives!$C$31,F$3&lt;Initiatives!$C$31+2),Initiatives!$C$32*Initiatives!$C$44/2,0)+IF(AND(F$3&gt;=Initiatives!$C$33,F$3&lt;Initiatives!$C$33+2),(1-Initiatives!$C$32)*Initiatives!$C$44/2,0))</f>
        <v>0</v>
      </c>
      <c r="G14" s="8" t="n">
        <f aca="false">IF(Initiatives!$C$6="adoption",IF(AND(G$3&gt;=Initiatives!$C$31,G$3&lt;Initiatives!$C$31+3),Initiatives!$C$44/3,0),IF(AND(G$3&gt;=Initiatives!$C$31,G$3&lt;Initiatives!$C$31+2),Initiatives!$C$32*Initiatives!$C$44/2,0)+IF(AND(G$3&gt;=Initiatives!$C$33,G$3&lt;Initiatives!$C$33+2),(1-Initiatives!$C$32)*Initiatives!$C$44/2,0))</f>
        <v>0</v>
      </c>
      <c r="H14" s="8" t="n">
        <f aca="false">IF(Initiatives!$C$6="adoption",IF(AND(H$3&gt;=Initiatives!$C$31,H$3&lt;Initiatives!$C$31+3),Initiatives!$C$44/3,0),IF(AND(H$3&gt;=Initiatives!$C$31,H$3&lt;Initiatives!$C$31+2),Initiatives!$C$32*Initiatives!$C$44/2,0)+IF(AND(H$3&gt;=Initiatives!$C$33,H$3&lt;Initiatives!$C$33+2),(1-Initiatives!$C$32)*Initiatives!$C$44/2,0))</f>
        <v>7920</v>
      </c>
      <c r="I14" s="8" t="n">
        <f aca="false">IF(Initiatives!$C$6="adoption",IF(AND(I$3&gt;=Initiatives!$C$31,I$3&lt;Initiatives!$C$31+3),Initiatives!$C$44/3,0),IF(AND(I$3&gt;=Initiatives!$C$31,I$3&lt;Initiatives!$C$31+2),Initiatives!$C$32*Initiatives!$C$44/2,0)+IF(AND(I$3&gt;=Initiatives!$C$33,I$3&lt;Initiatives!$C$33+2),(1-Initiatives!$C$32)*Initiatives!$C$44/2,0))</f>
        <v>7920</v>
      </c>
      <c r="J14" s="8" t="n">
        <f aca="false">IF(Initiatives!$C$6="adoption",IF(AND(J$3&gt;=Initiatives!$C$31,J$3&lt;Initiatives!$C$31+3),Initiatives!$C$44/3,0),IF(AND(J$3&gt;=Initiatives!$C$31,J$3&lt;Initiatives!$C$31+2),Initiatives!$C$32*Initiatives!$C$44/2,0)+IF(AND(J$3&gt;=Initiatives!$C$33,J$3&lt;Initiatives!$C$33+2),(1-Initiatives!$C$32)*Initiatives!$C$44/2,0))</f>
        <v>0</v>
      </c>
      <c r="K14" s="8" t="n">
        <f aca="false">IF(Initiatives!$C$6="adoption",IF(AND(K$3&gt;=Initiatives!$C$31,K$3&lt;Initiatives!$C$31+3),Initiatives!$C$44/3,0),IF(AND(K$3&gt;=Initiatives!$C$31,K$3&lt;Initiatives!$C$31+2),Initiatives!$C$32*Initiatives!$C$44/2,0)+IF(AND(K$3&gt;=Initiatives!$C$33,K$3&lt;Initiatives!$C$33+2),(1-Initiatives!$C$32)*Initiatives!$C$44/2,0))</f>
        <v>7920</v>
      </c>
      <c r="L14" s="8" t="n">
        <f aca="false">IF(Initiatives!$C$6="adoption",IF(AND(L$3&gt;=Initiatives!$C$31,L$3&lt;Initiatives!$C$31+3),Initiatives!$C$44/3,0),IF(AND(L$3&gt;=Initiatives!$C$31,L$3&lt;Initiatives!$C$31+2),Initiatives!$C$32*Initiatives!$C$44/2,0)+IF(AND(L$3&gt;=Initiatives!$C$33,L$3&lt;Initiatives!$C$33+2),(1-Initiatives!$C$32)*Initiatives!$C$44/2,0))</f>
        <v>7920</v>
      </c>
      <c r="M14" s="8" t="n">
        <f aca="false">IF(Initiatives!$C$6="adoption",IF(AND(M$3&gt;=Initiatives!$C$31,M$3&lt;Initiatives!$C$31+3),Initiatives!$C$44/3,0),IF(AND(M$3&gt;=Initiatives!$C$31,M$3&lt;Initiatives!$C$31+2),Initiatives!$C$32*Initiatives!$C$44/2,0)+IF(AND(M$3&gt;=Initiatives!$C$33,M$3&lt;Initiatives!$C$33+2),(1-Initiatives!$C$32)*Initiatives!$C$44/2,0))</f>
        <v>0</v>
      </c>
      <c r="N14" s="8" t="n">
        <f aca="false">IF(Initiatives!$C$6="adoption",IF(AND(N$3&gt;=Initiatives!$C$31,N$3&lt;Initiatives!$C$31+3),Initiatives!$C$44/3,0),IF(AND(N$3&gt;=Initiatives!$C$31,N$3&lt;Initiatives!$C$31+2),Initiatives!$C$32*Initiatives!$C$44/2,0)+IF(AND(N$3&gt;=Initiatives!$C$33,N$3&lt;Initiatives!$C$33+2),(1-Initiatives!$C$32)*Initiatives!$C$44/2,0))</f>
        <v>0</v>
      </c>
      <c r="O14" s="8" t="n">
        <f aca="false">IF(Initiatives!$C$6="adoption",IF(AND(O$3&gt;=Initiatives!$C$31,O$3&lt;Initiatives!$C$31+3),Initiatives!$C$44/3,0),IF(AND(O$3&gt;=Initiatives!$C$31,O$3&lt;Initiatives!$C$31+2),Initiatives!$C$32*Initiatives!$C$44/2,0)+IF(AND(O$3&gt;=Initiatives!$C$33,O$3&lt;Initiatives!$C$33+2),(1-Initiatives!$C$32)*Initiatives!$C$44/2,0))</f>
        <v>0</v>
      </c>
      <c r="P14" s="8" t="n">
        <f aca="false">IF(Initiatives!$C$6="adoption",IF(AND(P$3&gt;=Initiatives!$C$31,P$3&lt;Initiatives!$C$31+3),Initiatives!$C$44/3,0),IF(AND(P$3&gt;=Initiatives!$C$31,P$3&lt;Initiatives!$C$31+2),Initiatives!$C$32*Initiatives!$C$44/2,0)+IF(AND(P$3&gt;=Initiatives!$C$33,P$3&lt;Initiatives!$C$33+2),(1-Initiatives!$C$32)*Initiatives!$C$44/2,0))</f>
        <v>0</v>
      </c>
      <c r="Q14" s="8" t="n">
        <f aca="false">IF(Initiatives!$C$6="adoption",IF(AND(Q$3&gt;=Initiatives!$C$31,Q$3&lt;Initiatives!$C$31+3),Initiatives!$C$44/3,0),IF(AND(Q$3&gt;=Initiatives!$C$31,Q$3&lt;Initiatives!$C$31+2),Initiatives!$C$32*Initiatives!$C$44/2,0)+IF(AND(Q$3&gt;=Initiatives!$C$33,Q$3&lt;Initiatives!$C$33+2),(1-Initiatives!$C$32)*Initiatives!$C$44/2,0))</f>
        <v>0</v>
      </c>
      <c r="R14" s="8" t="n">
        <f aca="false">IF(Initiatives!$C$6="adoption",IF(AND(R$3&gt;=Initiatives!$C$31,R$3&lt;Initiatives!$C$31+3),Initiatives!$C$44/3,0),IF(AND(R$3&gt;=Initiatives!$C$31,R$3&lt;Initiatives!$C$31+2),Initiatives!$C$32*Initiatives!$C$44/2,0)+IF(AND(R$3&gt;=Initiatives!$C$33,R$3&lt;Initiatives!$C$33+2),(1-Initiatives!$C$32)*Initiatives!$C$44/2,0))</f>
        <v>0</v>
      </c>
      <c r="S14" s="8" t="n">
        <f aca="false">IF(Initiatives!$C$6="adoption",IF(AND(S$3&gt;=Initiatives!$C$31,S$3&lt;Initiatives!$C$31+3),Initiatives!$C$44/3,0),IF(AND(S$3&gt;=Initiatives!$C$31,S$3&lt;Initiatives!$C$31+2),Initiatives!$C$32*Initiatives!$C$44/2,0)+IF(AND(S$3&gt;=Initiatives!$C$33,S$3&lt;Initiatives!$C$33+2),(1-Initiatives!$C$32)*Initiatives!$C$44/2,0))</f>
        <v>0</v>
      </c>
      <c r="T14" s="8" t="n">
        <f aca="false">IF(Initiatives!$C$6="adoption",IF(AND(T$3&gt;=Initiatives!$C$31,T$3&lt;Initiatives!$C$31+3),Initiatives!$C$44/3,0),IF(AND(T$3&gt;=Initiatives!$C$31,T$3&lt;Initiatives!$C$31+2),Initiatives!$C$32*Initiatives!$C$44/2,0)+IF(AND(T$3&gt;=Initiatives!$C$33,T$3&lt;Initiatives!$C$33+2),(1-Initiatives!$C$32)*Initiatives!$C$44/2,0))</f>
        <v>0</v>
      </c>
      <c r="U14" s="8" t="n">
        <f aca="false">IF(Initiatives!$C$6="adoption",IF(AND(U$3&gt;=Initiatives!$C$31,U$3&lt;Initiatives!$C$31+3),Initiatives!$C$44/3,0),IF(AND(U$3&gt;=Initiatives!$C$31,U$3&lt;Initiatives!$C$31+2),Initiatives!$C$32*Initiatives!$C$44/2,0)+IF(AND(U$3&gt;=Initiatives!$C$33,U$3&lt;Initiatives!$C$33+2),(1-Initiatives!$C$32)*Initiatives!$C$44/2,0))</f>
        <v>0</v>
      </c>
      <c r="V14" s="8" t="n">
        <f aca="false">IF(Initiatives!$C$6="adoption",IF(AND(V$3&gt;=Initiatives!$C$31,V$3&lt;Initiatives!$C$31+3),Initiatives!$C$44/3,0),IF(AND(V$3&gt;=Initiatives!$C$31,V$3&lt;Initiatives!$C$31+2),Initiatives!$C$32*Initiatives!$C$44/2,0)+IF(AND(V$3&gt;=Initiatives!$C$33,V$3&lt;Initiatives!$C$33+2),(1-Initiatives!$C$32)*Initiatives!$C$44/2,0))</f>
        <v>0</v>
      </c>
      <c r="W14" s="8" t="n">
        <f aca="false">IF(Initiatives!$C$6="adoption",IF(AND(W$3&gt;=Initiatives!$C$31,W$3&lt;Initiatives!$C$31+3),Initiatives!$C$44/3,0),IF(AND(W$3&gt;=Initiatives!$C$31,W$3&lt;Initiatives!$C$31+2),Initiatives!$C$32*Initiatives!$C$44/2,0)+IF(AND(W$3&gt;=Initiatives!$C$33,W$3&lt;Initiatives!$C$33+2),(1-Initiatives!$C$32)*Initiatives!$C$44/2,0))</f>
        <v>0</v>
      </c>
      <c r="X14" s="8" t="n">
        <f aca="false">IF(Initiatives!$C$6="adoption",IF(AND(X$3&gt;=Initiatives!$C$31,X$3&lt;Initiatives!$C$31+3),Initiatives!$C$44/3,0),IF(AND(X$3&gt;=Initiatives!$C$31,X$3&lt;Initiatives!$C$31+2),Initiatives!$C$32*Initiatives!$C$44/2,0)+IF(AND(X$3&gt;=Initiatives!$C$33,X$3&lt;Initiatives!$C$33+2),(1-Initiatives!$C$32)*Initiatives!$C$44/2,0))</f>
        <v>0</v>
      </c>
      <c r="Y14" s="8" t="n">
        <f aca="false">IF(Initiatives!$C$6="adoption",IF(AND(Y$3&gt;=Initiatives!$C$31,Y$3&lt;Initiatives!$C$31+3),Initiatives!$C$44/3,0),IF(AND(Y$3&gt;=Initiatives!$C$31,Y$3&lt;Initiatives!$C$31+2),Initiatives!$C$32*Initiatives!$C$44/2,0)+IF(AND(Y$3&gt;=Initiatives!$C$33,Y$3&lt;Initiatives!$C$33+2),(1-Initiatives!$C$32)*Initiatives!$C$44/2,0))</f>
        <v>0</v>
      </c>
      <c r="Z14" s="8" t="n">
        <f aca="false">IF(Initiatives!$C$6="adoption",IF(AND(Z$3&gt;=Initiatives!$C$31,Z$3&lt;Initiatives!$C$31+3),Initiatives!$C$44/3,0),IF(AND(Z$3&gt;=Initiatives!$C$31,Z$3&lt;Initiatives!$C$31+2),Initiatives!$C$32*Initiatives!$C$44/2,0)+IF(AND(Z$3&gt;=Initiatives!$C$33,Z$3&lt;Initiatives!$C$33+2),(1-Initiatives!$C$32)*Initiatives!$C$44/2,0))</f>
        <v>0</v>
      </c>
      <c r="AA14" s="8" t="n">
        <f aca="false">IF(Initiatives!$C$6="adoption",IF(AND(AA$3&gt;=Initiatives!$C$31,AA$3&lt;Initiatives!$C$31+3),Initiatives!$C$44/3,0),IF(AND(AA$3&gt;=Initiatives!$C$31,AA$3&lt;Initiatives!$C$31+2),Initiatives!$C$32*Initiatives!$C$44/2,0)+IF(AND(AA$3&gt;=Initiatives!$C$33,AA$3&lt;Initiatives!$C$33+2),(1-Initiatives!$C$32)*Initiatives!$C$44/2,0))</f>
        <v>0</v>
      </c>
      <c r="AB14" s="8" t="n">
        <f aca="false">IF(Initiatives!$C$6="adoption",IF(AND(AB$3&gt;=Initiatives!$C$31,AB$3&lt;Initiatives!$C$31+3),Initiatives!$C$44/3,0),IF(AND(AB$3&gt;=Initiatives!$C$31,AB$3&lt;Initiatives!$C$31+2),Initiatives!$C$32*Initiatives!$C$44/2,0)+IF(AND(AB$3&gt;=Initiatives!$C$33,AB$3&lt;Initiatives!$C$33+2),(1-Initiatives!$C$32)*Initiatives!$C$44/2,0))</f>
        <v>0</v>
      </c>
      <c r="AC14" s="8" t="n">
        <f aca="false">IF(Initiatives!$C$6="adoption",IF(AND(AC$3&gt;=Initiatives!$C$31,AC$3&lt;Initiatives!$C$31+3),Initiatives!$C$44/3,0),IF(AND(AC$3&gt;=Initiatives!$C$31,AC$3&lt;Initiatives!$C$31+2),Initiatives!$C$32*Initiatives!$C$44/2,0)+IF(AND(AC$3&gt;=Initiatives!$C$33,AC$3&lt;Initiatives!$C$33+2),(1-Initiatives!$C$32)*Initiatives!$C$44/2,0))</f>
        <v>0</v>
      </c>
      <c r="AD14" s="8" t="n">
        <f aca="false">IF(Initiatives!$C$6="adoption",IF(AND(AD$3&gt;=Initiatives!$C$31,AD$3&lt;Initiatives!$C$31+3),Initiatives!$C$44/3,0),IF(AND(AD$3&gt;=Initiatives!$C$31,AD$3&lt;Initiatives!$C$31+2),Initiatives!$C$32*Initiatives!$C$44/2,0)+IF(AND(AD$3&gt;=Initiatives!$C$33,AD$3&lt;Initiatives!$C$33+2),(1-Initiatives!$C$32)*Initiatives!$C$44/2,0))</f>
        <v>0</v>
      </c>
      <c r="AE14" s="8" t="n">
        <f aca="false">IF(Initiatives!$C$6="adoption",IF(AND(AE$3&gt;=Initiatives!$C$31,AE$3&lt;Initiatives!$C$31+3),Initiatives!$C$44/3,0),IF(AND(AE$3&gt;=Initiatives!$C$31,AE$3&lt;Initiatives!$C$31+2),Initiatives!$C$32*Initiatives!$C$44/2,0)+IF(AND(AE$3&gt;=Initiatives!$C$33,AE$3&lt;Initiatives!$C$33+2),(1-Initiatives!$C$32)*Initiatives!$C$44/2,0))</f>
        <v>0</v>
      </c>
      <c r="AF14" s="8" t="n">
        <f aca="false">IF(Initiatives!$C$6="adoption",IF(AND(AF$3&gt;=Initiatives!$C$31,AF$3&lt;Initiatives!$C$31+3),Initiatives!$C$44/3,0),IF(AND(AF$3&gt;=Initiatives!$C$31,AF$3&lt;Initiatives!$C$31+2),Initiatives!$C$32*Initiatives!$C$44/2,0)+IF(AND(AF$3&gt;=Initiatives!$C$33,AF$3&lt;Initiatives!$C$33+2),(1-Initiatives!$C$32)*Initiatives!$C$44/2,0))</f>
        <v>0</v>
      </c>
      <c r="AG14" s="8" t="n">
        <f aca="false">IF(Initiatives!$C$6="adoption",IF(AND(AG$3&gt;=Initiatives!$C$31,AG$3&lt;Initiatives!$C$31+3),Initiatives!$C$44/3,0),IF(AND(AG$3&gt;=Initiatives!$C$31,AG$3&lt;Initiatives!$C$31+2),Initiatives!$C$32*Initiatives!$C$44/2,0)+IF(AND(AG$3&gt;=Initiatives!$C$33,AG$3&lt;Initiatives!$C$33+2),(1-Initiatives!$C$32)*Initiatives!$C$44/2,0))</f>
        <v>0</v>
      </c>
      <c r="AH14" s="8" t="n">
        <f aca="false">IF(Initiatives!$C$6="adoption",IF(AND(AH$3&gt;=Initiatives!$C$31,AH$3&lt;Initiatives!$C$31+3),Initiatives!$C$44/3,0),IF(AND(AH$3&gt;=Initiatives!$C$31,AH$3&lt;Initiatives!$C$31+2),Initiatives!$C$32*Initiatives!$C$44/2,0)+IF(AND(AH$3&gt;=Initiatives!$C$33,AH$3&lt;Initiatives!$C$33+2),(1-Initiatives!$C$32)*Initiatives!$C$44/2,0))</f>
        <v>0</v>
      </c>
      <c r="AI14" s="8" t="n">
        <f aca="false">IF(Initiatives!$C$6="adoption",IF(AND(AI$3&gt;=Initiatives!$C$31,AI$3&lt;Initiatives!$C$31+3),Initiatives!$C$44/3,0),IF(AND(AI$3&gt;=Initiatives!$C$31,AI$3&lt;Initiatives!$C$31+2),Initiatives!$C$32*Initiatives!$C$44/2,0)+IF(AND(AI$3&gt;=Initiatives!$C$33,AI$3&lt;Initiatives!$C$33+2),(1-Initiatives!$C$32)*Initiatives!$C$44/2,0))</f>
        <v>0</v>
      </c>
      <c r="AJ14" s="8" t="n">
        <f aca="false">IF(Initiatives!$C$6="adoption",IF(AND(AJ$3&gt;=Initiatives!$C$31,AJ$3&lt;Initiatives!$C$31+3),Initiatives!$C$44/3,0),IF(AND(AJ$3&gt;=Initiatives!$C$31,AJ$3&lt;Initiatives!$C$31+2),Initiatives!$C$32*Initiatives!$C$44/2,0)+IF(AND(AJ$3&gt;=Initiatives!$C$33,AJ$3&lt;Initiatives!$C$33+2),(1-Initiatives!$C$32)*Initiatives!$C$44/2,0))</f>
        <v>0</v>
      </c>
      <c r="AK14" s="8" t="n">
        <f aca="false">IF(Initiatives!$C$6="adoption",IF(AND(AK$3&gt;=Initiatives!$C$31,AK$3&lt;Initiatives!$C$31+3),Initiatives!$C$44/3,0),IF(AND(AK$3&gt;=Initiatives!$C$31,AK$3&lt;Initiatives!$C$31+2),Initiatives!$C$32*Initiatives!$C$44/2,0)+IF(AND(AK$3&gt;=Initiatives!$C$33,AK$3&lt;Initiatives!$C$33+2),(1-Initiatives!$C$32)*Initiatives!$C$44/2,0))</f>
        <v>0</v>
      </c>
      <c r="AL14" s="8" t="n">
        <f aca="false">IF(Initiatives!$C$6="adoption",IF(AND(AL$3&gt;=Initiatives!$C$31,AL$3&lt;Initiatives!$C$31+3),Initiatives!$C$44/3,0),IF(AND(AL$3&gt;=Initiatives!$C$31,AL$3&lt;Initiatives!$C$31+2),Initiatives!$C$32*Initiatives!$C$44/2,0)+IF(AND(AL$3&gt;=Initiatives!$C$33,AL$3&lt;Initiatives!$C$33+2),(1-Initiatives!$C$32)*Initiatives!$C$44/2,0))</f>
        <v>0</v>
      </c>
    </row>
    <row r="15" customFormat="false" ht="15" hidden="false" customHeight="false" outlineLevel="0" collapsed="false">
      <c r="A15" s="4" t="s">
        <v>183</v>
      </c>
      <c r="B15" s="4" t="s">
        <v>184</v>
      </c>
      <c r="C15" s="8" t="n">
        <f aca="false">N(B15)*(1-Inputs!$C$9)+C14</f>
        <v>0</v>
      </c>
      <c r="D15" s="8" t="n">
        <f aca="false">N(C15)*(1-Inputs!$C$9)+D14</f>
        <v>0</v>
      </c>
      <c r="E15" s="8" t="n">
        <f aca="false">N(D15)*(1-Inputs!$C$9)+E14</f>
        <v>0</v>
      </c>
      <c r="F15" s="8" t="n">
        <f aca="false">N(E15)*(1-Inputs!$C$9)+F14</f>
        <v>0</v>
      </c>
      <c r="G15" s="8" t="n">
        <f aca="false">N(F15)*(1-Inputs!$C$9)+G14</f>
        <v>0</v>
      </c>
      <c r="H15" s="8" t="n">
        <f aca="false">N(G15)*(1-Inputs!$C$9)+H14</f>
        <v>7920</v>
      </c>
      <c r="I15" s="8" t="n">
        <f aca="false">N(H15)*(1-Inputs!$C$9)+I14</f>
        <v>15721.2</v>
      </c>
      <c r="J15" s="8" t="n">
        <f aca="false">N(I15)*(1-Inputs!$C$9)+J14</f>
        <v>15485.382</v>
      </c>
      <c r="K15" s="8" t="n">
        <f aca="false">N(J15)*(1-Inputs!$C$9)+K14</f>
        <v>23173.10127</v>
      </c>
      <c r="L15" s="8" t="n">
        <f aca="false">N(K15)*(1-Inputs!$C$9)+L14</f>
        <v>30745.50475095</v>
      </c>
      <c r="M15" s="8" t="n">
        <f aca="false">N(L15)*(1-Inputs!$C$9)+M14</f>
        <v>30284.3221796858</v>
      </c>
      <c r="N15" s="8" t="n">
        <f aca="false">N(M15)*(1-Inputs!$C$9)+N14</f>
        <v>29830.0573469905</v>
      </c>
      <c r="O15" s="8" t="n">
        <f aca="false">N(N15)*(1-Inputs!$C$9)+O14</f>
        <v>29382.6064867856</v>
      </c>
      <c r="P15" s="8" t="n">
        <f aca="false">N(O15)*(1-Inputs!$C$9)+P14</f>
        <v>28941.8673894838</v>
      </c>
      <c r="Q15" s="8" t="n">
        <f aca="false">N(P15)*(1-Inputs!$C$9)+Q14</f>
        <v>28507.7393786416</v>
      </c>
      <c r="R15" s="8" t="n">
        <f aca="false">N(Q15)*(1-Inputs!$C$9)+R14</f>
        <v>28080.1232879619</v>
      </c>
      <c r="S15" s="8" t="n">
        <f aca="false">N(R15)*(1-Inputs!$C$9)+S14</f>
        <v>27658.9214386425</v>
      </c>
      <c r="T15" s="8" t="n">
        <f aca="false">N(S15)*(1-Inputs!$C$9)+T14</f>
        <v>27244.0376170629</v>
      </c>
      <c r="U15" s="8" t="n">
        <f aca="false">N(T15)*(1-Inputs!$C$9)+U14</f>
        <v>26835.3770528069</v>
      </c>
      <c r="V15" s="8" t="n">
        <f aca="false">N(U15)*(1-Inputs!$C$9)+V14</f>
        <v>26432.8463970148</v>
      </c>
      <c r="W15" s="8" t="n">
        <f aca="false">N(V15)*(1-Inputs!$C$9)+W14</f>
        <v>26036.3537010596</v>
      </c>
      <c r="X15" s="8" t="n">
        <f aca="false">N(W15)*(1-Inputs!$C$9)+X14</f>
        <v>25645.8083955437</v>
      </c>
      <c r="Y15" s="8" t="n">
        <f aca="false">N(X15)*(1-Inputs!$C$9)+Y14</f>
        <v>25261.1212696106</v>
      </c>
      <c r="Z15" s="8" t="n">
        <f aca="false">N(Y15)*(1-Inputs!$C$9)+Z14</f>
        <v>24882.2044505664</v>
      </c>
      <c r="AA15" s="8" t="n">
        <f aca="false">N(Z15)*(1-Inputs!$C$9)+AA14</f>
        <v>24508.9713838079</v>
      </c>
      <c r="AB15" s="8" t="n">
        <f aca="false">N(AA15)*(1-Inputs!$C$9)+AB14</f>
        <v>24141.3368130508</v>
      </c>
      <c r="AC15" s="8" t="n">
        <f aca="false">N(AB15)*(1-Inputs!$C$9)+AC14</f>
        <v>23779.216760855</v>
      </c>
      <c r="AD15" s="8" t="n">
        <f aca="false">N(AC15)*(1-Inputs!$C$9)+AD14</f>
        <v>23422.5285094422</v>
      </c>
      <c r="AE15" s="8" t="n">
        <f aca="false">N(AD15)*(1-Inputs!$C$9)+AE14</f>
        <v>23071.1905818006</v>
      </c>
      <c r="AF15" s="8" t="n">
        <f aca="false">N(AE15)*(1-Inputs!$C$9)+AF14</f>
        <v>22725.1227230735</v>
      </c>
      <c r="AG15" s="8" t="n">
        <f aca="false">N(AF15)*(1-Inputs!$C$9)+AG14</f>
        <v>22384.2458822274</v>
      </c>
      <c r="AH15" s="8" t="n">
        <f aca="false">N(AG15)*(1-Inputs!$C$9)+AH14</f>
        <v>22048.482193994</v>
      </c>
      <c r="AI15" s="8" t="n">
        <f aca="false">N(AH15)*(1-Inputs!$C$9)+AI14</f>
        <v>21717.7549610841</v>
      </c>
      <c r="AJ15" s="8" t="n">
        <f aca="false">N(AI15)*(1-Inputs!$C$9)+AJ14</f>
        <v>21391.9886366679</v>
      </c>
      <c r="AK15" s="8" t="n">
        <f aca="false">N(AJ15)*(1-Inputs!$C$9)+AK14</f>
        <v>21071.1088071178</v>
      </c>
      <c r="AL15" s="8" t="n">
        <f aca="false">N(AK15)*(1-Inputs!$C$9)+AL14</f>
        <v>20755.0421750111</v>
      </c>
    </row>
    <row r="16" customFormat="false" ht="15" hidden="false" customHeight="false" outlineLevel="0" collapsed="false">
      <c r="A16" s="4" t="s">
        <v>185</v>
      </c>
      <c r="B16" s="4" t="s">
        <v>186</v>
      </c>
      <c r="C16" s="8" t="n">
        <f aca="false">IF(Initiatives!$C$6="adoption",C12*Initiatives!$C$23+C11*Initiatives!$C$8-C15*Initiatives!$C$8,(Initiatives!$C$42*Initiatives!$C$41+Initiatives!$C$38*Initiatives!$C$13*Initiatives!$C$14+Initiatives!$C$43*Initiatives!$C$16)*C13-C15*Initiatives!$C$8)</f>
        <v>0</v>
      </c>
      <c r="D16" s="8" t="n">
        <f aca="false">IF(Initiatives!$C$6="adoption",D12*Initiatives!$C$23+D11*Initiatives!$C$8-D15*Initiatives!$C$8,(Initiatives!$C$42*Initiatives!$C$41+Initiatives!$C$38*Initiatives!$C$13*Initiatives!$C$14+Initiatives!$C$43*Initiatives!$C$16)*D13-D15*Initiatives!$C$8)</f>
        <v>0</v>
      </c>
      <c r="E16" s="8" t="n">
        <f aca="false">IF(Initiatives!$C$6="adoption",E12*Initiatives!$C$23+E11*Initiatives!$C$8-E15*Initiatives!$C$8,(Initiatives!$C$42*Initiatives!$C$41+Initiatives!$C$38*Initiatives!$C$13*Initiatives!$C$14+Initiatives!$C$43*Initiatives!$C$16)*E13-E15*Initiatives!$C$8)</f>
        <v>0</v>
      </c>
      <c r="F16" s="8" t="n">
        <f aca="false">IF(Initiatives!$C$6="adoption",F12*Initiatives!$C$23+F11*Initiatives!$C$8-F15*Initiatives!$C$8,(Initiatives!$C$42*Initiatives!$C$41+Initiatives!$C$38*Initiatives!$C$13*Initiatives!$C$14+Initiatives!$C$43*Initiatives!$C$16)*F13-F15*Initiatives!$C$8)</f>
        <v>0</v>
      </c>
      <c r="G16" s="8" t="n">
        <f aca="false">IF(Initiatives!$C$6="adoption",G12*Initiatives!$C$23+G11*Initiatives!$C$8-G15*Initiatives!$C$8,(Initiatives!$C$42*Initiatives!$C$41+Initiatives!$C$38*Initiatives!$C$13*Initiatives!$C$14+Initiatives!$C$43*Initiatives!$C$16)*G13-G15*Initiatives!$C$8)</f>
        <v>0</v>
      </c>
      <c r="H16" s="8" t="n">
        <f aca="false">IF(Initiatives!$C$6="adoption",H12*Initiatives!$C$23+H11*Initiatives!$C$8-H15*Initiatives!$C$8,(Initiatives!$C$42*Initiatives!$C$41+Initiatives!$C$38*Initiatives!$C$13*Initiatives!$C$14+Initiatives!$C$43*Initiatives!$C$16)*H13-H15*Initiatives!$C$8)</f>
        <v>1471328571.42857</v>
      </c>
      <c r="I16" s="8" t="n">
        <f aca="false">IF(Initiatives!$C$6="adoption",I12*Initiatives!$C$23+I11*Initiatives!$C$8-I15*Initiatives!$C$8,(Initiatives!$C$42*Initiatives!$C$41+Initiatives!$C$38*Initiatives!$C$13*Initiatives!$C$14+Initiatives!$C$43*Initiatives!$C$16)*I13-I15*Initiatives!$C$8)</f>
        <v>1322538642.85714</v>
      </c>
      <c r="J16" s="8" t="n">
        <f aca="false">IF(Initiatives!$C$6="adoption",J12*Initiatives!$C$23+J11*Initiatives!$C$8-J15*Initiatives!$C$8,(Initiatives!$C$42*Initiatives!$C$41+Initiatives!$C$38*Initiatives!$C$13*Initiatives!$C$14+Initiatives!$C$43*Initiatives!$C$16)*J13-J15*Initiatives!$C$8)</f>
        <v>1302700563.21429</v>
      </c>
      <c r="K16" s="8" t="n">
        <f aca="false">IF(Initiatives!$C$6="adoption",K12*Initiatives!$C$23+K11*Initiatives!$C$8-K15*Initiatives!$C$8,(Initiatives!$C$42*Initiatives!$C$41+Initiatives!$C$38*Initiatives!$C$13*Initiatives!$C$14+Initiatives!$C$43*Initiatives!$C$16)*K13-K15*Initiatives!$C$8)</f>
        <v>2754488626.19464</v>
      </c>
      <c r="L16" s="8" t="n">
        <f aca="false">IF(Initiatives!$C$6="adoption",L12*Initiatives!$C$23+L11*Initiatives!$C$8-L15*Initiatives!$C$8,(Initiatives!$C$42*Initiatives!$C$41+Initiatives!$C$38*Initiatives!$C$13*Initiatives!$C$14+Initiatives!$C$43*Initiatives!$C$16)*L13-L15*Initiatives!$C$8)</f>
        <v>2586451296.80172</v>
      </c>
      <c r="M16" s="8" t="n">
        <f aca="false">IF(Initiatives!$C$6="adoption",M12*Initiatives!$C$23+M11*Initiatives!$C$8-M15*Initiatives!$C$8,(Initiatives!$C$42*Initiatives!$C$41+Initiatives!$C$38*Initiatives!$C$13*Initiatives!$C$14+Initiatives!$C$43*Initiatives!$C$16)*M13-M15*Initiatives!$C$8)</f>
        <v>2547654527.3497</v>
      </c>
      <c r="N16" s="8" t="n">
        <f aca="false">IF(Initiatives!$C$6="adoption",N12*Initiatives!$C$23+N11*Initiatives!$C$8-N15*Initiatives!$C$8,(Initiatives!$C$42*Initiatives!$C$41+Initiatives!$C$38*Initiatives!$C$13*Initiatives!$C$14+Initiatives!$C$43*Initiatives!$C$16)*N13-N15*Initiatives!$C$8)</f>
        <v>2509439709.43945</v>
      </c>
      <c r="O16" s="8" t="n">
        <f aca="false">IF(Initiatives!$C$6="adoption",O12*Initiatives!$C$23+O11*Initiatives!$C$8-O15*Initiatives!$C$8,(Initiatives!$C$42*Initiatives!$C$41+Initiatives!$C$38*Initiatives!$C$13*Initiatives!$C$14+Initiatives!$C$43*Initiatives!$C$16)*O13-O15*Initiatives!$C$8)</f>
        <v>2471798113.79786</v>
      </c>
      <c r="P16" s="8" t="n">
        <f aca="false">IF(Initiatives!$C$6="adoption",P12*Initiatives!$C$23+P11*Initiatives!$C$8-P15*Initiatives!$C$8,(Initiatives!$C$42*Initiatives!$C$41+Initiatives!$C$38*Initiatives!$C$13*Initiatives!$C$14+Initiatives!$C$43*Initiatives!$C$16)*P13-P15*Initiatives!$C$8)</f>
        <v>2434721142.09089</v>
      </c>
      <c r="Q16" s="8" t="n">
        <f aca="false">IF(Initiatives!$C$6="adoption",Q12*Initiatives!$C$23+Q11*Initiatives!$C$8-Q15*Initiatives!$C$8,(Initiatives!$C$42*Initiatives!$C$41+Initiatives!$C$38*Initiatives!$C$13*Initiatives!$C$14+Initiatives!$C$43*Initiatives!$C$16)*Q13-Q15*Initiatives!$C$8)</f>
        <v>2398200324.95953</v>
      </c>
      <c r="R16" s="8" t="n">
        <f aca="false">IF(Initiatives!$C$6="adoption",R12*Initiatives!$C$23+R11*Initiatives!$C$8-R15*Initiatives!$C$8,(Initiatives!$C$42*Initiatives!$C$41+Initiatives!$C$38*Initiatives!$C$13*Initiatives!$C$14+Initiatives!$C$43*Initiatives!$C$16)*R13-R15*Initiatives!$C$8)</f>
        <v>2362227320.08514</v>
      </c>
      <c r="S16" s="8" t="n">
        <f aca="false">IF(Initiatives!$C$6="adoption",S12*Initiatives!$C$23+S11*Initiatives!$C$8-S15*Initiatives!$C$8,(Initiatives!$C$42*Initiatives!$C$41+Initiatives!$C$38*Initiatives!$C$13*Initiatives!$C$14+Initiatives!$C$43*Initiatives!$C$16)*S13-S15*Initiatives!$C$8)</f>
        <v>2326793910.28386</v>
      </c>
      <c r="T16" s="8" t="n">
        <f aca="false">IF(Initiatives!$C$6="adoption",T12*Initiatives!$C$23+T11*Initiatives!$C$8-T15*Initiatives!$C$8,(Initiatives!$C$42*Initiatives!$C$41+Initiatives!$C$38*Initiatives!$C$13*Initiatives!$C$14+Initiatives!$C$43*Initiatives!$C$16)*T13-T15*Initiatives!$C$8)</f>
        <v>2291892001.6296</v>
      </c>
      <c r="U16" s="8" t="n">
        <f aca="false">IF(Initiatives!$C$6="adoption",U12*Initiatives!$C$23+U11*Initiatives!$C$8-U15*Initiatives!$C$8,(Initiatives!$C$42*Initiatives!$C$41+Initiatives!$C$38*Initiatives!$C$13*Initiatives!$C$14+Initiatives!$C$43*Initiatives!$C$16)*U13-U15*Initiatives!$C$8)</f>
        <v>2257513621.60516</v>
      </c>
      <c r="V16" s="8" t="n">
        <f aca="false">IF(Initiatives!$C$6="adoption",V12*Initiatives!$C$23+V11*Initiatives!$C$8-V15*Initiatives!$C$8,(Initiatives!$C$42*Initiatives!$C$41+Initiatives!$C$38*Initiatives!$C$13*Initiatives!$C$14+Initiatives!$C$43*Initiatives!$C$16)*V13-V15*Initiatives!$C$8)</f>
        <v>2223650917.28108</v>
      </c>
      <c r="W16" s="8" t="n">
        <f aca="false">IF(Initiatives!$C$6="adoption",W12*Initiatives!$C$23+W11*Initiatives!$C$8-W15*Initiatives!$C$8,(Initiatives!$C$42*Initiatives!$C$41+Initiatives!$C$38*Initiatives!$C$13*Initiatives!$C$14+Initiatives!$C$43*Initiatives!$C$16)*W13-W15*Initiatives!$C$8)</f>
        <v>2190296153.52186</v>
      </c>
      <c r="X16" s="8" t="n">
        <f aca="false">IF(Initiatives!$C$6="adoption",X12*Initiatives!$C$23+X11*Initiatives!$C$8-X15*Initiatives!$C$8,(Initiatives!$C$42*Initiatives!$C$41+Initiatives!$C$38*Initiatives!$C$13*Initiatives!$C$14+Initiatives!$C$43*Initiatives!$C$16)*X13-X15*Initiatives!$C$8)</f>
        <v>2157441711.21904</v>
      </c>
      <c r="Y16" s="8" t="n">
        <f aca="false">IF(Initiatives!$C$6="adoption",Y12*Initiatives!$C$23+Y11*Initiatives!$C$8-Y15*Initiatives!$C$8,(Initiatives!$C$42*Initiatives!$C$41+Initiatives!$C$38*Initiatives!$C$13*Initiatives!$C$14+Initiatives!$C$43*Initiatives!$C$16)*Y13-Y15*Initiatives!$C$8)</f>
        <v>2125080085.55075</v>
      </c>
      <c r="Z16" s="8" t="n">
        <f aca="false">IF(Initiatives!$C$6="adoption",Z12*Initiatives!$C$23+Z11*Initiatives!$C$8-Z15*Initiatives!$C$8,(Initiatives!$C$42*Initiatives!$C$41+Initiatives!$C$38*Initiatives!$C$13*Initiatives!$C$14+Initiatives!$C$43*Initiatives!$C$16)*Z13-Z15*Initiatives!$C$8)</f>
        <v>2093203884.26749</v>
      </c>
      <c r="AA16" s="8" t="n">
        <f aca="false">IF(Initiatives!$C$6="adoption",AA12*Initiatives!$C$23+AA11*Initiatives!$C$8-AA15*Initiatives!$C$8,(Initiatives!$C$42*Initiatives!$C$41+Initiatives!$C$38*Initiatives!$C$13*Initiatives!$C$14+Initiatives!$C$43*Initiatives!$C$16)*AA13-AA15*Initiatives!$C$8)</f>
        <v>2061805826.00348</v>
      </c>
      <c r="AB16" s="8" t="n">
        <f aca="false">IF(Initiatives!$C$6="adoption",AB12*Initiatives!$C$23+AB11*Initiatives!$C$8-AB15*Initiatives!$C$8,(Initiatives!$C$42*Initiatives!$C$41+Initiatives!$C$38*Initiatives!$C$13*Initiatives!$C$14+Initiatives!$C$43*Initiatives!$C$16)*AB13-AB15*Initiatives!$C$8)</f>
        <v>2030878738.61342</v>
      </c>
      <c r="AC16" s="8" t="n">
        <f aca="false">IF(Initiatives!$C$6="adoption",AC12*Initiatives!$C$23+AC11*Initiatives!$C$8-AC15*Initiatives!$C$8,(Initiatives!$C$42*Initiatives!$C$41+Initiatives!$C$38*Initiatives!$C$13*Initiatives!$C$14+Initiatives!$C$43*Initiatives!$C$16)*AC13-AC15*Initiatives!$C$8)</f>
        <v>2000415557.53422</v>
      </c>
      <c r="AD16" s="8" t="n">
        <f aca="false">IF(Initiatives!$C$6="adoption",AD12*Initiatives!$C$23+AD11*Initiatives!$C$8-AD15*Initiatives!$C$8,(Initiatives!$C$42*Initiatives!$C$41+Initiatives!$C$38*Initiatives!$C$13*Initiatives!$C$14+Initiatives!$C$43*Initiatives!$C$16)*AD13-AD15*Initiatives!$C$8)</f>
        <v>1970409324.17121</v>
      </c>
      <c r="AE16" s="8" t="n">
        <f aca="false">IF(Initiatives!$C$6="adoption",AE12*Initiatives!$C$23+AE11*Initiatives!$C$8-AE15*Initiatives!$C$8,(Initiatives!$C$42*Initiatives!$C$41+Initiatives!$C$38*Initiatives!$C$13*Initiatives!$C$14+Initiatives!$C$43*Initiatives!$C$16)*AE13-AE15*Initiatives!$C$8)</f>
        <v>1940853184.30864</v>
      </c>
      <c r="AF16" s="8" t="n">
        <f aca="false">IF(Initiatives!$C$6="adoption",AF12*Initiatives!$C$23+AF11*Initiatives!$C$8-AF15*Initiatives!$C$8,(Initiatives!$C$42*Initiatives!$C$41+Initiatives!$C$38*Initiatives!$C$13*Initiatives!$C$14+Initiatives!$C$43*Initiatives!$C$16)*AF13-AF15*Initiatives!$C$8)</f>
        <v>1911740386.54401</v>
      </c>
      <c r="AG16" s="8" t="n">
        <f aca="false">IF(Initiatives!$C$6="adoption",AG12*Initiatives!$C$23+AG11*Initiatives!$C$8-AG15*Initiatives!$C$8,(Initiatives!$C$42*Initiatives!$C$41+Initiatives!$C$38*Initiatives!$C$13*Initiatives!$C$14+Initiatives!$C$43*Initiatives!$C$16)*AG13-AG15*Initiatives!$C$8)</f>
        <v>1883064280.74585</v>
      </c>
      <c r="AH16" s="8" t="n">
        <f aca="false">IF(Initiatives!$C$6="adoption",AH12*Initiatives!$C$23+AH11*Initiatives!$C$8-AH15*Initiatives!$C$8,(Initiatives!$C$42*Initiatives!$C$41+Initiatives!$C$38*Initiatives!$C$13*Initiatives!$C$14+Initiatives!$C$43*Initiatives!$C$16)*AH13-AH15*Initiatives!$C$8)</f>
        <v>1854818316.53466</v>
      </c>
      <c r="AI16" s="8" t="n">
        <f aca="false">IF(Initiatives!$C$6="adoption",AI12*Initiatives!$C$23+AI11*Initiatives!$C$8-AI15*Initiatives!$C$8,(Initiatives!$C$42*Initiatives!$C$41+Initiatives!$C$38*Initiatives!$C$13*Initiatives!$C$14+Initiatives!$C$43*Initiatives!$C$16)*AI13-AI15*Initiatives!$C$8)</f>
        <v>1826996041.78664</v>
      </c>
      <c r="AJ16" s="8" t="n">
        <f aca="false">IF(Initiatives!$C$6="adoption",AJ12*Initiatives!$C$23+AJ11*Initiatives!$C$8-AJ15*Initiatives!$C$8,(Initiatives!$C$42*Initiatives!$C$41+Initiatives!$C$38*Initiatives!$C$13*Initiatives!$C$14+Initiatives!$C$43*Initiatives!$C$16)*AJ13-AJ15*Initiatives!$C$8)</f>
        <v>1799591101.15984</v>
      </c>
      <c r="AK16" s="8" t="n">
        <f aca="false">IF(Initiatives!$C$6="adoption",AK12*Initiatives!$C$23+AK11*Initiatives!$C$8-AK15*Initiatives!$C$8,(Initiatives!$C$42*Initiatives!$C$41+Initiatives!$C$38*Initiatives!$C$13*Initiatives!$C$14+Initiatives!$C$43*Initiatives!$C$16)*AK13-AK15*Initiatives!$C$8)</f>
        <v>1772597234.64245</v>
      </c>
      <c r="AL16" s="8" t="n">
        <f aca="false">IF(Initiatives!$C$6="adoption",AL12*Initiatives!$C$23+AL11*Initiatives!$C$8-AL15*Initiatives!$C$8,(Initiatives!$C$42*Initiatives!$C$41+Initiatives!$C$38*Initiatives!$C$13*Initiatives!$C$14+Initiatives!$C$43*Initiatives!$C$16)*AL13-AL15*Initiatives!$C$8)</f>
        <v>1746008276.12281</v>
      </c>
    </row>
    <row r="17" customFormat="false" ht="15" hidden="false" customHeight="false" outlineLevel="0" collapsed="false">
      <c r="A17" s="4" t="s">
        <v>187</v>
      </c>
      <c r="B17" s="4" t="s">
        <v>188</v>
      </c>
      <c r="C17" s="8" t="n">
        <f aca="false">IF(C$3&lt;=Initiatives!$C$45,Initiatives!$C$28/Initiatives!$C$45,0)+IF(Initiatives!$C$6="adoption",C10*Initiatives!$C$26+C12*Initiatives!$C$27+IF(C$3=Initiatives!$C$31,Initiatives!$C$39*Initiatives!$C$25,0)+IF(C$3&gt;=Initiatives!$C$31,Initiatives!$C$29,0),Initiatives!$C$42*Initiatives!$C$18*C13+IF(C$3=Initiatives!$C$31,Initiatives!$C$32*Initiatives!$C$38*Initiatives!$C$25,0)+IF(C$3=Initiatives!$C$33,(1-Initiatives!$C$32)*Initiatives!$C$38*Initiatives!$C$25,0)+IF(C$3&gt;=Initiatives!$C$31,Initiatives!$C$29-Initiatives!$C$19*(Initiatives!$C$32+IF(C$3&gt;=Initiatives!$C$33,1-Initiatives!$C$32,0)),0))</f>
        <v>1000000000</v>
      </c>
      <c r="D17" s="8" t="n">
        <f aca="false">IF(D$3&lt;=Initiatives!$C$45,Initiatives!$C$28/Initiatives!$C$45,0)+IF(Initiatives!$C$6="adoption",D10*Initiatives!$C$26+D12*Initiatives!$C$27+IF(D$3=Initiatives!$C$31,Initiatives!$C$39*Initiatives!$C$25,0)+IF(D$3&gt;=Initiatives!$C$31,Initiatives!$C$29,0),Initiatives!$C$42*Initiatives!$C$18*D13+IF(D$3=Initiatives!$C$31,Initiatives!$C$32*Initiatives!$C$38*Initiatives!$C$25,0)+IF(D$3=Initiatives!$C$33,(1-Initiatives!$C$32)*Initiatives!$C$38*Initiatives!$C$25,0)+IF(D$3&gt;=Initiatives!$C$31,Initiatives!$C$29-Initiatives!$C$19*(Initiatives!$C$32+IF(D$3&gt;=Initiatives!$C$33,1-Initiatives!$C$32,0)),0))</f>
        <v>1000000000</v>
      </c>
      <c r="E17" s="8" t="n">
        <f aca="false">IF(E$3&lt;=Initiatives!$C$45,Initiatives!$C$28/Initiatives!$C$45,0)+IF(Initiatives!$C$6="adoption",E10*Initiatives!$C$26+E12*Initiatives!$C$27+IF(E$3=Initiatives!$C$31,Initiatives!$C$39*Initiatives!$C$25,0)+IF(E$3&gt;=Initiatives!$C$31,Initiatives!$C$29,0),Initiatives!$C$42*Initiatives!$C$18*E13+IF(E$3=Initiatives!$C$31,Initiatives!$C$32*Initiatives!$C$38*Initiatives!$C$25,0)+IF(E$3=Initiatives!$C$33,(1-Initiatives!$C$32)*Initiatives!$C$38*Initiatives!$C$25,0)+IF(E$3&gt;=Initiatives!$C$31,Initiatives!$C$29-Initiatives!$C$19*(Initiatives!$C$32+IF(E$3&gt;=Initiatives!$C$33,1-Initiatives!$C$32,0)),0))</f>
        <v>1000000000</v>
      </c>
      <c r="F17" s="8" t="n">
        <f aca="false">IF(F$3&lt;=Initiatives!$C$45,Initiatives!$C$28/Initiatives!$C$45,0)+IF(Initiatives!$C$6="adoption",F10*Initiatives!$C$26+F12*Initiatives!$C$27+IF(F$3=Initiatives!$C$31,Initiatives!$C$39*Initiatives!$C$25,0)+IF(F$3&gt;=Initiatives!$C$31,Initiatives!$C$29,0),Initiatives!$C$42*Initiatives!$C$18*F13+IF(F$3=Initiatives!$C$31,Initiatives!$C$32*Initiatives!$C$38*Initiatives!$C$25,0)+IF(F$3=Initiatives!$C$33,(1-Initiatives!$C$32)*Initiatives!$C$38*Initiatives!$C$25,0)+IF(F$3&gt;=Initiatives!$C$31,Initiatives!$C$29-Initiatives!$C$19*(Initiatives!$C$32+IF(F$3&gt;=Initiatives!$C$33,1-Initiatives!$C$32,0)),0))</f>
        <v>1000000000</v>
      </c>
      <c r="G17" s="8" t="n">
        <f aca="false">IF(G$3&lt;=Initiatives!$C$45,Initiatives!$C$28/Initiatives!$C$45,0)+IF(Initiatives!$C$6="adoption",G10*Initiatives!$C$26+G12*Initiatives!$C$27+IF(G$3=Initiatives!$C$31,Initiatives!$C$39*Initiatives!$C$25,0)+IF(G$3&gt;=Initiatives!$C$31,Initiatives!$C$29,0),Initiatives!$C$42*Initiatives!$C$18*G13+IF(G$3=Initiatives!$C$31,Initiatives!$C$32*Initiatives!$C$38*Initiatives!$C$25,0)+IF(G$3=Initiatives!$C$33,(1-Initiatives!$C$32)*Initiatives!$C$38*Initiatives!$C$25,0)+IF(G$3&gt;=Initiatives!$C$31,Initiatives!$C$29-Initiatives!$C$19*(Initiatives!$C$32+IF(G$3&gt;=Initiatives!$C$33,1-Initiatives!$C$32,0)),0))</f>
        <v>1000000000</v>
      </c>
      <c r="H17" s="8" t="n">
        <f aca="false">IF(H$3&lt;=Initiatives!$C$45,Initiatives!$C$28/Initiatives!$C$45,0)+IF(Initiatives!$C$6="adoption",H10*Initiatives!$C$26+H12*Initiatives!$C$27+IF(H$3=Initiatives!$C$31,Initiatives!$C$39*Initiatives!$C$25,0)+IF(H$3&gt;=Initiatives!$C$31,Initiatives!$C$29,0),Initiatives!$C$42*Initiatives!$C$18*H13+IF(H$3=Initiatives!$C$31,Initiatives!$C$32*Initiatives!$C$38*Initiatives!$C$25,0)+IF(H$3=Initiatives!$C$33,(1-Initiatives!$C$32)*Initiatives!$C$38*Initiatives!$C$25,0)+IF(H$3&gt;=Initiatives!$C$31,Initiatives!$C$29-Initiatives!$C$19*(Initiatives!$C$32+IF(H$3&gt;=Initiatives!$C$33,1-Initiatives!$C$32,0)),0))</f>
        <v>246576000</v>
      </c>
      <c r="I17" s="8" t="n">
        <f aca="false">IF(I$3&lt;=Initiatives!$C$45,Initiatives!$C$28/Initiatives!$C$45,0)+IF(Initiatives!$C$6="adoption",I10*Initiatives!$C$26+I12*Initiatives!$C$27+IF(I$3=Initiatives!$C$31,Initiatives!$C$39*Initiatives!$C$25,0)+IF(I$3&gt;=Initiatives!$C$31,Initiatives!$C$29,0),Initiatives!$C$42*Initiatives!$C$18*I13+IF(I$3=Initiatives!$C$31,Initiatives!$C$32*Initiatives!$C$38*Initiatives!$C$25,0)+IF(I$3=Initiatives!$C$33,(1-Initiatives!$C$32)*Initiatives!$C$38*Initiatives!$C$25,0)+IF(I$3&gt;=Initiatives!$C$31,Initiatives!$C$29-Initiatives!$C$19*(Initiatives!$C$32+IF(I$3&gt;=Initiatives!$C$33,1-Initiatives!$C$32,0)),0))</f>
        <v>138861360</v>
      </c>
      <c r="J17" s="8" t="n">
        <f aca="false">IF(J$3&lt;=Initiatives!$C$45,Initiatives!$C$28/Initiatives!$C$45,0)+IF(Initiatives!$C$6="adoption",J10*Initiatives!$C$26+J12*Initiatives!$C$27+IF(J$3=Initiatives!$C$31,Initiatives!$C$39*Initiatives!$C$25,0)+IF(J$3&gt;=Initiatives!$C$31,Initiatives!$C$29,0),Initiatives!$C$42*Initiatives!$C$18*J13+IF(J$3=Initiatives!$C$31,Initiatives!$C$32*Initiatives!$C$38*Initiatives!$C$25,0)+IF(J$3=Initiatives!$C$33,(1-Initiatives!$C$32)*Initiatives!$C$38*Initiatives!$C$25,0)+IF(J$3&gt;=Initiatives!$C$31,Initiatives!$C$29-Initiatives!$C$19*(Initiatives!$C$32+IF(J$3&gt;=Initiatives!$C$33,1-Initiatives!$C$32,0)),0))</f>
        <v>136778439.6</v>
      </c>
      <c r="K17" s="8" t="n">
        <f aca="false">IF(K$3&lt;=Initiatives!$C$45,Initiatives!$C$28/Initiatives!$C$45,0)+IF(Initiatives!$C$6="adoption",K10*Initiatives!$C$26+K12*Initiatives!$C$27+IF(K$3=Initiatives!$C$31,Initiatives!$C$39*Initiatives!$C$25,0)+IF(K$3&gt;=Initiatives!$C$31,Initiatives!$C$29,0),Initiatives!$C$42*Initiatives!$C$18*K13+IF(K$3=Initiatives!$C$31,Initiatives!$C$32*Initiatives!$C$38*Initiatives!$C$25,0)+IF(K$3=Initiatives!$C$33,(1-Initiatives!$C$32)*Initiatives!$C$38*Initiatives!$C$25,0)+IF(K$3&gt;=Initiatives!$C$31,Initiatives!$C$29-Initiatives!$C$19*(Initiatives!$C$32+IF(K$3&gt;=Initiatives!$C$33,1-Initiatives!$C$32,0)),0))</f>
        <v>351302763.006</v>
      </c>
      <c r="L17" s="8" t="n">
        <f aca="false">IF(L$3&lt;=Initiatives!$C$45,Initiatives!$C$28/Initiatives!$C$45,0)+IF(Initiatives!$C$6="adoption",L10*Initiatives!$C$26+L12*Initiatives!$C$27+IF(L$3=Initiatives!$C$31,Initiatives!$C$39*Initiatives!$C$25,0)+IF(L$3&gt;=Initiatives!$C$31,Initiatives!$C$29,0),Initiatives!$C$42*Initiatives!$C$18*L13+IF(L$3=Initiatives!$C$31,Initiatives!$C$32*Initiatives!$C$38*Initiatives!$C$25,0)+IF(L$3=Initiatives!$C$33,(1-Initiatives!$C$32)*Initiatives!$C$38*Initiatives!$C$25,0)+IF(L$3&gt;=Initiatives!$C$31,Initiatives!$C$29-Initiatives!$C$19*(Initiatives!$C$32+IF(L$3&gt;=Initiatives!$C$33,1-Initiatives!$C$32,0)),0))</f>
        <v>241567221.56091</v>
      </c>
      <c r="M17" s="8" t="n">
        <f aca="false">IF(M$3&lt;=Initiatives!$C$45,Initiatives!$C$28/Initiatives!$C$45,0)+IF(Initiatives!$C$6="adoption",M10*Initiatives!$C$26+M12*Initiatives!$C$27+IF(M$3=Initiatives!$C$31,Initiatives!$C$39*Initiatives!$C$25,0)+IF(M$3&gt;=Initiatives!$C$31,Initiatives!$C$29,0),Initiatives!$C$42*Initiatives!$C$18*M13+IF(M$3=Initiatives!$C$31,Initiatives!$C$32*Initiatives!$C$38*Initiatives!$C$25,0)+IF(M$3=Initiatives!$C$33,(1-Initiatives!$C$32)*Initiatives!$C$38*Initiatives!$C$25,0)+IF(M$3&gt;=Initiatives!$C$31,Initiatives!$C$29-Initiatives!$C$19*(Initiatives!$C$32+IF(M$3&gt;=Initiatives!$C$33,1-Initiatives!$C$32,0)),0))</f>
        <v>237493713.237496</v>
      </c>
      <c r="N17" s="8" t="n">
        <f aca="false">IF(N$3&lt;=Initiatives!$C$45,Initiatives!$C$28/Initiatives!$C$45,0)+IF(Initiatives!$C$6="adoption",N10*Initiatives!$C$26+N12*Initiatives!$C$27+IF(N$3=Initiatives!$C$31,Initiatives!$C$39*Initiatives!$C$25,0)+IF(N$3&gt;=Initiatives!$C$31,Initiatives!$C$29,0),Initiatives!$C$42*Initiatives!$C$18*N13+IF(N$3=Initiatives!$C$31,Initiatives!$C$32*Initiatives!$C$38*Initiatives!$C$25,0)+IF(N$3=Initiatives!$C$33,(1-Initiatives!$C$32)*Initiatives!$C$38*Initiatives!$C$25,0)+IF(N$3&gt;=Initiatives!$C$31,Initiatives!$C$29-Initiatives!$C$19*(Initiatives!$C$32+IF(N$3&gt;=Initiatives!$C$33,1-Initiatives!$C$32,0)),0))</f>
        <v>233481307.538934</v>
      </c>
      <c r="O17" s="8" t="n">
        <f aca="false">IF(O$3&lt;=Initiatives!$C$45,Initiatives!$C$28/Initiatives!$C$45,0)+IF(Initiatives!$C$6="adoption",O10*Initiatives!$C$26+O12*Initiatives!$C$27+IF(O$3=Initiatives!$C$31,Initiatives!$C$39*Initiatives!$C$25,0)+IF(O$3&gt;=Initiatives!$C$31,Initiatives!$C$29,0),Initiatives!$C$42*Initiatives!$C$18*O13+IF(O$3=Initiatives!$C$31,Initiatives!$C$32*Initiatives!$C$38*Initiatives!$C$25,0)+IF(O$3=Initiatives!$C$33,(1-Initiatives!$C$32)*Initiatives!$C$38*Initiatives!$C$25,0)+IF(O$3&gt;=Initiatives!$C$31,Initiatives!$C$29-Initiatives!$C$19*(Initiatives!$C$32+IF(O$3&gt;=Initiatives!$C$33,1-Initiatives!$C$32,0)),0))</f>
        <v>229529087.92585</v>
      </c>
      <c r="P17" s="8" t="n">
        <f aca="false">IF(P$3&lt;=Initiatives!$C$45,Initiatives!$C$28/Initiatives!$C$45,0)+IF(Initiatives!$C$6="adoption",P10*Initiatives!$C$26+P12*Initiatives!$C$27+IF(P$3=Initiatives!$C$31,Initiatives!$C$39*Initiatives!$C$25,0)+IF(P$3&gt;=Initiatives!$C$31,Initiatives!$C$29,0),Initiatives!$C$42*Initiatives!$C$18*P13+IF(P$3=Initiatives!$C$31,Initiatives!$C$32*Initiatives!$C$38*Initiatives!$C$25,0)+IF(P$3=Initiatives!$C$33,(1-Initiatives!$C$32)*Initiatives!$C$38*Initiatives!$C$25,0)+IF(P$3&gt;=Initiatives!$C$31,Initiatives!$C$29-Initiatives!$C$19*(Initiatives!$C$32+IF(P$3&gt;=Initiatives!$C$33,1-Initiatives!$C$32,0)),0))</f>
        <v>225636151.606962</v>
      </c>
      <c r="Q17" s="8" t="n">
        <f aca="false">IF(Q$3&lt;=Initiatives!$C$45,Initiatives!$C$28/Initiatives!$C$45,0)+IF(Initiatives!$C$6="adoption",Q10*Initiatives!$C$26+Q12*Initiatives!$C$27+IF(Q$3=Initiatives!$C$31,Initiatives!$C$39*Initiatives!$C$25,0)+IF(Q$3&gt;=Initiatives!$C$31,Initiatives!$C$29,0),Initiatives!$C$42*Initiatives!$C$18*Q13+IF(Q$3=Initiatives!$C$31,Initiatives!$C$32*Initiatives!$C$38*Initiatives!$C$25,0)+IF(Q$3=Initiatives!$C$33,(1-Initiatives!$C$32)*Initiatives!$C$38*Initiatives!$C$25,0)+IF(Q$3&gt;=Initiatives!$C$31,Initiatives!$C$29-Initiatives!$C$19*(Initiatives!$C$32+IF(Q$3&gt;=Initiatives!$C$33,1-Initiatives!$C$32,0)),0))</f>
        <v>221801609.332858</v>
      </c>
      <c r="R17" s="8" t="n">
        <f aca="false">IF(R$3&lt;=Initiatives!$C$45,Initiatives!$C$28/Initiatives!$C$45,0)+IF(Initiatives!$C$6="adoption",R10*Initiatives!$C$26+R12*Initiatives!$C$27+IF(R$3=Initiatives!$C$31,Initiatives!$C$39*Initiatives!$C$25,0)+IF(R$3&gt;=Initiatives!$C$31,Initiatives!$C$29,0),Initiatives!$C$42*Initiatives!$C$18*R13+IF(R$3=Initiatives!$C$31,Initiatives!$C$32*Initiatives!$C$38*Initiatives!$C$25,0)+IF(R$3=Initiatives!$C$33,(1-Initiatives!$C$32)*Initiatives!$C$38*Initiatives!$C$25,0)+IF(R$3&gt;=Initiatives!$C$31,Initiatives!$C$29-Initiatives!$C$19*(Initiatives!$C$32+IF(R$3&gt;=Initiatives!$C$33,1-Initiatives!$C$32,0)),0))</f>
        <v>218024585.192865</v>
      </c>
      <c r="S17" s="8" t="n">
        <f aca="false">IF(S$3&lt;=Initiatives!$C$45,Initiatives!$C$28/Initiatives!$C$45,0)+IF(Initiatives!$C$6="adoption",S10*Initiatives!$C$26+S12*Initiatives!$C$27+IF(S$3=Initiatives!$C$31,Initiatives!$C$39*Initiatives!$C$25,0)+IF(S$3&gt;=Initiatives!$C$31,Initiatives!$C$29,0),Initiatives!$C$42*Initiatives!$C$18*S13+IF(S$3=Initiatives!$C$31,Initiatives!$C$32*Initiatives!$C$38*Initiatives!$C$25,0)+IF(S$3=Initiatives!$C$33,(1-Initiatives!$C$32)*Initiatives!$C$38*Initiatives!$C$25,0)+IF(S$3&gt;=Initiatives!$C$31,Initiatives!$C$29-Initiatives!$C$19*(Initiatives!$C$32+IF(S$3&gt;=Initiatives!$C$33,1-Initiatives!$C$32,0)),0))</f>
        <v>214304216.414972</v>
      </c>
      <c r="T17" s="8" t="n">
        <f aca="false">IF(T$3&lt;=Initiatives!$C$45,Initiatives!$C$28/Initiatives!$C$45,0)+IF(Initiatives!$C$6="adoption",T10*Initiatives!$C$26+T12*Initiatives!$C$27+IF(T$3=Initiatives!$C$31,Initiatives!$C$39*Initiatives!$C$25,0)+IF(T$3&gt;=Initiatives!$C$31,Initiatives!$C$29,0),Initiatives!$C$42*Initiatives!$C$18*T13+IF(T$3=Initiatives!$C$31,Initiatives!$C$32*Initiatives!$C$38*Initiatives!$C$25,0)+IF(T$3=Initiatives!$C$33,(1-Initiatives!$C$32)*Initiatives!$C$38*Initiatives!$C$25,0)+IF(T$3&gt;=Initiatives!$C$31,Initiatives!$C$29-Initiatives!$C$19*(Initiatives!$C$32+IF(T$3&gt;=Initiatives!$C$33,1-Initiatives!$C$32,0)),0))</f>
        <v>210639653.168747</v>
      </c>
      <c r="U17" s="8" t="n">
        <f aca="false">IF(U$3&lt;=Initiatives!$C$45,Initiatives!$C$28/Initiatives!$C$45,0)+IF(Initiatives!$C$6="adoption",U10*Initiatives!$C$26+U12*Initiatives!$C$27+IF(U$3=Initiatives!$C$31,Initiatives!$C$39*Initiatives!$C$25,0)+IF(U$3&gt;=Initiatives!$C$31,Initiatives!$C$29,0),Initiatives!$C$42*Initiatives!$C$18*U13+IF(U$3=Initiatives!$C$31,Initiatives!$C$32*Initiatives!$C$38*Initiatives!$C$25,0)+IF(U$3=Initiatives!$C$33,(1-Initiatives!$C$32)*Initiatives!$C$38*Initiatives!$C$25,0)+IF(U$3&gt;=Initiatives!$C$31,Initiatives!$C$29-Initiatives!$C$19*(Initiatives!$C$32+IF(U$3&gt;=Initiatives!$C$33,1-Initiatives!$C$32,0)),0))</f>
        <v>207030058.371216</v>
      </c>
      <c r="V17" s="8" t="n">
        <f aca="false">IF(V$3&lt;=Initiatives!$C$45,Initiatives!$C$28/Initiatives!$C$45,0)+IF(Initiatives!$C$6="adoption",V10*Initiatives!$C$26+V12*Initiatives!$C$27+IF(V$3=Initiatives!$C$31,Initiatives!$C$39*Initiatives!$C$25,0)+IF(V$3&gt;=Initiatives!$C$31,Initiatives!$C$29,0),Initiatives!$C$42*Initiatives!$C$18*V13+IF(V$3=Initiatives!$C$31,Initiatives!$C$32*Initiatives!$C$38*Initiatives!$C$25,0)+IF(V$3=Initiatives!$C$33,(1-Initiatives!$C$32)*Initiatives!$C$38*Initiatives!$C$25,0)+IF(V$3&gt;=Initiatives!$C$31,Initiatives!$C$29-Initiatives!$C$19*(Initiatives!$C$32+IF(V$3&gt;=Initiatives!$C$33,1-Initiatives!$C$32,0)),0))</f>
        <v>203474607.495648</v>
      </c>
      <c r="W17" s="8" t="n">
        <f aca="false">IF(W$3&lt;=Initiatives!$C$45,Initiatives!$C$28/Initiatives!$C$45,0)+IF(Initiatives!$C$6="adoption",W10*Initiatives!$C$26+W12*Initiatives!$C$27+IF(W$3=Initiatives!$C$31,Initiatives!$C$39*Initiatives!$C$25,0)+IF(W$3&gt;=Initiatives!$C$31,Initiatives!$C$29,0),Initiatives!$C$42*Initiatives!$C$18*W13+IF(W$3=Initiatives!$C$31,Initiatives!$C$32*Initiatives!$C$38*Initiatives!$C$25,0)+IF(W$3=Initiatives!$C$33,(1-Initiatives!$C$32)*Initiatives!$C$38*Initiatives!$C$25,0)+IF(W$3&gt;=Initiatives!$C$31,Initiatives!$C$29-Initiatives!$C$19*(Initiatives!$C$32+IF(W$3&gt;=Initiatives!$C$33,1-Initiatives!$C$32,0)),0))</f>
        <v>199972488.383213</v>
      </c>
      <c r="X17" s="8" t="n">
        <f aca="false">IF(X$3&lt;=Initiatives!$C$45,Initiatives!$C$28/Initiatives!$C$45,0)+IF(Initiatives!$C$6="adoption",X10*Initiatives!$C$26+X12*Initiatives!$C$27+IF(X$3=Initiatives!$C$31,Initiatives!$C$39*Initiatives!$C$25,0)+IF(X$3&gt;=Initiatives!$C$31,Initiatives!$C$29,0),Initiatives!$C$42*Initiatives!$C$18*X13+IF(X$3=Initiatives!$C$31,Initiatives!$C$32*Initiatives!$C$38*Initiatives!$C$25,0)+IF(X$3=Initiatives!$C$33,(1-Initiatives!$C$32)*Initiatives!$C$38*Initiatives!$C$25,0)+IF(X$3&gt;=Initiatives!$C$31,Initiatives!$C$29-Initiatives!$C$19*(Initiatives!$C$32+IF(X$3&gt;=Initiatives!$C$33,1-Initiatives!$C$32,0)),0))</f>
        <v>196522901.057465</v>
      </c>
      <c r="Y17" s="8" t="n">
        <f aca="false">IF(Y$3&lt;=Initiatives!$C$45,Initiatives!$C$28/Initiatives!$C$45,0)+IF(Initiatives!$C$6="adoption",Y10*Initiatives!$C$26+Y12*Initiatives!$C$27+IF(Y$3=Initiatives!$C$31,Initiatives!$C$39*Initiatives!$C$25,0)+IF(Y$3&gt;=Initiatives!$C$31,Initiatives!$C$29,0),Initiatives!$C$42*Initiatives!$C$18*Y13+IF(Y$3=Initiatives!$C$31,Initiatives!$C$32*Initiatives!$C$38*Initiatives!$C$25,0)+IF(Y$3=Initiatives!$C$33,(1-Initiatives!$C$32)*Initiatives!$C$38*Initiatives!$C$25,0)+IF(Y$3&gt;=Initiatives!$C$31,Initiatives!$C$29-Initiatives!$C$19*(Initiatives!$C$32+IF(Y$3&gt;=Initiatives!$C$33,1-Initiatives!$C$32,0)),0))</f>
        <v>193125057.541603</v>
      </c>
      <c r="Z17" s="8" t="n">
        <f aca="false">IF(Z$3&lt;=Initiatives!$C$45,Initiatives!$C$28/Initiatives!$C$45,0)+IF(Initiatives!$C$6="adoption",Z10*Initiatives!$C$26+Z12*Initiatives!$C$27+IF(Z$3=Initiatives!$C$31,Initiatives!$C$39*Initiatives!$C$25,0)+IF(Z$3&gt;=Initiatives!$C$31,Initiatives!$C$29,0),Initiatives!$C$42*Initiatives!$C$18*Z13+IF(Z$3=Initiatives!$C$31,Initiatives!$C$32*Initiatives!$C$38*Initiatives!$C$25,0)+IF(Z$3=Initiatives!$C$33,(1-Initiatives!$C$32)*Initiatives!$C$38*Initiatives!$C$25,0)+IF(Z$3&gt;=Initiatives!$C$31,Initiatives!$C$29-Initiatives!$C$19*(Initiatives!$C$32+IF(Z$3&gt;=Initiatives!$C$33,1-Initiatives!$C$32,0)),0))</f>
        <v>189778181.678479</v>
      </c>
      <c r="AA17" s="8" t="n">
        <f aca="false">IF(AA$3&lt;=Initiatives!$C$45,Initiatives!$C$28/Initiatives!$C$45,0)+IF(Initiatives!$C$6="adoption",AA10*Initiatives!$C$26+AA12*Initiatives!$C$27+IF(AA$3=Initiatives!$C$31,Initiatives!$C$39*Initiatives!$C$25,0)+IF(AA$3&gt;=Initiatives!$C$31,Initiatives!$C$29,0),Initiatives!$C$42*Initiatives!$C$18*AA13+IF(AA$3=Initiatives!$C$31,Initiatives!$C$32*Initiatives!$C$38*Initiatives!$C$25,0)+IF(AA$3=Initiatives!$C$33,(1-Initiatives!$C$32)*Initiatives!$C$38*Initiatives!$C$25,0)+IF(AA$3&gt;=Initiatives!$C$31,Initiatives!$C$29-Initiatives!$C$19*(Initiatives!$C$32+IF(AA$3&gt;=Initiatives!$C$33,1-Initiatives!$C$32,0)),0))</f>
        <v>186481508.953302</v>
      </c>
      <c r="AB17" s="8" t="n">
        <f aca="false">IF(AB$3&lt;=Initiatives!$C$45,Initiatives!$C$28/Initiatives!$C$45,0)+IF(Initiatives!$C$6="adoption",AB10*Initiatives!$C$26+AB12*Initiatives!$C$27+IF(AB$3=Initiatives!$C$31,Initiatives!$C$39*Initiatives!$C$25,0)+IF(AB$3&gt;=Initiatives!$C$31,Initiatives!$C$29,0),Initiatives!$C$42*Initiatives!$C$18*AB13+IF(AB$3=Initiatives!$C$31,Initiatives!$C$32*Initiatives!$C$38*Initiatives!$C$25,0)+IF(AB$3=Initiatives!$C$33,(1-Initiatives!$C$32)*Initiatives!$C$38*Initiatives!$C$25,0)+IF(AB$3&gt;=Initiatives!$C$31,Initiatives!$C$29-Initiatives!$C$19*(Initiatives!$C$32+IF(AB$3&gt;=Initiatives!$C$33,1-Initiatives!$C$32,0)),0))</f>
        <v>183234286.319002</v>
      </c>
      <c r="AC17" s="8" t="n">
        <f aca="false">IF(AC$3&lt;=Initiatives!$C$45,Initiatives!$C$28/Initiatives!$C$45,0)+IF(Initiatives!$C$6="adoption",AC10*Initiatives!$C$26+AC12*Initiatives!$C$27+IF(AC$3=Initiatives!$C$31,Initiatives!$C$39*Initiatives!$C$25,0)+IF(AC$3&gt;=Initiatives!$C$31,Initiatives!$C$29,0),Initiatives!$C$42*Initiatives!$C$18*AC13+IF(AC$3=Initiatives!$C$31,Initiatives!$C$32*Initiatives!$C$38*Initiatives!$C$25,0)+IF(AC$3=Initiatives!$C$33,(1-Initiatives!$C$32)*Initiatives!$C$38*Initiatives!$C$25,0)+IF(AC$3&gt;=Initiatives!$C$31,Initiatives!$C$29-Initiatives!$C$19*(Initiatives!$C$32+IF(AC$3&gt;=Initiatives!$C$33,1-Initiatives!$C$32,0)),0))</f>
        <v>180035772.024217</v>
      </c>
      <c r="AD17" s="8" t="n">
        <f aca="false">IF(AD$3&lt;=Initiatives!$C$45,Initiatives!$C$28/Initiatives!$C$45,0)+IF(Initiatives!$C$6="adoption",AD10*Initiatives!$C$26+AD12*Initiatives!$C$27+IF(AD$3=Initiatives!$C$31,Initiatives!$C$39*Initiatives!$C$25,0)+IF(AD$3&gt;=Initiatives!$C$31,Initiatives!$C$29,0),Initiatives!$C$42*Initiatives!$C$18*AD13+IF(AD$3=Initiatives!$C$31,Initiatives!$C$32*Initiatives!$C$38*Initiatives!$C$25,0)+IF(AD$3=Initiatives!$C$33,(1-Initiatives!$C$32)*Initiatives!$C$38*Initiatives!$C$25,0)+IF(AD$3&gt;=Initiatives!$C$31,Initiatives!$C$29-Initiatives!$C$19*(Initiatives!$C$32+IF(AD$3&gt;=Initiatives!$C$33,1-Initiatives!$C$32,0)),0))</f>
        <v>176885235.443854</v>
      </c>
      <c r="AE17" s="8" t="n">
        <f aca="false">IF(AE$3&lt;=Initiatives!$C$45,Initiatives!$C$28/Initiatives!$C$45,0)+IF(Initiatives!$C$6="adoption",AE10*Initiatives!$C$26+AE12*Initiatives!$C$27+IF(AE$3=Initiatives!$C$31,Initiatives!$C$39*Initiatives!$C$25,0)+IF(AE$3&gt;=Initiatives!$C$31,Initiatives!$C$29,0),Initiatives!$C$42*Initiatives!$C$18*AE13+IF(AE$3=Initiatives!$C$31,Initiatives!$C$32*Initiatives!$C$38*Initiatives!$C$25,0)+IF(AE$3=Initiatives!$C$33,(1-Initiatives!$C$32)*Initiatives!$C$38*Initiatives!$C$25,0)+IF(AE$3&gt;=Initiatives!$C$31,Initiatives!$C$29-Initiatives!$C$19*(Initiatives!$C$32+IF(AE$3&gt;=Initiatives!$C$33,1-Initiatives!$C$32,0)),0))</f>
        <v>173781956.912196</v>
      </c>
      <c r="AF17" s="8" t="n">
        <f aca="false">IF(AF$3&lt;=Initiatives!$C$45,Initiatives!$C$28/Initiatives!$C$45,0)+IF(Initiatives!$C$6="adoption",AF10*Initiatives!$C$26+AF12*Initiatives!$C$27+IF(AF$3=Initiatives!$C$31,Initiatives!$C$39*Initiatives!$C$25,0)+IF(AF$3&gt;=Initiatives!$C$31,Initiatives!$C$29,0),Initiatives!$C$42*Initiatives!$C$18*AF13+IF(AF$3=Initiatives!$C$31,Initiatives!$C$32*Initiatives!$C$38*Initiatives!$C$25,0)+IF(AF$3=Initiatives!$C$33,(1-Initiatives!$C$32)*Initiatives!$C$38*Initiatives!$C$25,0)+IF(AF$3&gt;=Initiatives!$C$31,Initiatives!$C$29-Initiatives!$C$19*(Initiatives!$C$32+IF(AF$3&gt;=Initiatives!$C$33,1-Initiatives!$C$32,0)),0))</f>
        <v>170725227.558513</v>
      </c>
      <c r="AG17" s="8" t="n">
        <f aca="false">IF(AG$3&lt;=Initiatives!$C$45,Initiatives!$C$28/Initiatives!$C$45,0)+IF(Initiatives!$C$6="adoption",AG10*Initiatives!$C$26+AG12*Initiatives!$C$27+IF(AG$3=Initiatives!$C$31,Initiatives!$C$39*Initiatives!$C$25,0)+IF(AG$3&gt;=Initiatives!$C$31,Initiatives!$C$29,0),Initiatives!$C$42*Initiatives!$C$18*AG13+IF(AG$3=Initiatives!$C$31,Initiatives!$C$32*Initiatives!$C$38*Initiatives!$C$25,0)+IF(AG$3=Initiatives!$C$33,(1-Initiatives!$C$32)*Initiatives!$C$38*Initiatives!$C$25,0)+IF(AG$3&gt;=Initiatives!$C$31,Initiatives!$C$29-Initiatives!$C$19*(Initiatives!$C$32+IF(AG$3&gt;=Initiatives!$C$33,1-Initiatives!$C$32,0)),0))</f>
        <v>167714349.145135</v>
      </c>
      <c r="AH17" s="8" t="n">
        <f aca="false">IF(AH$3&lt;=Initiatives!$C$45,Initiatives!$C$28/Initiatives!$C$45,0)+IF(Initiatives!$C$6="adoption",AH10*Initiatives!$C$26+AH12*Initiatives!$C$27+IF(AH$3=Initiatives!$C$31,Initiatives!$C$39*Initiatives!$C$25,0)+IF(AH$3&gt;=Initiatives!$C$31,Initiatives!$C$29,0),Initiatives!$C$42*Initiatives!$C$18*AH13+IF(AH$3=Initiatives!$C$31,Initiatives!$C$32*Initiatives!$C$38*Initiatives!$C$25,0)+IF(AH$3=Initiatives!$C$33,(1-Initiatives!$C$32)*Initiatives!$C$38*Initiatives!$C$25,0)+IF(AH$3&gt;=Initiatives!$C$31,Initiatives!$C$29-Initiatives!$C$19*(Initiatives!$C$32+IF(AH$3&gt;=Initiatives!$C$33,1-Initiatives!$C$32,0)),0))</f>
        <v>164748633.907958</v>
      </c>
      <c r="AI17" s="8" t="n">
        <f aca="false">IF(AI$3&lt;=Initiatives!$C$45,Initiatives!$C$28/Initiatives!$C$45,0)+IF(Initiatives!$C$6="adoption",AI10*Initiatives!$C$26+AI12*Initiatives!$C$27+IF(AI$3=Initiatives!$C$31,Initiatives!$C$39*Initiatives!$C$25,0)+IF(AI$3&gt;=Initiatives!$C$31,Initiatives!$C$29,0),Initiatives!$C$42*Initiatives!$C$18*AI13+IF(AI$3=Initiatives!$C$31,Initiatives!$C$32*Initiatives!$C$38*Initiatives!$C$25,0)+IF(AI$3=Initiatives!$C$33,(1-Initiatives!$C$32)*Initiatives!$C$38*Initiatives!$C$25,0)+IF(AI$3&gt;=Initiatives!$C$31,Initiatives!$C$29-Initiatives!$C$19*(Initiatives!$C$32+IF(AI$3&gt;=Initiatives!$C$33,1-Initiatives!$C$32,0)),0))</f>
        <v>161827404.399339</v>
      </c>
      <c r="AJ17" s="8" t="n">
        <f aca="false">IF(AJ$3&lt;=Initiatives!$C$45,Initiatives!$C$28/Initiatives!$C$45,0)+IF(Initiatives!$C$6="adoption",AJ10*Initiatives!$C$26+AJ12*Initiatives!$C$27+IF(AJ$3=Initiatives!$C$31,Initiatives!$C$39*Initiatives!$C$25,0)+IF(AJ$3&gt;=Initiatives!$C$31,Initiatives!$C$29,0),Initiatives!$C$42*Initiatives!$C$18*AJ13+IF(AJ$3=Initiatives!$C$31,Initiatives!$C$32*Initiatives!$C$38*Initiatives!$C$25,0)+IF(AJ$3=Initiatives!$C$33,(1-Initiatives!$C$32)*Initiatives!$C$38*Initiatives!$C$25,0)+IF(AJ$3&gt;=Initiatives!$C$31,Initiatives!$C$29-Initiatives!$C$19*(Initiatives!$C$32+IF(AJ$3&gt;=Initiatives!$C$33,1-Initiatives!$C$32,0)),0))</f>
        <v>158949993.333349</v>
      </c>
      <c r="AK17" s="8" t="n">
        <f aca="false">IF(AK$3&lt;=Initiatives!$C$45,Initiatives!$C$28/Initiatives!$C$45,0)+IF(Initiatives!$C$6="adoption",AK10*Initiatives!$C$26+AK12*Initiatives!$C$27+IF(AK$3=Initiatives!$C$31,Initiatives!$C$39*Initiatives!$C$25,0)+IF(AK$3&gt;=Initiatives!$C$31,Initiatives!$C$29,0),Initiatives!$C$42*Initiatives!$C$18*AK13+IF(AK$3=Initiatives!$C$31,Initiatives!$C$32*Initiatives!$C$38*Initiatives!$C$25,0)+IF(AK$3=Initiatives!$C$33,(1-Initiatives!$C$32)*Initiatives!$C$38*Initiatives!$C$25,0)+IF(AK$3&gt;=Initiatives!$C$31,Initiatives!$C$29-Initiatives!$C$19*(Initiatives!$C$32+IF(AK$3&gt;=Initiatives!$C$33,1-Initiatives!$C$32,0)),0))</f>
        <v>156115743.433349</v>
      </c>
      <c r="AL17" s="8" t="n">
        <f aca="false">IF(AL$3&lt;=Initiatives!$C$45,Initiatives!$C$28/Initiatives!$C$45,0)+IF(Initiatives!$C$6="adoption",AL10*Initiatives!$C$26+AL12*Initiatives!$C$27+IF(AL$3=Initiatives!$C$31,Initiatives!$C$39*Initiatives!$C$25,0)+IF(AL$3&gt;=Initiatives!$C$31,Initiatives!$C$29,0),Initiatives!$C$42*Initiatives!$C$18*AL13+IF(AL$3=Initiatives!$C$31,Initiatives!$C$32*Initiatives!$C$38*Initiatives!$C$25,0)+IF(AL$3=Initiatives!$C$33,(1-Initiatives!$C$32)*Initiatives!$C$38*Initiatives!$C$25,0)+IF(AL$3&gt;=Initiatives!$C$31,Initiatives!$C$29-Initiatives!$C$19*(Initiatives!$C$32+IF(AL$3&gt;=Initiatives!$C$33,1-Initiatives!$C$32,0)),0))</f>
        <v>153324007.281848</v>
      </c>
    </row>
    <row r="18" customFormat="false" ht="15" hidden="false" customHeight="false" outlineLevel="0" collapsed="false">
      <c r="A18" s="4" t="s">
        <v>189</v>
      </c>
      <c r="B18" s="4" t="s">
        <v>190</v>
      </c>
      <c r="C18" s="8" t="n">
        <f aca="false">C16*Initiatives!$C$30-C17</f>
        <v>-1000000000</v>
      </c>
      <c r="D18" s="8" t="n">
        <f aca="false">D16*Initiatives!$C$30-D17</f>
        <v>-1000000000</v>
      </c>
      <c r="E18" s="8" t="n">
        <f aca="false">E16*Initiatives!$C$30-E17</f>
        <v>-1000000000</v>
      </c>
      <c r="F18" s="8" t="n">
        <f aca="false">F16*Initiatives!$C$30-F17</f>
        <v>-1000000000</v>
      </c>
      <c r="G18" s="8" t="n">
        <f aca="false">G16*Initiatives!$C$30-G17</f>
        <v>-1000000000</v>
      </c>
      <c r="H18" s="8" t="n">
        <f aca="false">H16*Initiatives!$C$30-H17</f>
        <v>1224752571.42857</v>
      </c>
      <c r="I18" s="8" t="n">
        <f aca="false">I16*Initiatives!$C$30-I17</f>
        <v>1183677282.85714</v>
      </c>
      <c r="J18" s="8" t="n">
        <f aca="false">J16*Initiatives!$C$30-J17</f>
        <v>1165922123.61429</v>
      </c>
      <c r="K18" s="8" t="n">
        <f aca="false">K16*Initiatives!$C$30-K17</f>
        <v>2403185863.18864</v>
      </c>
      <c r="L18" s="8" t="n">
        <f aca="false">L16*Initiatives!$C$30-L17</f>
        <v>2344884075.24081</v>
      </c>
      <c r="M18" s="8" t="n">
        <f aca="false">M16*Initiatives!$C$30-M17</f>
        <v>2310160814.1122</v>
      </c>
      <c r="N18" s="8" t="n">
        <f aca="false">N16*Initiatives!$C$30-N17</f>
        <v>2275958401.90052</v>
      </c>
      <c r="O18" s="8" t="n">
        <f aca="false">O16*Initiatives!$C$30-O17</f>
        <v>2242269025.87201</v>
      </c>
      <c r="P18" s="8" t="n">
        <f aca="false">P16*Initiatives!$C$30-P17</f>
        <v>2209084990.48393</v>
      </c>
      <c r="Q18" s="8" t="n">
        <f aca="false">Q16*Initiatives!$C$30-Q17</f>
        <v>2176398715.62667</v>
      </c>
      <c r="R18" s="8" t="n">
        <f aca="false">R16*Initiatives!$C$30-R17</f>
        <v>2144202734.89227</v>
      </c>
      <c r="S18" s="8" t="n">
        <f aca="false">S16*Initiatives!$C$30-S17</f>
        <v>2112489693.86889</v>
      </c>
      <c r="T18" s="8" t="n">
        <f aca="false">T16*Initiatives!$C$30-T17</f>
        <v>2081252348.46085</v>
      </c>
      <c r="U18" s="8" t="n">
        <f aca="false">U16*Initiatives!$C$30-U17</f>
        <v>2050483563.23394</v>
      </c>
      <c r="V18" s="8" t="n">
        <f aca="false">V16*Initiatives!$C$30-V17</f>
        <v>2020176309.78543</v>
      </c>
      <c r="W18" s="8" t="n">
        <f aca="false">W16*Initiatives!$C$30-W17</f>
        <v>1990323665.13865</v>
      </c>
      <c r="X18" s="8" t="n">
        <f aca="false">X16*Initiatives!$C$30-X17</f>
        <v>1960918810.16157</v>
      </c>
      <c r="Y18" s="8" t="n">
        <f aca="false">Y16*Initiatives!$C$30-Y17</f>
        <v>1931955028.00915</v>
      </c>
      <c r="Z18" s="8" t="n">
        <f aca="false">Z16*Initiatives!$C$30-Z17</f>
        <v>1903425702.58901</v>
      </c>
      <c r="AA18" s="8" t="n">
        <f aca="false">AA16*Initiatives!$C$30-AA17</f>
        <v>1875324317.05017</v>
      </c>
      <c r="AB18" s="8" t="n">
        <f aca="false">AB16*Initiatives!$C$30-AB17</f>
        <v>1847644452.29442</v>
      </c>
      <c r="AC18" s="8" t="n">
        <f aca="false">AC16*Initiatives!$C$30-AC17</f>
        <v>1820379785.51</v>
      </c>
      <c r="AD18" s="8" t="n">
        <f aca="false">AD16*Initiatives!$C$30-AD17</f>
        <v>1793524088.72736</v>
      </c>
      <c r="AE18" s="8" t="n">
        <f aca="false">AE16*Initiatives!$C$30-AE17</f>
        <v>1767071227.39644</v>
      </c>
      <c r="AF18" s="8" t="n">
        <f aca="false">AF16*Initiatives!$C$30-AF17</f>
        <v>1741015158.9855</v>
      </c>
      <c r="AG18" s="8" t="n">
        <f aca="false">AG16*Initiatives!$C$30-AG17</f>
        <v>1715349931.60072</v>
      </c>
      <c r="AH18" s="8" t="n">
        <f aca="false">AH16*Initiatives!$C$30-AH17</f>
        <v>1690069682.6267</v>
      </c>
      <c r="AI18" s="8" t="n">
        <f aca="false">AI16*Initiatives!$C$30-AI17</f>
        <v>1665168637.3873</v>
      </c>
      <c r="AJ18" s="8" t="n">
        <f aca="false">AJ16*Initiatives!$C$30-AJ17</f>
        <v>1640641107.82649</v>
      </c>
      <c r="AK18" s="8" t="n">
        <f aca="false">AK16*Initiatives!$C$30-AK17</f>
        <v>1616481491.2091</v>
      </c>
      <c r="AL18" s="8" t="n">
        <f aca="false">AL16*Initiatives!$C$30-AL17</f>
        <v>1592684268.84096</v>
      </c>
    </row>
    <row r="19" customFormat="false" ht="15" hidden="false" customHeight="false" outlineLevel="0" collapsed="false">
      <c r="A19" s="4" t="s">
        <v>191</v>
      </c>
      <c r="B19" s="4" t="s">
        <v>192</v>
      </c>
      <c r="C19" s="8" t="n">
        <f aca="false">C11-C15</f>
        <v>0</v>
      </c>
      <c r="D19" s="8" t="n">
        <f aca="false">D11-D15</f>
        <v>0</v>
      </c>
      <c r="E19" s="8" t="n">
        <f aca="false">E11-E15</f>
        <v>0</v>
      </c>
      <c r="F19" s="8" t="n">
        <f aca="false">F11-F15</f>
        <v>0</v>
      </c>
      <c r="G19" s="8" t="n">
        <f aca="false">G11-G15</f>
        <v>0</v>
      </c>
      <c r="H19" s="8" t="n">
        <f aca="false">H11-H15</f>
        <v>-7920</v>
      </c>
      <c r="I19" s="8" t="n">
        <f aca="false">I11-I15</f>
        <v>-15721.2</v>
      </c>
      <c r="J19" s="8" t="n">
        <f aca="false">J11-J15</f>
        <v>-15485.382</v>
      </c>
      <c r="K19" s="8" t="n">
        <f aca="false">K11-K15</f>
        <v>-23173.10127</v>
      </c>
      <c r="L19" s="8" t="n">
        <f aca="false">L11-L15</f>
        <v>-30745.50475095</v>
      </c>
      <c r="M19" s="8" t="n">
        <f aca="false">M11-M15</f>
        <v>-30284.3221796858</v>
      </c>
      <c r="N19" s="8" t="n">
        <f aca="false">N11-N15</f>
        <v>-29830.0573469905</v>
      </c>
      <c r="O19" s="8" t="n">
        <f aca="false">O11-O15</f>
        <v>-29382.6064867856</v>
      </c>
      <c r="P19" s="8" t="n">
        <f aca="false">P11-P15</f>
        <v>-28941.8673894838</v>
      </c>
      <c r="Q19" s="8" t="n">
        <f aca="false">Q11-Q15</f>
        <v>-28507.7393786416</v>
      </c>
      <c r="R19" s="8" t="n">
        <f aca="false">R11-R15</f>
        <v>-28080.1232879619</v>
      </c>
      <c r="S19" s="8" t="n">
        <f aca="false">S11-S15</f>
        <v>-27658.9214386425</v>
      </c>
      <c r="T19" s="8" t="n">
        <f aca="false">T11-T15</f>
        <v>-27244.0376170629</v>
      </c>
      <c r="U19" s="8" t="n">
        <f aca="false">U11-U15</f>
        <v>-26835.3770528069</v>
      </c>
      <c r="V19" s="8" t="n">
        <f aca="false">V11-V15</f>
        <v>-26432.8463970148</v>
      </c>
      <c r="W19" s="8" t="n">
        <f aca="false">W11-W15</f>
        <v>-26036.3537010596</v>
      </c>
      <c r="X19" s="8" t="n">
        <f aca="false">X11-X15</f>
        <v>-25645.8083955437</v>
      </c>
      <c r="Y19" s="8" t="n">
        <f aca="false">Y11-Y15</f>
        <v>-25261.1212696106</v>
      </c>
      <c r="Z19" s="8" t="n">
        <f aca="false">Z11-Z15</f>
        <v>-24882.2044505664</v>
      </c>
      <c r="AA19" s="8" t="n">
        <f aca="false">AA11-AA15</f>
        <v>-24508.9713838079</v>
      </c>
      <c r="AB19" s="8" t="n">
        <f aca="false">AB11-AB15</f>
        <v>-24141.3368130508</v>
      </c>
      <c r="AC19" s="8" t="n">
        <f aca="false">AC11-AC15</f>
        <v>-23779.216760855</v>
      </c>
      <c r="AD19" s="8" t="n">
        <f aca="false">AD11-AD15</f>
        <v>-23422.5285094422</v>
      </c>
      <c r="AE19" s="8" t="n">
        <f aca="false">AE11-AE15</f>
        <v>-23071.1905818006</v>
      </c>
      <c r="AF19" s="8" t="n">
        <f aca="false">AF11-AF15</f>
        <v>-22725.1227230735</v>
      </c>
      <c r="AG19" s="8" t="n">
        <f aca="false">AG11-AG15</f>
        <v>-22384.2458822274</v>
      </c>
      <c r="AH19" s="8" t="n">
        <f aca="false">AH11-AH15</f>
        <v>-22048.482193994</v>
      </c>
      <c r="AI19" s="8" t="n">
        <f aca="false">AI11-AI15</f>
        <v>-21717.7549610841</v>
      </c>
      <c r="AJ19" s="8" t="n">
        <f aca="false">AJ11-AJ15</f>
        <v>-21391.9886366679</v>
      </c>
      <c r="AK19" s="8" t="n">
        <f aca="false">AK11-AK15</f>
        <v>-21071.1088071178</v>
      </c>
      <c r="AL19" s="8" t="n">
        <f aca="false">AL11-AL15</f>
        <v>-20755.0421750111</v>
      </c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customFormat="false" ht="15" hidden="false" customHeight="false" outlineLevel="0" collapsed="false">
      <c r="A21" s="13" t="s">
        <v>193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</row>
    <row r="22" customFormat="false" ht="15" hidden="false" customHeight="false" outlineLevel="0" collapsed="false">
      <c r="A22" s="4" t="s">
        <v>169</v>
      </c>
      <c r="B22" s="4" t="s">
        <v>170</v>
      </c>
      <c r="C22" s="18" t="n">
        <f aca="false">IF(Initiatives!$D$6="adoption",IF(C$3&lt;Initiatives!$D$31,0,MIN((C$3-Initiatives!$D$31+1)/Initiatives!$D$34,1)),0)</f>
        <v>0</v>
      </c>
      <c r="D22" s="18" t="n">
        <f aca="false">IF(Initiatives!$D$6="adoption",IF(D$3&lt;Initiatives!$D$31,0,MIN((D$3-Initiatives!$D$31+1)/Initiatives!$D$34,1)),0)</f>
        <v>0</v>
      </c>
      <c r="E22" s="18" t="n">
        <f aca="false">IF(Initiatives!$D$6="adoption",IF(E$3&lt;Initiatives!$D$31,0,MIN((E$3-Initiatives!$D$31+1)/Initiatives!$D$34,1)),0)</f>
        <v>0</v>
      </c>
      <c r="F22" s="18" t="n">
        <f aca="false">IF(Initiatives!$D$6="adoption",IF(F$3&lt;Initiatives!$D$31,0,MIN((F$3-Initiatives!$D$31+1)/Initiatives!$D$34,1)),0)</f>
        <v>0</v>
      </c>
      <c r="G22" s="18" t="n">
        <f aca="false">IF(Initiatives!$D$6="adoption",IF(G$3&lt;Initiatives!$D$31,0,MIN((G$3-Initiatives!$D$31+1)/Initiatives!$D$34,1)),0)</f>
        <v>0</v>
      </c>
      <c r="H22" s="18" t="n">
        <f aca="false">IF(Initiatives!$D$6="adoption",IF(H$3&lt;Initiatives!$D$31,0,MIN((H$3-Initiatives!$D$31+1)/Initiatives!$D$34,1)),0)</f>
        <v>0</v>
      </c>
      <c r="I22" s="18" t="n">
        <f aca="false">IF(Initiatives!$D$6="adoption",IF(I$3&lt;Initiatives!$D$31,0,MIN((I$3-Initiatives!$D$31+1)/Initiatives!$D$34,1)),0)</f>
        <v>0</v>
      </c>
      <c r="J22" s="18" t="n">
        <f aca="false">IF(Initiatives!$D$6="adoption",IF(J$3&lt;Initiatives!$D$31,0,MIN((J$3-Initiatives!$D$31+1)/Initiatives!$D$34,1)),0)</f>
        <v>0</v>
      </c>
      <c r="K22" s="18" t="n">
        <f aca="false">IF(Initiatives!$D$6="adoption",IF(K$3&lt;Initiatives!$D$31,0,MIN((K$3-Initiatives!$D$31+1)/Initiatives!$D$34,1)),0)</f>
        <v>0</v>
      </c>
      <c r="L22" s="18" t="n">
        <f aca="false">IF(Initiatives!$D$6="adoption",IF(L$3&lt;Initiatives!$D$31,0,MIN((L$3-Initiatives!$D$31+1)/Initiatives!$D$34,1)),0)</f>
        <v>0</v>
      </c>
      <c r="M22" s="18" t="n">
        <f aca="false">IF(Initiatives!$D$6="adoption",IF(M$3&lt;Initiatives!$D$31,0,MIN((M$3-Initiatives!$D$31+1)/Initiatives!$D$34,1)),0)</f>
        <v>0</v>
      </c>
      <c r="N22" s="18" t="n">
        <f aca="false">IF(Initiatives!$D$6="adoption",IF(N$3&lt;Initiatives!$D$31,0,MIN((N$3-Initiatives!$D$31+1)/Initiatives!$D$34,1)),0)</f>
        <v>0</v>
      </c>
      <c r="O22" s="18" t="n">
        <f aca="false">IF(Initiatives!$D$6="adoption",IF(O$3&lt;Initiatives!$D$31,0,MIN((O$3-Initiatives!$D$31+1)/Initiatives!$D$34,1)),0)</f>
        <v>0</v>
      </c>
      <c r="P22" s="18" t="n">
        <f aca="false">IF(Initiatives!$D$6="adoption",IF(P$3&lt;Initiatives!$D$31,0,MIN((P$3-Initiatives!$D$31+1)/Initiatives!$D$34,1)),0)</f>
        <v>0</v>
      </c>
      <c r="Q22" s="18" t="n">
        <f aca="false">IF(Initiatives!$D$6="adoption",IF(Q$3&lt;Initiatives!$D$31,0,MIN((Q$3-Initiatives!$D$31+1)/Initiatives!$D$34,1)),0)</f>
        <v>0</v>
      </c>
      <c r="R22" s="18" t="n">
        <f aca="false">IF(Initiatives!$D$6="adoption",IF(R$3&lt;Initiatives!$D$31,0,MIN((R$3-Initiatives!$D$31+1)/Initiatives!$D$34,1)),0)</f>
        <v>0</v>
      </c>
      <c r="S22" s="18" t="n">
        <f aca="false">IF(Initiatives!$D$6="adoption",IF(S$3&lt;Initiatives!$D$31,0,MIN((S$3-Initiatives!$D$31+1)/Initiatives!$D$34,1)),0)</f>
        <v>0</v>
      </c>
      <c r="T22" s="18" t="n">
        <f aca="false">IF(Initiatives!$D$6="adoption",IF(T$3&lt;Initiatives!$D$31,0,MIN((T$3-Initiatives!$D$31+1)/Initiatives!$D$34,1)),0)</f>
        <v>0</v>
      </c>
      <c r="U22" s="18" t="n">
        <f aca="false">IF(Initiatives!$D$6="adoption",IF(U$3&lt;Initiatives!$D$31,0,MIN((U$3-Initiatives!$D$31+1)/Initiatives!$D$34,1)),0)</f>
        <v>0</v>
      </c>
      <c r="V22" s="18" t="n">
        <f aca="false">IF(Initiatives!$D$6="adoption",IF(V$3&lt;Initiatives!$D$31,0,MIN((V$3-Initiatives!$D$31+1)/Initiatives!$D$34,1)),0)</f>
        <v>0</v>
      </c>
      <c r="W22" s="18" t="n">
        <f aca="false">IF(Initiatives!$D$6="adoption",IF(W$3&lt;Initiatives!$D$31,0,MIN((W$3-Initiatives!$D$31+1)/Initiatives!$D$34,1)),0)</f>
        <v>0</v>
      </c>
      <c r="X22" s="18" t="n">
        <f aca="false">IF(Initiatives!$D$6="adoption",IF(X$3&lt;Initiatives!$D$31,0,MIN((X$3-Initiatives!$D$31+1)/Initiatives!$D$34,1)),0)</f>
        <v>0</v>
      </c>
      <c r="Y22" s="18" t="n">
        <f aca="false">IF(Initiatives!$D$6="adoption",IF(Y$3&lt;Initiatives!$D$31,0,MIN((Y$3-Initiatives!$D$31+1)/Initiatives!$D$34,1)),0)</f>
        <v>0</v>
      </c>
      <c r="Z22" s="18" t="n">
        <f aca="false">IF(Initiatives!$D$6="adoption",IF(Z$3&lt;Initiatives!$D$31,0,MIN((Z$3-Initiatives!$D$31+1)/Initiatives!$D$34,1)),0)</f>
        <v>0</v>
      </c>
      <c r="AA22" s="18" t="n">
        <f aca="false">IF(Initiatives!$D$6="adoption",IF(AA$3&lt;Initiatives!$D$31,0,MIN((AA$3-Initiatives!$D$31+1)/Initiatives!$D$34,1)),0)</f>
        <v>0</v>
      </c>
      <c r="AB22" s="18" t="n">
        <f aca="false">IF(Initiatives!$D$6="adoption",IF(AB$3&lt;Initiatives!$D$31,0,MIN((AB$3-Initiatives!$D$31+1)/Initiatives!$D$34,1)),0)</f>
        <v>0</v>
      </c>
      <c r="AC22" s="18" t="n">
        <f aca="false">IF(Initiatives!$D$6="adoption",IF(AC$3&lt;Initiatives!$D$31,0,MIN((AC$3-Initiatives!$D$31+1)/Initiatives!$D$34,1)),0)</f>
        <v>0</v>
      </c>
      <c r="AD22" s="18" t="n">
        <f aca="false">IF(Initiatives!$D$6="adoption",IF(AD$3&lt;Initiatives!$D$31,0,MIN((AD$3-Initiatives!$D$31+1)/Initiatives!$D$34,1)),0)</f>
        <v>0</v>
      </c>
      <c r="AE22" s="18" t="n">
        <f aca="false">IF(Initiatives!$D$6="adoption",IF(AE$3&lt;Initiatives!$D$31,0,MIN((AE$3-Initiatives!$D$31+1)/Initiatives!$D$34,1)),0)</f>
        <v>0</v>
      </c>
      <c r="AF22" s="18" t="n">
        <f aca="false">IF(Initiatives!$D$6="adoption",IF(AF$3&lt;Initiatives!$D$31,0,MIN((AF$3-Initiatives!$D$31+1)/Initiatives!$D$34,1)),0)</f>
        <v>0</v>
      </c>
      <c r="AG22" s="18" t="n">
        <f aca="false">IF(Initiatives!$D$6="adoption",IF(AG$3&lt;Initiatives!$D$31,0,MIN((AG$3-Initiatives!$D$31+1)/Initiatives!$D$34,1)),0)</f>
        <v>0</v>
      </c>
      <c r="AH22" s="18" t="n">
        <f aca="false">IF(Initiatives!$D$6="adoption",IF(AH$3&lt;Initiatives!$D$31,0,MIN((AH$3-Initiatives!$D$31+1)/Initiatives!$D$34,1)),0)</f>
        <v>0</v>
      </c>
      <c r="AI22" s="18" t="n">
        <f aca="false">IF(Initiatives!$D$6="adoption",IF(AI$3&lt;Initiatives!$D$31,0,MIN((AI$3-Initiatives!$D$31+1)/Initiatives!$D$34,1)),0)</f>
        <v>0</v>
      </c>
      <c r="AJ22" s="18" t="n">
        <f aca="false">IF(Initiatives!$D$6="adoption",IF(AJ$3&lt;Initiatives!$D$31,0,MIN((AJ$3-Initiatives!$D$31+1)/Initiatives!$D$34,1)),0)</f>
        <v>0</v>
      </c>
      <c r="AK22" s="18" t="n">
        <f aca="false">IF(Initiatives!$D$6="adoption",IF(AK$3&lt;Initiatives!$D$31,0,MIN((AK$3-Initiatives!$D$31+1)/Initiatives!$D$34,1)),0)</f>
        <v>0</v>
      </c>
      <c r="AL22" s="18" t="n">
        <f aca="false">IF(Initiatives!$D$6="adoption",IF(AL$3&lt;Initiatives!$D$31,0,MIN((AL$3-Initiatives!$D$31+1)/Initiatives!$D$34,1)),0)</f>
        <v>0</v>
      </c>
    </row>
    <row r="23" customFormat="false" ht="15" hidden="false" customHeight="false" outlineLevel="0" collapsed="false">
      <c r="A23" s="4" t="s">
        <v>171</v>
      </c>
      <c r="B23" s="4" t="s">
        <v>172</v>
      </c>
      <c r="C23" s="8" t="n">
        <f aca="false">Initiatives!$D$40*C22</f>
        <v>0</v>
      </c>
      <c r="D23" s="8" t="n">
        <f aca="false">Initiatives!$D$40*D22</f>
        <v>0</v>
      </c>
      <c r="E23" s="8" t="n">
        <f aca="false">Initiatives!$D$40*E22</f>
        <v>0</v>
      </c>
      <c r="F23" s="8" t="n">
        <f aca="false">Initiatives!$D$40*F22</f>
        <v>0</v>
      </c>
      <c r="G23" s="8" t="n">
        <f aca="false">Initiatives!$D$40*G22</f>
        <v>0</v>
      </c>
      <c r="H23" s="8" t="n">
        <f aca="false">Initiatives!$D$40*H22</f>
        <v>0</v>
      </c>
      <c r="I23" s="8" t="n">
        <f aca="false">Initiatives!$D$40*I22</f>
        <v>0</v>
      </c>
      <c r="J23" s="8" t="n">
        <f aca="false">Initiatives!$D$40*J22</f>
        <v>0</v>
      </c>
      <c r="K23" s="8" t="n">
        <f aca="false">Initiatives!$D$40*K22</f>
        <v>0</v>
      </c>
      <c r="L23" s="8" t="n">
        <f aca="false">Initiatives!$D$40*L22</f>
        <v>0</v>
      </c>
      <c r="M23" s="8" t="n">
        <f aca="false">Initiatives!$D$40*M22</f>
        <v>0</v>
      </c>
      <c r="N23" s="8" t="n">
        <f aca="false">Initiatives!$D$40*N22</f>
        <v>0</v>
      </c>
      <c r="O23" s="8" t="n">
        <f aca="false">Initiatives!$D$40*O22</f>
        <v>0</v>
      </c>
      <c r="P23" s="8" t="n">
        <f aca="false">Initiatives!$D$40*P22</f>
        <v>0</v>
      </c>
      <c r="Q23" s="8" t="n">
        <f aca="false">Initiatives!$D$40*Q22</f>
        <v>0</v>
      </c>
      <c r="R23" s="8" t="n">
        <f aca="false">Initiatives!$D$40*R22</f>
        <v>0</v>
      </c>
      <c r="S23" s="8" t="n">
        <f aca="false">Initiatives!$D$40*S22</f>
        <v>0</v>
      </c>
      <c r="T23" s="8" t="n">
        <f aca="false">Initiatives!$D$40*T22</f>
        <v>0</v>
      </c>
      <c r="U23" s="8" t="n">
        <f aca="false">Initiatives!$D$40*U22</f>
        <v>0</v>
      </c>
      <c r="V23" s="8" t="n">
        <f aca="false">Initiatives!$D$40*V22</f>
        <v>0</v>
      </c>
      <c r="W23" s="8" t="n">
        <f aca="false">Initiatives!$D$40*W22</f>
        <v>0</v>
      </c>
      <c r="X23" s="8" t="n">
        <f aca="false">Initiatives!$D$40*X22</f>
        <v>0</v>
      </c>
      <c r="Y23" s="8" t="n">
        <f aca="false">Initiatives!$D$40*Y22</f>
        <v>0</v>
      </c>
      <c r="Z23" s="8" t="n">
        <f aca="false">Initiatives!$D$40*Z22</f>
        <v>0</v>
      </c>
      <c r="AA23" s="8" t="n">
        <f aca="false">Initiatives!$D$40*AA22</f>
        <v>0</v>
      </c>
      <c r="AB23" s="8" t="n">
        <f aca="false">Initiatives!$D$40*AB22</f>
        <v>0</v>
      </c>
      <c r="AC23" s="8" t="n">
        <f aca="false">Initiatives!$D$40*AC22</f>
        <v>0</v>
      </c>
      <c r="AD23" s="8" t="n">
        <f aca="false">Initiatives!$D$40*AD22</f>
        <v>0</v>
      </c>
      <c r="AE23" s="8" t="n">
        <f aca="false">Initiatives!$D$40*AE22</f>
        <v>0</v>
      </c>
      <c r="AF23" s="8" t="n">
        <f aca="false">Initiatives!$D$40*AF22</f>
        <v>0</v>
      </c>
      <c r="AG23" s="8" t="n">
        <f aca="false">Initiatives!$D$40*AG22</f>
        <v>0</v>
      </c>
      <c r="AH23" s="8" t="n">
        <f aca="false">Initiatives!$D$40*AH22</f>
        <v>0</v>
      </c>
      <c r="AI23" s="8" t="n">
        <f aca="false">Initiatives!$D$40*AI22</f>
        <v>0</v>
      </c>
      <c r="AJ23" s="8" t="n">
        <f aca="false">Initiatives!$D$40*AJ22</f>
        <v>0</v>
      </c>
      <c r="AK23" s="8" t="n">
        <f aca="false">Initiatives!$D$40*AK22</f>
        <v>0</v>
      </c>
      <c r="AL23" s="8" t="n">
        <f aca="false">Initiatives!$D$40*AL22</f>
        <v>0</v>
      </c>
    </row>
    <row r="24" customFormat="false" ht="15" hidden="false" customHeight="false" outlineLevel="0" collapsed="false">
      <c r="A24" s="4" t="s">
        <v>173</v>
      </c>
      <c r="B24" s="4" t="s">
        <v>174</v>
      </c>
      <c r="C24" s="8" t="n">
        <f aca="false">MAX(C23-N(B23),0)</f>
        <v>0</v>
      </c>
      <c r="D24" s="8" t="n">
        <f aca="false">MAX(D23-N(C23),0)</f>
        <v>0</v>
      </c>
      <c r="E24" s="8" t="n">
        <f aca="false">MAX(E23-N(D23),0)</f>
        <v>0</v>
      </c>
      <c r="F24" s="8" t="n">
        <f aca="false">MAX(F23-N(E23),0)</f>
        <v>0</v>
      </c>
      <c r="G24" s="8" t="n">
        <f aca="false">MAX(G23-N(F23),0)</f>
        <v>0</v>
      </c>
      <c r="H24" s="8" t="n">
        <f aca="false">MAX(H23-N(G23),0)</f>
        <v>0</v>
      </c>
      <c r="I24" s="8" t="n">
        <f aca="false">MAX(I23-N(H23),0)</f>
        <v>0</v>
      </c>
      <c r="J24" s="8" t="n">
        <f aca="false">MAX(J23-N(I23),0)</f>
        <v>0</v>
      </c>
      <c r="K24" s="8" t="n">
        <f aca="false">MAX(K23-N(J23),0)</f>
        <v>0</v>
      </c>
      <c r="L24" s="8" t="n">
        <f aca="false">MAX(L23-N(K23),0)</f>
        <v>0</v>
      </c>
      <c r="M24" s="8" t="n">
        <f aca="false">MAX(M23-N(L23),0)</f>
        <v>0</v>
      </c>
      <c r="N24" s="8" t="n">
        <f aca="false">MAX(N23-N(M23),0)</f>
        <v>0</v>
      </c>
      <c r="O24" s="8" t="n">
        <f aca="false">MAX(O23-N(N23),0)</f>
        <v>0</v>
      </c>
      <c r="P24" s="8" t="n">
        <f aca="false">MAX(P23-N(O23),0)</f>
        <v>0</v>
      </c>
      <c r="Q24" s="8" t="n">
        <f aca="false">MAX(Q23-N(P23),0)</f>
        <v>0</v>
      </c>
      <c r="R24" s="8" t="n">
        <f aca="false">MAX(R23-N(Q23),0)</f>
        <v>0</v>
      </c>
      <c r="S24" s="8" t="n">
        <f aca="false">MAX(S23-N(R23),0)</f>
        <v>0</v>
      </c>
      <c r="T24" s="8" t="n">
        <f aca="false">MAX(T23-N(S23),0)</f>
        <v>0</v>
      </c>
      <c r="U24" s="8" t="n">
        <f aca="false">MAX(U23-N(T23),0)</f>
        <v>0</v>
      </c>
      <c r="V24" s="8" t="n">
        <f aca="false">MAX(V23-N(U23),0)</f>
        <v>0</v>
      </c>
      <c r="W24" s="8" t="n">
        <f aca="false">MAX(W23-N(V23),0)</f>
        <v>0</v>
      </c>
      <c r="X24" s="8" t="n">
        <f aca="false">MAX(X23-N(W23),0)</f>
        <v>0</v>
      </c>
      <c r="Y24" s="8" t="n">
        <f aca="false">MAX(Y23-N(X23),0)</f>
        <v>0</v>
      </c>
      <c r="Z24" s="8" t="n">
        <f aca="false">MAX(Z23-N(Y23),0)</f>
        <v>0</v>
      </c>
      <c r="AA24" s="8" t="n">
        <f aca="false">MAX(AA23-N(Z23),0)</f>
        <v>0</v>
      </c>
      <c r="AB24" s="8" t="n">
        <f aca="false">MAX(AB23-N(AA23),0)</f>
        <v>0</v>
      </c>
      <c r="AC24" s="8" t="n">
        <f aca="false">MAX(AC23-N(AB23),0)</f>
        <v>0</v>
      </c>
      <c r="AD24" s="8" t="n">
        <f aca="false">MAX(AD23-N(AC23),0)</f>
        <v>0</v>
      </c>
      <c r="AE24" s="8" t="n">
        <f aca="false">MAX(AE23-N(AD23),0)</f>
        <v>0</v>
      </c>
      <c r="AF24" s="8" t="n">
        <f aca="false">MAX(AF23-N(AE23),0)</f>
        <v>0</v>
      </c>
      <c r="AG24" s="8" t="n">
        <f aca="false">MAX(AG23-N(AF23),0)</f>
        <v>0</v>
      </c>
      <c r="AH24" s="8" t="n">
        <f aca="false">MAX(AH23-N(AG23),0)</f>
        <v>0</v>
      </c>
      <c r="AI24" s="8" t="n">
        <f aca="false">MAX(AI23-N(AH23),0)</f>
        <v>0</v>
      </c>
      <c r="AJ24" s="8" t="n">
        <f aca="false">MAX(AJ23-N(AI23),0)</f>
        <v>0</v>
      </c>
      <c r="AK24" s="8" t="n">
        <f aca="false">MAX(AK23-N(AJ23),0)</f>
        <v>0</v>
      </c>
      <c r="AL24" s="8" t="n">
        <f aca="false">MAX(AL23-N(AK23),0)</f>
        <v>0</v>
      </c>
    </row>
    <row r="25" customFormat="false" ht="15" hidden="false" customHeight="false" outlineLevel="0" collapsed="false">
      <c r="A25" s="4" t="s">
        <v>175</v>
      </c>
      <c r="B25" s="4" t="s">
        <v>176</v>
      </c>
      <c r="C25" s="8" t="n">
        <f aca="false">IF(Initiatives!$D$6="adoption",N(B25)*(1-Inputs!$C$9)+N(B26)*Inputs!$C$9*Initiatives!$D$24,0)</f>
        <v>0</v>
      </c>
      <c r="D25" s="8" t="n">
        <f aca="false">IF(Initiatives!$D$6="adoption",N(C25)*(1-Inputs!$C$9)+N(C26)*Inputs!$C$9*Initiatives!$D$24,0)</f>
        <v>0</v>
      </c>
      <c r="E25" s="8" t="n">
        <f aca="false">IF(Initiatives!$D$6="adoption",N(D25)*(1-Inputs!$C$9)+N(D26)*Inputs!$C$9*Initiatives!$D$24,0)</f>
        <v>0</v>
      </c>
      <c r="F25" s="8" t="n">
        <f aca="false">IF(Initiatives!$D$6="adoption",N(E25)*(1-Inputs!$C$9)+N(E26)*Inputs!$C$9*Initiatives!$D$24,0)</f>
        <v>0</v>
      </c>
      <c r="G25" s="8" t="n">
        <f aca="false">IF(Initiatives!$D$6="adoption",N(F25)*(1-Inputs!$C$9)+N(F26)*Inputs!$C$9*Initiatives!$D$24,0)</f>
        <v>0</v>
      </c>
      <c r="H25" s="8" t="n">
        <f aca="false">IF(Initiatives!$D$6="adoption",N(G25)*(1-Inputs!$C$9)+N(G26)*Inputs!$C$9*Initiatives!$D$24,0)</f>
        <v>0</v>
      </c>
      <c r="I25" s="8" t="n">
        <f aca="false">IF(Initiatives!$D$6="adoption",N(H25)*(1-Inputs!$C$9)+N(H26)*Inputs!$C$9*Initiatives!$D$24,0)</f>
        <v>0</v>
      </c>
      <c r="J25" s="8" t="n">
        <f aca="false">IF(Initiatives!$D$6="adoption",N(I25)*(1-Inputs!$C$9)+N(I26)*Inputs!$C$9*Initiatives!$D$24,0)</f>
        <v>0</v>
      </c>
      <c r="K25" s="8" t="n">
        <f aca="false">IF(Initiatives!$D$6="adoption",N(J25)*(1-Inputs!$C$9)+N(J26)*Inputs!$C$9*Initiatives!$D$24,0)</f>
        <v>0</v>
      </c>
      <c r="L25" s="8" t="n">
        <f aca="false">IF(Initiatives!$D$6="adoption",N(K25)*(1-Inputs!$C$9)+N(K26)*Inputs!$C$9*Initiatives!$D$24,0)</f>
        <v>0</v>
      </c>
      <c r="M25" s="8" t="n">
        <f aca="false">IF(Initiatives!$D$6="adoption",N(L25)*(1-Inputs!$C$9)+N(L26)*Inputs!$C$9*Initiatives!$D$24,0)</f>
        <v>0</v>
      </c>
      <c r="N25" s="8" t="n">
        <f aca="false">IF(Initiatives!$D$6="adoption",N(M25)*(1-Inputs!$C$9)+N(M26)*Inputs!$C$9*Initiatives!$D$24,0)</f>
        <v>0</v>
      </c>
      <c r="O25" s="8" t="n">
        <f aca="false">IF(Initiatives!$D$6="adoption",N(N25)*(1-Inputs!$C$9)+N(N26)*Inputs!$C$9*Initiatives!$D$24,0)</f>
        <v>0</v>
      </c>
      <c r="P25" s="8" t="n">
        <f aca="false">IF(Initiatives!$D$6="adoption",N(O25)*(1-Inputs!$C$9)+N(O26)*Inputs!$C$9*Initiatives!$D$24,0)</f>
        <v>0</v>
      </c>
      <c r="Q25" s="8" t="n">
        <f aca="false">IF(Initiatives!$D$6="adoption",N(P25)*(1-Inputs!$C$9)+N(P26)*Inputs!$C$9*Initiatives!$D$24,0)</f>
        <v>0</v>
      </c>
      <c r="R25" s="8" t="n">
        <f aca="false">IF(Initiatives!$D$6="adoption",N(Q25)*(1-Inputs!$C$9)+N(Q26)*Inputs!$C$9*Initiatives!$D$24,0)</f>
        <v>0</v>
      </c>
      <c r="S25" s="8" t="n">
        <f aca="false">IF(Initiatives!$D$6="adoption",N(R25)*(1-Inputs!$C$9)+N(R26)*Inputs!$C$9*Initiatives!$D$24,0)</f>
        <v>0</v>
      </c>
      <c r="T25" s="8" t="n">
        <f aca="false">IF(Initiatives!$D$6="adoption",N(S25)*(1-Inputs!$C$9)+N(S26)*Inputs!$C$9*Initiatives!$D$24,0)</f>
        <v>0</v>
      </c>
      <c r="U25" s="8" t="n">
        <f aca="false">IF(Initiatives!$D$6="adoption",N(T25)*(1-Inputs!$C$9)+N(T26)*Inputs!$C$9*Initiatives!$D$24,0)</f>
        <v>0</v>
      </c>
      <c r="V25" s="8" t="n">
        <f aca="false">IF(Initiatives!$D$6="adoption",N(U25)*(1-Inputs!$C$9)+N(U26)*Inputs!$C$9*Initiatives!$D$24,0)</f>
        <v>0</v>
      </c>
      <c r="W25" s="8" t="n">
        <f aca="false">IF(Initiatives!$D$6="adoption",N(V25)*(1-Inputs!$C$9)+N(V26)*Inputs!$C$9*Initiatives!$D$24,0)</f>
        <v>0</v>
      </c>
      <c r="X25" s="8" t="n">
        <f aca="false">IF(Initiatives!$D$6="adoption",N(W25)*(1-Inputs!$C$9)+N(W26)*Inputs!$C$9*Initiatives!$D$24,0)</f>
        <v>0</v>
      </c>
      <c r="Y25" s="8" t="n">
        <f aca="false">IF(Initiatives!$D$6="adoption",N(X25)*(1-Inputs!$C$9)+N(X26)*Inputs!$C$9*Initiatives!$D$24,0)</f>
        <v>0</v>
      </c>
      <c r="Z25" s="8" t="n">
        <f aca="false">IF(Initiatives!$D$6="adoption",N(Y25)*(1-Inputs!$C$9)+N(Y26)*Inputs!$C$9*Initiatives!$D$24,0)</f>
        <v>0</v>
      </c>
      <c r="AA25" s="8" t="n">
        <f aca="false">IF(Initiatives!$D$6="adoption",N(Z25)*(1-Inputs!$C$9)+N(Z26)*Inputs!$C$9*Initiatives!$D$24,0)</f>
        <v>0</v>
      </c>
      <c r="AB25" s="8" t="n">
        <f aca="false">IF(Initiatives!$D$6="adoption",N(AA25)*(1-Inputs!$C$9)+N(AA26)*Inputs!$C$9*Initiatives!$D$24,0)</f>
        <v>0</v>
      </c>
      <c r="AC25" s="8" t="n">
        <f aca="false">IF(Initiatives!$D$6="adoption",N(AB25)*(1-Inputs!$C$9)+N(AB26)*Inputs!$C$9*Initiatives!$D$24,0)</f>
        <v>0</v>
      </c>
      <c r="AD25" s="8" t="n">
        <f aca="false">IF(Initiatives!$D$6="adoption",N(AC25)*(1-Inputs!$C$9)+N(AC26)*Inputs!$C$9*Initiatives!$D$24,0)</f>
        <v>0</v>
      </c>
      <c r="AE25" s="8" t="n">
        <f aca="false">IF(Initiatives!$D$6="adoption",N(AD25)*(1-Inputs!$C$9)+N(AD26)*Inputs!$C$9*Initiatives!$D$24,0)</f>
        <v>0</v>
      </c>
      <c r="AF25" s="8" t="n">
        <f aca="false">IF(Initiatives!$D$6="adoption",N(AE25)*(1-Inputs!$C$9)+N(AE26)*Inputs!$C$9*Initiatives!$D$24,0)</f>
        <v>0</v>
      </c>
      <c r="AG25" s="8" t="n">
        <f aca="false">IF(Initiatives!$D$6="adoption",N(AF25)*(1-Inputs!$C$9)+N(AF26)*Inputs!$C$9*Initiatives!$D$24,0)</f>
        <v>0</v>
      </c>
      <c r="AH25" s="8" t="n">
        <f aca="false">IF(Initiatives!$D$6="adoption",N(AG25)*(1-Inputs!$C$9)+N(AG26)*Inputs!$C$9*Initiatives!$D$24,0)</f>
        <v>0</v>
      </c>
      <c r="AI25" s="8" t="n">
        <f aca="false">IF(Initiatives!$D$6="adoption",N(AH25)*(1-Inputs!$C$9)+N(AH26)*Inputs!$C$9*Initiatives!$D$24,0)</f>
        <v>0</v>
      </c>
      <c r="AJ25" s="8" t="n">
        <f aca="false">IF(Initiatives!$D$6="adoption",N(AI25)*(1-Inputs!$C$9)+N(AI26)*Inputs!$C$9*Initiatives!$D$24,0)</f>
        <v>0</v>
      </c>
      <c r="AK25" s="8" t="n">
        <f aca="false">IF(Initiatives!$D$6="adoption",N(AJ25)*(1-Inputs!$C$9)+N(AJ26)*Inputs!$C$9*Initiatives!$D$24,0)</f>
        <v>0</v>
      </c>
      <c r="AL25" s="8" t="n">
        <f aca="false">IF(Initiatives!$D$6="adoption",N(AK25)*(1-Inputs!$C$9)+N(AK26)*Inputs!$C$9*Initiatives!$D$24,0)</f>
        <v>0</v>
      </c>
    </row>
    <row r="26" customFormat="false" ht="15" hidden="false" customHeight="false" outlineLevel="0" collapsed="false">
      <c r="A26" s="4" t="s">
        <v>177</v>
      </c>
      <c r="B26" s="4" t="s">
        <v>178</v>
      </c>
      <c r="C26" s="8" t="n">
        <f aca="false">N(B26)*(1-Inputs!$C$9*(1-Initiatives!$D$24))+C24</f>
        <v>0</v>
      </c>
      <c r="D26" s="8" t="n">
        <f aca="false">N(C26)*(1-Inputs!$C$9*(1-Initiatives!$D$24))+D24</f>
        <v>0</v>
      </c>
      <c r="E26" s="8" t="n">
        <f aca="false">N(D26)*(1-Inputs!$C$9*(1-Initiatives!$D$24))+E24</f>
        <v>0</v>
      </c>
      <c r="F26" s="8" t="n">
        <f aca="false">N(E26)*(1-Inputs!$C$9*(1-Initiatives!$D$24))+F24</f>
        <v>0</v>
      </c>
      <c r="G26" s="8" t="n">
        <f aca="false">N(F26)*(1-Inputs!$C$9*(1-Initiatives!$D$24))+G24</f>
        <v>0</v>
      </c>
      <c r="H26" s="8" t="n">
        <f aca="false">N(G26)*(1-Inputs!$C$9*(1-Initiatives!$D$24))+H24</f>
        <v>0</v>
      </c>
      <c r="I26" s="8" t="n">
        <f aca="false">N(H26)*(1-Inputs!$C$9*(1-Initiatives!$D$24))+I24</f>
        <v>0</v>
      </c>
      <c r="J26" s="8" t="n">
        <f aca="false">N(I26)*(1-Inputs!$C$9*(1-Initiatives!$D$24))+J24</f>
        <v>0</v>
      </c>
      <c r="K26" s="8" t="n">
        <f aca="false">N(J26)*(1-Inputs!$C$9*(1-Initiatives!$D$24))+K24</f>
        <v>0</v>
      </c>
      <c r="L26" s="8" t="n">
        <f aca="false">N(K26)*(1-Inputs!$C$9*(1-Initiatives!$D$24))+L24</f>
        <v>0</v>
      </c>
      <c r="M26" s="8" t="n">
        <f aca="false">N(L26)*(1-Inputs!$C$9*(1-Initiatives!$D$24))+M24</f>
        <v>0</v>
      </c>
      <c r="N26" s="8" t="n">
        <f aca="false">N(M26)*(1-Inputs!$C$9*(1-Initiatives!$D$24))+N24</f>
        <v>0</v>
      </c>
      <c r="O26" s="8" t="n">
        <f aca="false">N(N26)*(1-Inputs!$C$9*(1-Initiatives!$D$24))+O24</f>
        <v>0</v>
      </c>
      <c r="P26" s="8" t="n">
        <f aca="false">N(O26)*(1-Inputs!$C$9*(1-Initiatives!$D$24))+P24</f>
        <v>0</v>
      </c>
      <c r="Q26" s="8" t="n">
        <f aca="false">N(P26)*(1-Inputs!$C$9*(1-Initiatives!$D$24))+Q24</f>
        <v>0</v>
      </c>
      <c r="R26" s="8" t="n">
        <f aca="false">N(Q26)*(1-Inputs!$C$9*(1-Initiatives!$D$24))+R24</f>
        <v>0</v>
      </c>
      <c r="S26" s="8" t="n">
        <f aca="false">N(R26)*(1-Inputs!$C$9*(1-Initiatives!$D$24))+S24</f>
        <v>0</v>
      </c>
      <c r="T26" s="8" t="n">
        <f aca="false">N(S26)*(1-Inputs!$C$9*(1-Initiatives!$D$24))+T24</f>
        <v>0</v>
      </c>
      <c r="U26" s="8" t="n">
        <f aca="false">N(T26)*(1-Inputs!$C$9*(1-Initiatives!$D$24))+U24</f>
        <v>0</v>
      </c>
      <c r="V26" s="8" t="n">
        <f aca="false">N(U26)*(1-Inputs!$C$9*(1-Initiatives!$D$24))+V24</f>
        <v>0</v>
      </c>
      <c r="W26" s="8" t="n">
        <f aca="false">N(V26)*(1-Inputs!$C$9*(1-Initiatives!$D$24))+W24</f>
        <v>0</v>
      </c>
      <c r="X26" s="8" t="n">
        <f aca="false">N(W26)*(1-Inputs!$C$9*(1-Initiatives!$D$24))+X24</f>
        <v>0</v>
      </c>
      <c r="Y26" s="8" t="n">
        <f aca="false">N(X26)*(1-Inputs!$C$9*(1-Initiatives!$D$24))+Y24</f>
        <v>0</v>
      </c>
      <c r="Z26" s="8" t="n">
        <f aca="false">N(Y26)*(1-Inputs!$C$9*(1-Initiatives!$D$24))+Z24</f>
        <v>0</v>
      </c>
      <c r="AA26" s="8" t="n">
        <f aca="false">N(Z26)*(1-Inputs!$C$9*(1-Initiatives!$D$24))+AA24</f>
        <v>0</v>
      </c>
      <c r="AB26" s="8" t="n">
        <f aca="false">N(AA26)*(1-Inputs!$C$9*(1-Initiatives!$D$24))+AB24</f>
        <v>0</v>
      </c>
      <c r="AC26" s="8" t="n">
        <f aca="false">N(AB26)*(1-Inputs!$C$9*(1-Initiatives!$D$24))+AC24</f>
        <v>0</v>
      </c>
      <c r="AD26" s="8" t="n">
        <f aca="false">N(AC26)*(1-Inputs!$C$9*(1-Initiatives!$D$24))+AD24</f>
        <v>0</v>
      </c>
      <c r="AE26" s="8" t="n">
        <f aca="false">N(AD26)*(1-Inputs!$C$9*(1-Initiatives!$D$24))+AE24</f>
        <v>0</v>
      </c>
      <c r="AF26" s="8" t="n">
        <f aca="false">N(AE26)*(1-Inputs!$C$9*(1-Initiatives!$D$24))+AF24</f>
        <v>0</v>
      </c>
      <c r="AG26" s="8" t="n">
        <f aca="false">N(AF26)*(1-Inputs!$C$9*(1-Initiatives!$D$24))+AG24</f>
        <v>0</v>
      </c>
      <c r="AH26" s="8" t="n">
        <f aca="false">N(AG26)*(1-Inputs!$C$9*(1-Initiatives!$D$24))+AH24</f>
        <v>0</v>
      </c>
      <c r="AI26" s="8" t="n">
        <f aca="false">N(AH26)*(1-Inputs!$C$9*(1-Initiatives!$D$24))+AI24</f>
        <v>0</v>
      </c>
      <c r="AJ26" s="8" t="n">
        <f aca="false">N(AI26)*(1-Inputs!$C$9*(1-Initiatives!$D$24))+AJ24</f>
        <v>0</v>
      </c>
      <c r="AK26" s="8" t="n">
        <f aca="false">N(AJ26)*(1-Inputs!$C$9*(1-Initiatives!$D$24))+AK24</f>
        <v>0</v>
      </c>
      <c r="AL26" s="8" t="n">
        <f aca="false">N(AK26)*(1-Inputs!$C$9*(1-Initiatives!$D$24))+AL24</f>
        <v>0</v>
      </c>
    </row>
    <row r="27" customFormat="false" ht="15" hidden="false" customHeight="false" outlineLevel="0" collapsed="false">
      <c r="A27" s="4" t="s">
        <v>179</v>
      </c>
      <c r="B27" s="4" t="s">
        <v>180</v>
      </c>
      <c r="C27" s="8" t="n">
        <f aca="false">IF(Initiatives!$D$6="adoption",0,IF(C$3&gt;=Initiatives!$D$31,Initiatives!$D$32*(1-Inputs!$C$9)^(C$3-Initiatives!$D$31),0)+IF(C$3&gt;=Initiatives!$D$33,(1-Initiatives!$D$32)*(1-Inputs!$C$9)^(C$3-Initiatives!$D$33),0))</f>
        <v>0</v>
      </c>
      <c r="D27" s="8" t="n">
        <f aca="false">IF(Initiatives!$D$6="adoption",0,IF(D$3&gt;=Initiatives!$D$31,Initiatives!$D$32*(1-Inputs!$C$9)^(D$3-Initiatives!$D$31),0)+IF(D$3&gt;=Initiatives!$D$33,(1-Initiatives!$D$32)*(1-Inputs!$C$9)^(D$3-Initiatives!$D$33),0))</f>
        <v>0.1</v>
      </c>
      <c r="E27" s="8" t="n">
        <f aca="false">IF(Initiatives!$D$6="adoption",0,IF(E$3&gt;=Initiatives!$D$31,Initiatives!$D$32*(1-Inputs!$C$9)^(E$3-Initiatives!$D$31),0)+IF(E$3&gt;=Initiatives!$D$33,(1-Initiatives!$D$32)*(1-Inputs!$C$9)^(E$3-Initiatives!$D$33),0))</f>
        <v>0.0985</v>
      </c>
      <c r="F27" s="8" t="n">
        <f aca="false">IF(Initiatives!$D$6="adoption",0,IF(F$3&gt;=Initiatives!$D$31,Initiatives!$D$32*(1-Inputs!$C$9)^(F$3-Initiatives!$D$31),0)+IF(F$3&gt;=Initiatives!$D$33,(1-Initiatives!$D$32)*(1-Inputs!$C$9)^(F$3-Initiatives!$D$33),0))</f>
        <v>0.9970225</v>
      </c>
      <c r="G27" s="8" t="n">
        <f aca="false">IF(Initiatives!$D$6="adoption",0,IF(G$3&gt;=Initiatives!$D$31,Initiatives!$D$32*(1-Inputs!$C$9)^(G$3-Initiatives!$D$31),0)+IF(G$3&gt;=Initiatives!$D$33,(1-Initiatives!$D$32)*(1-Inputs!$C$9)^(G$3-Initiatives!$D$33),0))</f>
        <v>0.9820671625</v>
      </c>
      <c r="H27" s="8" t="n">
        <f aca="false">IF(Initiatives!$D$6="adoption",0,IF(H$3&gt;=Initiatives!$D$31,Initiatives!$D$32*(1-Inputs!$C$9)^(H$3-Initiatives!$D$31),0)+IF(H$3&gt;=Initiatives!$D$33,(1-Initiatives!$D$32)*(1-Inputs!$C$9)^(H$3-Initiatives!$D$33),0))</f>
        <v>0.9673361550625</v>
      </c>
      <c r="I27" s="8" t="n">
        <f aca="false">IF(Initiatives!$D$6="adoption",0,IF(I$3&gt;=Initiatives!$D$31,Initiatives!$D$32*(1-Inputs!$C$9)^(I$3-Initiatives!$D$31),0)+IF(I$3&gt;=Initiatives!$D$33,(1-Initiatives!$D$32)*(1-Inputs!$C$9)^(I$3-Initiatives!$D$33),0))</f>
        <v>0.952826112736563</v>
      </c>
      <c r="J27" s="8" t="n">
        <f aca="false">IF(Initiatives!$D$6="adoption",0,IF(J$3&gt;=Initiatives!$D$31,Initiatives!$D$32*(1-Inputs!$C$9)^(J$3-Initiatives!$D$31),0)+IF(J$3&gt;=Initiatives!$D$33,(1-Initiatives!$D$32)*(1-Inputs!$C$9)^(J$3-Initiatives!$D$33),0))</f>
        <v>0.938533721045514</v>
      </c>
      <c r="K27" s="8" t="n">
        <f aca="false">IF(Initiatives!$D$6="adoption",0,IF(K$3&gt;=Initiatives!$D$31,Initiatives!$D$32*(1-Inputs!$C$9)^(K$3-Initiatives!$D$31),0)+IF(K$3&gt;=Initiatives!$D$33,(1-Initiatives!$D$32)*(1-Inputs!$C$9)^(K$3-Initiatives!$D$33),0))</f>
        <v>0.924455715229831</v>
      </c>
      <c r="L27" s="8" t="n">
        <f aca="false">IF(Initiatives!$D$6="adoption",0,IF(L$3&gt;=Initiatives!$D$31,Initiatives!$D$32*(1-Inputs!$C$9)^(L$3-Initiatives!$D$31),0)+IF(L$3&gt;=Initiatives!$D$33,(1-Initiatives!$D$32)*(1-Inputs!$C$9)^(L$3-Initiatives!$D$33),0))</f>
        <v>0.910588879501384</v>
      </c>
      <c r="M27" s="8" t="n">
        <f aca="false">IF(Initiatives!$D$6="adoption",0,IF(M$3&gt;=Initiatives!$D$31,Initiatives!$D$32*(1-Inputs!$C$9)^(M$3-Initiatives!$D$31),0)+IF(M$3&gt;=Initiatives!$D$33,(1-Initiatives!$D$32)*(1-Inputs!$C$9)^(M$3-Initiatives!$D$33),0))</f>
        <v>0.896930046308863</v>
      </c>
      <c r="N27" s="8" t="n">
        <f aca="false">IF(Initiatives!$D$6="adoption",0,IF(N$3&gt;=Initiatives!$D$31,Initiatives!$D$32*(1-Inputs!$C$9)^(N$3-Initiatives!$D$31),0)+IF(N$3&gt;=Initiatives!$D$33,(1-Initiatives!$D$32)*(1-Inputs!$C$9)^(N$3-Initiatives!$D$33),0))</f>
        <v>0.88347609561423</v>
      </c>
      <c r="O27" s="8" t="n">
        <f aca="false">IF(Initiatives!$D$6="adoption",0,IF(O$3&gt;=Initiatives!$D$31,Initiatives!$D$32*(1-Inputs!$C$9)^(O$3-Initiatives!$D$31),0)+IF(O$3&gt;=Initiatives!$D$33,(1-Initiatives!$D$32)*(1-Inputs!$C$9)^(O$3-Initiatives!$D$33),0))</f>
        <v>0.870223954180017</v>
      </c>
      <c r="P27" s="8" t="n">
        <f aca="false">IF(Initiatives!$D$6="adoption",0,IF(P$3&gt;=Initiatives!$D$31,Initiatives!$D$32*(1-Inputs!$C$9)^(P$3-Initiatives!$D$31),0)+IF(P$3&gt;=Initiatives!$D$33,(1-Initiatives!$D$32)*(1-Inputs!$C$9)^(P$3-Initiatives!$D$33),0))</f>
        <v>0.857170594867317</v>
      </c>
      <c r="Q27" s="8" t="n">
        <f aca="false">IF(Initiatives!$D$6="adoption",0,IF(Q$3&gt;=Initiatives!$D$31,Initiatives!$D$32*(1-Inputs!$C$9)^(Q$3-Initiatives!$D$31),0)+IF(Q$3&gt;=Initiatives!$D$33,(1-Initiatives!$D$32)*(1-Inputs!$C$9)^(Q$3-Initiatives!$D$33),0))</f>
        <v>0.844313035944307</v>
      </c>
      <c r="R27" s="8" t="n">
        <f aca="false">IF(Initiatives!$D$6="adoption",0,IF(R$3&gt;=Initiatives!$D$31,Initiatives!$D$32*(1-Inputs!$C$9)^(R$3-Initiatives!$D$31),0)+IF(R$3&gt;=Initiatives!$D$33,(1-Initiatives!$D$32)*(1-Inputs!$C$9)^(R$3-Initiatives!$D$33),0))</f>
        <v>0.831648340405142</v>
      </c>
      <c r="S27" s="8" t="n">
        <f aca="false">IF(Initiatives!$D$6="adoption",0,IF(S$3&gt;=Initiatives!$D$31,Initiatives!$D$32*(1-Inputs!$C$9)^(S$3-Initiatives!$D$31),0)+IF(S$3&gt;=Initiatives!$D$33,(1-Initiatives!$D$32)*(1-Inputs!$C$9)^(S$3-Initiatives!$D$33),0))</f>
        <v>0.819173615299065</v>
      </c>
      <c r="T27" s="8" t="n">
        <f aca="false">IF(Initiatives!$D$6="adoption",0,IF(T$3&gt;=Initiatives!$D$31,Initiatives!$D$32*(1-Inputs!$C$9)^(T$3-Initiatives!$D$31),0)+IF(T$3&gt;=Initiatives!$D$33,(1-Initiatives!$D$32)*(1-Inputs!$C$9)^(T$3-Initiatives!$D$33),0))</f>
        <v>0.806886011069579</v>
      </c>
      <c r="U27" s="8" t="n">
        <f aca="false">IF(Initiatives!$D$6="adoption",0,IF(U$3&gt;=Initiatives!$D$31,Initiatives!$D$32*(1-Inputs!$C$9)^(U$3-Initiatives!$D$31),0)+IF(U$3&gt;=Initiatives!$D$33,(1-Initiatives!$D$32)*(1-Inputs!$C$9)^(U$3-Initiatives!$D$33),0))</f>
        <v>0.794782720903535</v>
      </c>
      <c r="V27" s="8" t="n">
        <f aca="false">IF(Initiatives!$D$6="adoption",0,IF(V$3&gt;=Initiatives!$D$31,Initiatives!$D$32*(1-Inputs!$C$9)^(V$3-Initiatives!$D$31),0)+IF(V$3&gt;=Initiatives!$D$33,(1-Initiatives!$D$32)*(1-Inputs!$C$9)^(V$3-Initiatives!$D$33),0))</f>
        <v>0.782860980089982</v>
      </c>
      <c r="W27" s="8" t="n">
        <f aca="false">IF(Initiatives!$D$6="adoption",0,IF(W$3&gt;=Initiatives!$D$31,Initiatives!$D$32*(1-Inputs!$C$9)^(W$3-Initiatives!$D$31),0)+IF(W$3&gt;=Initiatives!$D$33,(1-Initiatives!$D$32)*(1-Inputs!$C$9)^(W$3-Initiatives!$D$33),0))</f>
        <v>0.771118065388633</v>
      </c>
      <c r="X27" s="8" t="n">
        <f aca="false">IF(Initiatives!$D$6="adoption",0,IF(X$3&gt;=Initiatives!$D$31,Initiatives!$D$32*(1-Inputs!$C$9)^(X$3-Initiatives!$D$31),0)+IF(X$3&gt;=Initiatives!$D$33,(1-Initiatives!$D$32)*(1-Inputs!$C$9)^(X$3-Initiatives!$D$33),0))</f>
        <v>0.759551294407803</v>
      </c>
      <c r="Y27" s="8" t="n">
        <f aca="false">IF(Initiatives!$D$6="adoption",0,IF(Y$3&gt;=Initiatives!$D$31,Initiatives!$D$32*(1-Inputs!$C$9)^(Y$3-Initiatives!$D$31),0)+IF(Y$3&gt;=Initiatives!$D$33,(1-Initiatives!$D$32)*(1-Inputs!$C$9)^(Y$3-Initiatives!$D$33),0))</f>
        <v>0.748158024991686</v>
      </c>
      <c r="Z27" s="8" t="n">
        <f aca="false">IF(Initiatives!$D$6="adoption",0,IF(Z$3&gt;=Initiatives!$D$31,Initiatives!$D$32*(1-Inputs!$C$9)^(Z$3-Initiatives!$D$31),0)+IF(Z$3&gt;=Initiatives!$D$33,(1-Initiatives!$D$32)*(1-Inputs!$C$9)^(Z$3-Initiatives!$D$33),0))</f>
        <v>0.736935654616811</v>
      </c>
      <c r="AA27" s="8" t="n">
        <f aca="false">IF(Initiatives!$D$6="adoption",0,IF(AA$3&gt;=Initiatives!$D$31,Initiatives!$D$32*(1-Inputs!$C$9)^(AA$3-Initiatives!$D$31),0)+IF(AA$3&gt;=Initiatives!$D$33,(1-Initiatives!$D$32)*(1-Inputs!$C$9)^(AA$3-Initiatives!$D$33),0))</f>
        <v>0.725881619797558</v>
      </c>
      <c r="AB27" s="8" t="n">
        <f aca="false">IF(Initiatives!$D$6="adoption",0,IF(AB$3&gt;=Initiatives!$D$31,Initiatives!$D$32*(1-Inputs!$C$9)^(AB$3-Initiatives!$D$31),0)+IF(AB$3&gt;=Initiatives!$D$33,(1-Initiatives!$D$32)*(1-Inputs!$C$9)^(AB$3-Initiatives!$D$33),0))</f>
        <v>0.714993395500595</v>
      </c>
      <c r="AC27" s="8" t="n">
        <f aca="false">IF(Initiatives!$D$6="adoption",0,IF(AC$3&gt;=Initiatives!$D$31,Initiatives!$D$32*(1-Inputs!$C$9)^(AC$3-Initiatives!$D$31),0)+IF(AC$3&gt;=Initiatives!$D$33,(1-Initiatives!$D$32)*(1-Inputs!$C$9)^(AC$3-Initiatives!$D$33),0))</f>
        <v>0.704268494568086</v>
      </c>
      <c r="AD27" s="8" t="n">
        <f aca="false">IF(Initiatives!$D$6="adoption",0,IF(AD$3&gt;=Initiatives!$D$31,Initiatives!$D$32*(1-Inputs!$C$9)^(AD$3-Initiatives!$D$31),0)+IF(AD$3&gt;=Initiatives!$D$33,(1-Initiatives!$D$32)*(1-Inputs!$C$9)^(AD$3-Initiatives!$D$33),0))</f>
        <v>0.693704467149565</v>
      </c>
      <c r="AE27" s="8" t="n">
        <f aca="false">IF(Initiatives!$D$6="adoption",0,IF(AE$3&gt;=Initiatives!$D$31,Initiatives!$D$32*(1-Inputs!$C$9)^(AE$3-Initiatives!$D$31),0)+IF(AE$3&gt;=Initiatives!$D$33,(1-Initiatives!$D$32)*(1-Inputs!$C$9)^(AE$3-Initiatives!$D$33),0))</f>
        <v>0.683298900142321</v>
      </c>
      <c r="AF27" s="8" t="n">
        <f aca="false">IF(Initiatives!$D$6="adoption",0,IF(AF$3&gt;=Initiatives!$D$31,Initiatives!$D$32*(1-Inputs!$C$9)^(AF$3-Initiatives!$D$31),0)+IF(AF$3&gt;=Initiatives!$D$33,(1-Initiatives!$D$32)*(1-Inputs!$C$9)^(AF$3-Initiatives!$D$33),0))</f>
        <v>0.673049416640187</v>
      </c>
      <c r="AG27" s="8" t="n">
        <f aca="false">IF(Initiatives!$D$6="adoption",0,IF(AG$3&gt;=Initiatives!$D$31,Initiatives!$D$32*(1-Inputs!$C$9)^(AG$3-Initiatives!$D$31),0)+IF(AG$3&gt;=Initiatives!$D$33,(1-Initiatives!$D$32)*(1-Inputs!$C$9)^(AG$3-Initiatives!$D$33),0))</f>
        <v>0.662953675390584</v>
      </c>
      <c r="AH27" s="8" t="n">
        <f aca="false">IF(Initiatives!$D$6="adoption",0,IF(AH$3&gt;=Initiatives!$D$31,Initiatives!$D$32*(1-Inputs!$C$9)^(AH$3-Initiatives!$D$31),0)+IF(AH$3&gt;=Initiatives!$D$33,(1-Initiatives!$D$32)*(1-Inputs!$C$9)^(AH$3-Initiatives!$D$33),0))</f>
        <v>0.653009370259725</v>
      </c>
      <c r="AI27" s="8" t="n">
        <f aca="false">IF(Initiatives!$D$6="adoption",0,IF(AI$3&gt;=Initiatives!$D$31,Initiatives!$D$32*(1-Inputs!$C$9)^(AI$3-Initiatives!$D$31),0)+IF(AI$3&gt;=Initiatives!$D$33,(1-Initiatives!$D$32)*(1-Inputs!$C$9)^(AI$3-Initiatives!$D$33),0))</f>
        <v>0.643214229705829</v>
      </c>
      <c r="AJ27" s="8" t="n">
        <f aca="false">IF(Initiatives!$D$6="adoption",0,IF(AJ$3&gt;=Initiatives!$D$31,Initiatives!$D$32*(1-Inputs!$C$9)^(AJ$3-Initiatives!$D$31),0)+IF(AJ$3&gt;=Initiatives!$D$33,(1-Initiatives!$D$32)*(1-Inputs!$C$9)^(AJ$3-Initiatives!$D$33),0))</f>
        <v>0.633566016260242</v>
      </c>
      <c r="AK27" s="8" t="n">
        <f aca="false">IF(Initiatives!$D$6="adoption",0,IF(AK$3&gt;=Initiatives!$D$31,Initiatives!$D$32*(1-Inputs!$C$9)^(AK$3-Initiatives!$D$31),0)+IF(AK$3&gt;=Initiatives!$D$33,(1-Initiatives!$D$32)*(1-Inputs!$C$9)^(AK$3-Initiatives!$D$33),0))</f>
        <v>0.624062526016338</v>
      </c>
      <c r="AL27" s="8" t="n">
        <f aca="false">IF(Initiatives!$D$6="adoption",0,IF(AL$3&gt;=Initiatives!$D$31,Initiatives!$D$32*(1-Inputs!$C$9)^(AL$3-Initiatives!$D$31),0)+IF(AL$3&gt;=Initiatives!$D$33,(1-Initiatives!$D$32)*(1-Inputs!$C$9)^(AL$3-Initiatives!$D$33),0))</f>
        <v>0.614701588126093</v>
      </c>
    </row>
    <row r="28" customFormat="false" ht="15" hidden="false" customHeight="false" outlineLevel="0" collapsed="false">
      <c r="A28" s="4" t="s">
        <v>181</v>
      </c>
      <c r="B28" s="4" t="s">
        <v>182</v>
      </c>
      <c r="C28" s="8" t="n">
        <f aca="false">IF(Initiatives!$D$6="adoption",IF(AND(C$3&gt;=Initiatives!$D$31,C$3&lt;Initiatives!$D$31+3),Initiatives!$D$44/3,0),IF(AND(C$3&gt;=Initiatives!$D$31,C$3&lt;Initiatives!$D$31+2),Initiatives!$D$32*Initiatives!$D$44/2,0)+IF(AND(C$3&gt;=Initiatives!$D$33,C$3&lt;Initiatives!$D$33+2),(1-Initiatives!$D$32)*Initiatives!$D$44/2,0))</f>
        <v>0</v>
      </c>
      <c r="D28" s="8" t="n">
        <f aca="false">IF(Initiatives!$D$6="adoption",IF(AND(D$3&gt;=Initiatives!$D$31,D$3&lt;Initiatives!$D$31+3),Initiatives!$D$44/3,0),IF(AND(D$3&gt;=Initiatives!$D$31,D$3&lt;Initiatives!$D$31+2),Initiatives!$D$32*Initiatives!$D$44/2,0)+IF(AND(D$3&gt;=Initiatives!$D$33,D$3&lt;Initiatives!$D$33+2),(1-Initiatives!$D$32)*Initiatives!$D$44/2,0))</f>
        <v>968</v>
      </c>
      <c r="E28" s="8" t="n">
        <f aca="false">IF(Initiatives!$D$6="adoption",IF(AND(E$3&gt;=Initiatives!$D$31,E$3&lt;Initiatives!$D$31+3),Initiatives!$D$44/3,0),IF(AND(E$3&gt;=Initiatives!$D$31,E$3&lt;Initiatives!$D$31+2),Initiatives!$D$32*Initiatives!$D$44/2,0)+IF(AND(E$3&gt;=Initiatives!$D$33,E$3&lt;Initiatives!$D$33+2),(1-Initiatives!$D$32)*Initiatives!$D$44/2,0))</f>
        <v>968</v>
      </c>
      <c r="F28" s="8" t="n">
        <f aca="false">IF(Initiatives!$D$6="adoption",IF(AND(F$3&gt;=Initiatives!$D$31,F$3&lt;Initiatives!$D$31+3),Initiatives!$D$44/3,0),IF(AND(F$3&gt;=Initiatives!$D$31,F$3&lt;Initiatives!$D$31+2),Initiatives!$D$32*Initiatives!$D$44/2,0)+IF(AND(F$3&gt;=Initiatives!$D$33,F$3&lt;Initiatives!$D$33+2),(1-Initiatives!$D$32)*Initiatives!$D$44/2,0))</f>
        <v>8712</v>
      </c>
      <c r="G28" s="8" t="n">
        <f aca="false">IF(Initiatives!$D$6="adoption",IF(AND(G$3&gt;=Initiatives!$D$31,G$3&lt;Initiatives!$D$31+3),Initiatives!$D$44/3,0),IF(AND(G$3&gt;=Initiatives!$D$31,G$3&lt;Initiatives!$D$31+2),Initiatives!$D$32*Initiatives!$D$44/2,0)+IF(AND(G$3&gt;=Initiatives!$D$33,G$3&lt;Initiatives!$D$33+2),(1-Initiatives!$D$32)*Initiatives!$D$44/2,0))</f>
        <v>8712</v>
      </c>
      <c r="H28" s="8" t="n">
        <f aca="false">IF(Initiatives!$D$6="adoption",IF(AND(H$3&gt;=Initiatives!$D$31,H$3&lt;Initiatives!$D$31+3),Initiatives!$D$44/3,0),IF(AND(H$3&gt;=Initiatives!$D$31,H$3&lt;Initiatives!$D$31+2),Initiatives!$D$32*Initiatives!$D$44/2,0)+IF(AND(H$3&gt;=Initiatives!$D$33,H$3&lt;Initiatives!$D$33+2),(1-Initiatives!$D$32)*Initiatives!$D$44/2,0))</f>
        <v>0</v>
      </c>
      <c r="I28" s="8" t="n">
        <f aca="false">IF(Initiatives!$D$6="adoption",IF(AND(I$3&gt;=Initiatives!$D$31,I$3&lt;Initiatives!$D$31+3),Initiatives!$D$44/3,0),IF(AND(I$3&gt;=Initiatives!$D$31,I$3&lt;Initiatives!$D$31+2),Initiatives!$D$32*Initiatives!$D$44/2,0)+IF(AND(I$3&gt;=Initiatives!$D$33,I$3&lt;Initiatives!$D$33+2),(1-Initiatives!$D$32)*Initiatives!$D$44/2,0))</f>
        <v>0</v>
      </c>
      <c r="J28" s="8" t="n">
        <f aca="false">IF(Initiatives!$D$6="adoption",IF(AND(J$3&gt;=Initiatives!$D$31,J$3&lt;Initiatives!$D$31+3),Initiatives!$D$44/3,0),IF(AND(J$3&gt;=Initiatives!$D$31,J$3&lt;Initiatives!$D$31+2),Initiatives!$D$32*Initiatives!$D$44/2,0)+IF(AND(J$3&gt;=Initiatives!$D$33,J$3&lt;Initiatives!$D$33+2),(1-Initiatives!$D$32)*Initiatives!$D$44/2,0))</f>
        <v>0</v>
      </c>
      <c r="K28" s="8" t="n">
        <f aca="false">IF(Initiatives!$D$6="adoption",IF(AND(K$3&gt;=Initiatives!$D$31,K$3&lt;Initiatives!$D$31+3),Initiatives!$D$44/3,0),IF(AND(K$3&gt;=Initiatives!$D$31,K$3&lt;Initiatives!$D$31+2),Initiatives!$D$32*Initiatives!$D$44/2,0)+IF(AND(K$3&gt;=Initiatives!$D$33,K$3&lt;Initiatives!$D$33+2),(1-Initiatives!$D$32)*Initiatives!$D$44/2,0))</f>
        <v>0</v>
      </c>
      <c r="L28" s="8" t="n">
        <f aca="false">IF(Initiatives!$D$6="adoption",IF(AND(L$3&gt;=Initiatives!$D$31,L$3&lt;Initiatives!$D$31+3),Initiatives!$D$44/3,0),IF(AND(L$3&gt;=Initiatives!$D$31,L$3&lt;Initiatives!$D$31+2),Initiatives!$D$32*Initiatives!$D$44/2,0)+IF(AND(L$3&gt;=Initiatives!$D$33,L$3&lt;Initiatives!$D$33+2),(1-Initiatives!$D$32)*Initiatives!$D$44/2,0))</f>
        <v>0</v>
      </c>
      <c r="M28" s="8" t="n">
        <f aca="false">IF(Initiatives!$D$6="adoption",IF(AND(M$3&gt;=Initiatives!$D$31,M$3&lt;Initiatives!$D$31+3),Initiatives!$D$44/3,0),IF(AND(M$3&gt;=Initiatives!$D$31,M$3&lt;Initiatives!$D$31+2),Initiatives!$D$32*Initiatives!$D$44/2,0)+IF(AND(M$3&gt;=Initiatives!$D$33,M$3&lt;Initiatives!$D$33+2),(1-Initiatives!$D$32)*Initiatives!$D$44/2,0))</f>
        <v>0</v>
      </c>
      <c r="N28" s="8" t="n">
        <f aca="false">IF(Initiatives!$D$6="adoption",IF(AND(N$3&gt;=Initiatives!$D$31,N$3&lt;Initiatives!$D$31+3),Initiatives!$D$44/3,0),IF(AND(N$3&gt;=Initiatives!$D$31,N$3&lt;Initiatives!$D$31+2),Initiatives!$D$32*Initiatives!$D$44/2,0)+IF(AND(N$3&gt;=Initiatives!$D$33,N$3&lt;Initiatives!$D$33+2),(1-Initiatives!$D$32)*Initiatives!$D$44/2,0))</f>
        <v>0</v>
      </c>
      <c r="O28" s="8" t="n">
        <f aca="false">IF(Initiatives!$D$6="adoption",IF(AND(O$3&gt;=Initiatives!$D$31,O$3&lt;Initiatives!$D$31+3),Initiatives!$D$44/3,0),IF(AND(O$3&gt;=Initiatives!$D$31,O$3&lt;Initiatives!$D$31+2),Initiatives!$D$32*Initiatives!$D$44/2,0)+IF(AND(O$3&gt;=Initiatives!$D$33,O$3&lt;Initiatives!$D$33+2),(1-Initiatives!$D$32)*Initiatives!$D$44/2,0))</f>
        <v>0</v>
      </c>
      <c r="P28" s="8" t="n">
        <f aca="false">IF(Initiatives!$D$6="adoption",IF(AND(P$3&gt;=Initiatives!$D$31,P$3&lt;Initiatives!$D$31+3),Initiatives!$D$44/3,0),IF(AND(P$3&gt;=Initiatives!$D$31,P$3&lt;Initiatives!$D$31+2),Initiatives!$D$32*Initiatives!$D$44/2,0)+IF(AND(P$3&gt;=Initiatives!$D$33,P$3&lt;Initiatives!$D$33+2),(1-Initiatives!$D$32)*Initiatives!$D$44/2,0))</f>
        <v>0</v>
      </c>
      <c r="Q28" s="8" t="n">
        <f aca="false">IF(Initiatives!$D$6="adoption",IF(AND(Q$3&gt;=Initiatives!$D$31,Q$3&lt;Initiatives!$D$31+3),Initiatives!$D$44/3,0),IF(AND(Q$3&gt;=Initiatives!$D$31,Q$3&lt;Initiatives!$D$31+2),Initiatives!$D$32*Initiatives!$D$44/2,0)+IF(AND(Q$3&gt;=Initiatives!$D$33,Q$3&lt;Initiatives!$D$33+2),(1-Initiatives!$D$32)*Initiatives!$D$44/2,0))</f>
        <v>0</v>
      </c>
      <c r="R28" s="8" t="n">
        <f aca="false">IF(Initiatives!$D$6="adoption",IF(AND(R$3&gt;=Initiatives!$D$31,R$3&lt;Initiatives!$D$31+3),Initiatives!$D$44/3,0),IF(AND(R$3&gt;=Initiatives!$D$31,R$3&lt;Initiatives!$D$31+2),Initiatives!$D$32*Initiatives!$D$44/2,0)+IF(AND(R$3&gt;=Initiatives!$D$33,R$3&lt;Initiatives!$D$33+2),(1-Initiatives!$D$32)*Initiatives!$D$44/2,0))</f>
        <v>0</v>
      </c>
      <c r="S28" s="8" t="n">
        <f aca="false">IF(Initiatives!$D$6="adoption",IF(AND(S$3&gt;=Initiatives!$D$31,S$3&lt;Initiatives!$D$31+3),Initiatives!$D$44/3,0),IF(AND(S$3&gt;=Initiatives!$D$31,S$3&lt;Initiatives!$D$31+2),Initiatives!$D$32*Initiatives!$D$44/2,0)+IF(AND(S$3&gt;=Initiatives!$D$33,S$3&lt;Initiatives!$D$33+2),(1-Initiatives!$D$32)*Initiatives!$D$44/2,0))</f>
        <v>0</v>
      </c>
      <c r="T28" s="8" t="n">
        <f aca="false">IF(Initiatives!$D$6="adoption",IF(AND(T$3&gt;=Initiatives!$D$31,T$3&lt;Initiatives!$D$31+3),Initiatives!$D$44/3,0),IF(AND(T$3&gt;=Initiatives!$D$31,T$3&lt;Initiatives!$D$31+2),Initiatives!$D$32*Initiatives!$D$44/2,0)+IF(AND(T$3&gt;=Initiatives!$D$33,T$3&lt;Initiatives!$D$33+2),(1-Initiatives!$D$32)*Initiatives!$D$44/2,0))</f>
        <v>0</v>
      </c>
      <c r="U28" s="8" t="n">
        <f aca="false">IF(Initiatives!$D$6="adoption",IF(AND(U$3&gt;=Initiatives!$D$31,U$3&lt;Initiatives!$D$31+3),Initiatives!$D$44/3,0),IF(AND(U$3&gt;=Initiatives!$D$31,U$3&lt;Initiatives!$D$31+2),Initiatives!$D$32*Initiatives!$D$44/2,0)+IF(AND(U$3&gt;=Initiatives!$D$33,U$3&lt;Initiatives!$D$33+2),(1-Initiatives!$D$32)*Initiatives!$D$44/2,0))</f>
        <v>0</v>
      </c>
      <c r="V28" s="8" t="n">
        <f aca="false">IF(Initiatives!$D$6="adoption",IF(AND(V$3&gt;=Initiatives!$D$31,V$3&lt;Initiatives!$D$31+3),Initiatives!$D$44/3,0),IF(AND(V$3&gt;=Initiatives!$D$31,V$3&lt;Initiatives!$D$31+2),Initiatives!$D$32*Initiatives!$D$44/2,0)+IF(AND(V$3&gt;=Initiatives!$D$33,V$3&lt;Initiatives!$D$33+2),(1-Initiatives!$D$32)*Initiatives!$D$44/2,0))</f>
        <v>0</v>
      </c>
      <c r="W28" s="8" t="n">
        <f aca="false">IF(Initiatives!$D$6="adoption",IF(AND(W$3&gt;=Initiatives!$D$31,W$3&lt;Initiatives!$D$31+3),Initiatives!$D$44/3,0),IF(AND(W$3&gt;=Initiatives!$D$31,W$3&lt;Initiatives!$D$31+2),Initiatives!$D$32*Initiatives!$D$44/2,0)+IF(AND(W$3&gt;=Initiatives!$D$33,W$3&lt;Initiatives!$D$33+2),(1-Initiatives!$D$32)*Initiatives!$D$44/2,0))</f>
        <v>0</v>
      </c>
      <c r="X28" s="8" t="n">
        <f aca="false">IF(Initiatives!$D$6="adoption",IF(AND(X$3&gt;=Initiatives!$D$31,X$3&lt;Initiatives!$D$31+3),Initiatives!$D$44/3,0),IF(AND(X$3&gt;=Initiatives!$D$31,X$3&lt;Initiatives!$D$31+2),Initiatives!$D$32*Initiatives!$D$44/2,0)+IF(AND(X$3&gt;=Initiatives!$D$33,X$3&lt;Initiatives!$D$33+2),(1-Initiatives!$D$32)*Initiatives!$D$44/2,0))</f>
        <v>0</v>
      </c>
      <c r="Y28" s="8" t="n">
        <f aca="false">IF(Initiatives!$D$6="adoption",IF(AND(Y$3&gt;=Initiatives!$D$31,Y$3&lt;Initiatives!$D$31+3),Initiatives!$D$44/3,0),IF(AND(Y$3&gt;=Initiatives!$D$31,Y$3&lt;Initiatives!$D$31+2),Initiatives!$D$32*Initiatives!$D$44/2,0)+IF(AND(Y$3&gt;=Initiatives!$D$33,Y$3&lt;Initiatives!$D$33+2),(1-Initiatives!$D$32)*Initiatives!$D$44/2,0))</f>
        <v>0</v>
      </c>
      <c r="Z28" s="8" t="n">
        <f aca="false">IF(Initiatives!$D$6="adoption",IF(AND(Z$3&gt;=Initiatives!$D$31,Z$3&lt;Initiatives!$D$31+3),Initiatives!$D$44/3,0),IF(AND(Z$3&gt;=Initiatives!$D$31,Z$3&lt;Initiatives!$D$31+2),Initiatives!$D$32*Initiatives!$D$44/2,0)+IF(AND(Z$3&gt;=Initiatives!$D$33,Z$3&lt;Initiatives!$D$33+2),(1-Initiatives!$D$32)*Initiatives!$D$44/2,0))</f>
        <v>0</v>
      </c>
      <c r="AA28" s="8" t="n">
        <f aca="false">IF(Initiatives!$D$6="adoption",IF(AND(AA$3&gt;=Initiatives!$D$31,AA$3&lt;Initiatives!$D$31+3),Initiatives!$D$44/3,0),IF(AND(AA$3&gt;=Initiatives!$D$31,AA$3&lt;Initiatives!$D$31+2),Initiatives!$D$32*Initiatives!$D$44/2,0)+IF(AND(AA$3&gt;=Initiatives!$D$33,AA$3&lt;Initiatives!$D$33+2),(1-Initiatives!$D$32)*Initiatives!$D$44/2,0))</f>
        <v>0</v>
      </c>
      <c r="AB28" s="8" t="n">
        <f aca="false">IF(Initiatives!$D$6="adoption",IF(AND(AB$3&gt;=Initiatives!$D$31,AB$3&lt;Initiatives!$D$31+3),Initiatives!$D$44/3,0),IF(AND(AB$3&gt;=Initiatives!$D$31,AB$3&lt;Initiatives!$D$31+2),Initiatives!$D$32*Initiatives!$D$44/2,0)+IF(AND(AB$3&gt;=Initiatives!$D$33,AB$3&lt;Initiatives!$D$33+2),(1-Initiatives!$D$32)*Initiatives!$D$44/2,0))</f>
        <v>0</v>
      </c>
      <c r="AC28" s="8" t="n">
        <f aca="false">IF(Initiatives!$D$6="adoption",IF(AND(AC$3&gt;=Initiatives!$D$31,AC$3&lt;Initiatives!$D$31+3),Initiatives!$D$44/3,0),IF(AND(AC$3&gt;=Initiatives!$D$31,AC$3&lt;Initiatives!$D$31+2),Initiatives!$D$32*Initiatives!$D$44/2,0)+IF(AND(AC$3&gt;=Initiatives!$D$33,AC$3&lt;Initiatives!$D$33+2),(1-Initiatives!$D$32)*Initiatives!$D$44/2,0))</f>
        <v>0</v>
      </c>
      <c r="AD28" s="8" t="n">
        <f aca="false">IF(Initiatives!$D$6="adoption",IF(AND(AD$3&gt;=Initiatives!$D$31,AD$3&lt;Initiatives!$D$31+3),Initiatives!$D$44/3,0),IF(AND(AD$3&gt;=Initiatives!$D$31,AD$3&lt;Initiatives!$D$31+2),Initiatives!$D$32*Initiatives!$D$44/2,0)+IF(AND(AD$3&gt;=Initiatives!$D$33,AD$3&lt;Initiatives!$D$33+2),(1-Initiatives!$D$32)*Initiatives!$D$44/2,0))</f>
        <v>0</v>
      </c>
      <c r="AE28" s="8" t="n">
        <f aca="false">IF(Initiatives!$D$6="adoption",IF(AND(AE$3&gt;=Initiatives!$D$31,AE$3&lt;Initiatives!$D$31+3),Initiatives!$D$44/3,0),IF(AND(AE$3&gt;=Initiatives!$D$31,AE$3&lt;Initiatives!$D$31+2),Initiatives!$D$32*Initiatives!$D$44/2,0)+IF(AND(AE$3&gt;=Initiatives!$D$33,AE$3&lt;Initiatives!$D$33+2),(1-Initiatives!$D$32)*Initiatives!$D$44/2,0))</f>
        <v>0</v>
      </c>
      <c r="AF28" s="8" t="n">
        <f aca="false">IF(Initiatives!$D$6="adoption",IF(AND(AF$3&gt;=Initiatives!$D$31,AF$3&lt;Initiatives!$D$31+3),Initiatives!$D$44/3,0),IF(AND(AF$3&gt;=Initiatives!$D$31,AF$3&lt;Initiatives!$D$31+2),Initiatives!$D$32*Initiatives!$D$44/2,0)+IF(AND(AF$3&gt;=Initiatives!$D$33,AF$3&lt;Initiatives!$D$33+2),(1-Initiatives!$D$32)*Initiatives!$D$44/2,0))</f>
        <v>0</v>
      </c>
      <c r="AG28" s="8" t="n">
        <f aca="false">IF(Initiatives!$D$6="adoption",IF(AND(AG$3&gt;=Initiatives!$D$31,AG$3&lt;Initiatives!$D$31+3),Initiatives!$D$44/3,0),IF(AND(AG$3&gt;=Initiatives!$D$31,AG$3&lt;Initiatives!$D$31+2),Initiatives!$D$32*Initiatives!$D$44/2,0)+IF(AND(AG$3&gt;=Initiatives!$D$33,AG$3&lt;Initiatives!$D$33+2),(1-Initiatives!$D$32)*Initiatives!$D$44/2,0))</f>
        <v>0</v>
      </c>
      <c r="AH28" s="8" t="n">
        <f aca="false">IF(Initiatives!$D$6="adoption",IF(AND(AH$3&gt;=Initiatives!$D$31,AH$3&lt;Initiatives!$D$31+3),Initiatives!$D$44/3,0),IF(AND(AH$3&gt;=Initiatives!$D$31,AH$3&lt;Initiatives!$D$31+2),Initiatives!$D$32*Initiatives!$D$44/2,0)+IF(AND(AH$3&gt;=Initiatives!$D$33,AH$3&lt;Initiatives!$D$33+2),(1-Initiatives!$D$32)*Initiatives!$D$44/2,0))</f>
        <v>0</v>
      </c>
      <c r="AI28" s="8" t="n">
        <f aca="false">IF(Initiatives!$D$6="adoption",IF(AND(AI$3&gt;=Initiatives!$D$31,AI$3&lt;Initiatives!$D$31+3),Initiatives!$D$44/3,0),IF(AND(AI$3&gt;=Initiatives!$D$31,AI$3&lt;Initiatives!$D$31+2),Initiatives!$D$32*Initiatives!$D$44/2,0)+IF(AND(AI$3&gt;=Initiatives!$D$33,AI$3&lt;Initiatives!$D$33+2),(1-Initiatives!$D$32)*Initiatives!$D$44/2,0))</f>
        <v>0</v>
      </c>
      <c r="AJ28" s="8" t="n">
        <f aca="false">IF(Initiatives!$D$6="adoption",IF(AND(AJ$3&gt;=Initiatives!$D$31,AJ$3&lt;Initiatives!$D$31+3),Initiatives!$D$44/3,0),IF(AND(AJ$3&gt;=Initiatives!$D$31,AJ$3&lt;Initiatives!$D$31+2),Initiatives!$D$32*Initiatives!$D$44/2,0)+IF(AND(AJ$3&gt;=Initiatives!$D$33,AJ$3&lt;Initiatives!$D$33+2),(1-Initiatives!$D$32)*Initiatives!$D$44/2,0))</f>
        <v>0</v>
      </c>
      <c r="AK28" s="8" t="n">
        <f aca="false">IF(Initiatives!$D$6="adoption",IF(AND(AK$3&gt;=Initiatives!$D$31,AK$3&lt;Initiatives!$D$31+3),Initiatives!$D$44/3,0),IF(AND(AK$3&gt;=Initiatives!$D$31,AK$3&lt;Initiatives!$D$31+2),Initiatives!$D$32*Initiatives!$D$44/2,0)+IF(AND(AK$3&gt;=Initiatives!$D$33,AK$3&lt;Initiatives!$D$33+2),(1-Initiatives!$D$32)*Initiatives!$D$44/2,0))</f>
        <v>0</v>
      </c>
      <c r="AL28" s="8" t="n">
        <f aca="false">IF(Initiatives!$D$6="adoption",IF(AND(AL$3&gt;=Initiatives!$D$31,AL$3&lt;Initiatives!$D$31+3),Initiatives!$D$44/3,0),IF(AND(AL$3&gt;=Initiatives!$D$31,AL$3&lt;Initiatives!$D$31+2),Initiatives!$D$32*Initiatives!$D$44/2,0)+IF(AND(AL$3&gt;=Initiatives!$D$33,AL$3&lt;Initiatives!$D$33+2),(1-Initiatives!$D$32)*Initiatives!$D$44/2,0))</f>
        <v>0</v>
      </c>
    </row>
    <row r="29" customFormat="false" ht="15" hidden="false" customHeight="false" outlineLevel="0" collapsed="false">
      <c r="A29" s="4" t="s">
        <v>183</v>
      </c>
      <c r="B29" s="4" t="s">
        <v>184</v>
      </c>
      <c r="C29" s="8" t="n">
        <f aca="false">N(B29)*(1-Inputs!$C$9)+C28</f>
        <v>0</v>
      </c>
      <c r="D29" s="8" t="n">
        <f aca="false">N(C29)*(1-Inputs!$C$9)+D28</f>
        <v>968</v>
      </c>
      <c r="E29" s="8" t="n">
        <f aca="false">N(D29)*(1-Inputs!$C$9)+E28</f>
        <v>1921.48</v>
      </c>
      <c r="F29" s="8" t="n">
        <f aca="false">N(E29)*(1-Inputs!$C$9)+F28</f>
        <v>10604.6578</v>
      </c>
      <c r="G29" s="8" t="n">
        <f aca="false">N(F29)*(1-Inputs!$C$9)+G28</f>
        <v>19157.587933</v>
      </c>
      <c r="H29" s="8" t="n">
        <f aca="false">N(G29)*(1-Inputs!$C$9)+H28</f>
        <v>18870.224114005</v>
      </c>
      <c r="I29" s="8" t="n">
        <f aca="false">N(H29)*(1-Inputs!$C$9)+I28</f>
        <v>18587.1707522949</v>
      </c>
      <c r="J29" s="8" t="n">
        <f aca="false">N(I29)*(1-Inputs!$C$9)+J28</f>
        <v>18308.3631910105</v>
      </c>
      <c r="K29" s="8" t="n">
        <f aca="false">N(J29)*(1-Inputs!$C$9)+K28</f>
        <v>18033.7377431453</v>
      </c>
      <c r="L29" s="8" t="n">
        <f aca="false">N(K29)*(1-Inputs!$C$9)+L28</f>
        <v>17763.2316769982</v>
      </c>
      <c r="M29" s="8" t="n">
        <f aca="false">N(L29)*(1-Inputs!$C$9)+M28</f>
        <v>17496.7832018432</v>
      </c>
      <c r="N29" s="8" t="n">
        <f aca="false">N(M29)*(1-Inputs!$C$9)+N28</f>
        <v>17234.3314538155</v>
      </c>
      <c r="O29" s="8" t="n">
        <f aca="false">N(N29)*(1-Inputs!$C$9)+O28</f>
        <v>16975.8164820083</v>
      </c>
      <c r="P29" s="8" t="n">
        <f aca="false">N(O29)*(1-Inputs!$C$9)+P28</f>
        <v>16721.1792347782</v>
      </c>
      <c r="Q29" s="8" t="n">
        <f aca="false">N(P29)*(1-Inputs!$C$9)+Q28</f>
        <v>16470.3615462565</v>
      </c>
      <c r="R29" s="8" t="n">
        <f aca="false">N(Q29)*(1-Inputs!$C$9)+R28</f>
        <v>16223.3061230627</v>
      </c>
      <c r="S29" s="8" t="n">
        <f aca="false">N(R29)*(1-Inputs!$C$9)+S28</f>
        <v>15979.9565312167</v>
      </c>
      <c r="T29" s="8" t="n">
        <f aca="false">N(S29)*(1-Inputs!$C$9)+T28</f>
        <v>15740.2571832485</v>
      </c>
      <c r="U29" s="8" t="n">
        <f aca="false">N(T29)*(1-Inputs!$C$9)+U28</f>
        <v>15504.1533254997</v>
      </c>
      <c r="V29" s="8" t="n">
        <f aca="false">N(U29)*(1-Inputs!$C$9)+V28</f>
        <v>15271.5910256173</v>
      </c>
      <c r="W29" s="8" t="n">
        <f aca="false">N(V29)*(1-Inputs!$C$9)+W28</f>
        <v>15042.517160233</v>
      </c>
      <c r="X29" s="8" t="n">
        <f aca="false">N(W29)*(1-Inputs!$C$9)+X28</f>
        <v>14816.8794028295</v>
      </c>
      <c r="Y29" s="8" t="n">
        <f aca="false">N(X29)*(1-Inputs!$C$9)+Y28</f>
        <v>14594.6262117871</v>
      </c>
      <c r="Z29" s="8" t="n">
        <f aca="false">N(Y29)*(1-Inputs!$C$9)+Z28</f>
        <v>14375.7068186103</v>
      </c>
      <c r="AA29" s="8" t="n">
        <f aca="false">N(Z29)*(1-Inputs!$C$9)+AA28</f>
        <v>14160.0712163311</v>
      </c>
      <c r="AB29" s="8" t="n">
        <f aca="false">N(AA29)*(1-Inputs!$C$9)+AB28</f>
        <v>13947.6701480861</v>
      </c>
      <c r="AC29" s="8" t="n">
        <f aca="false">N(AB29)*(1-Inputs!$C$9)+AC28</f>
        <v>13738.4550958648</v>
      </c>
      <c r="AD29" s="8" t="n">
        <f aca="false">N(AC29)*(1-Inputs!$C$9)+AD28</f>
        <v>13532.3782694269</v>
      </c>
      <c r="AE29" s="8" t="n">
        <f aca="false">N(AD29)*(1-Inputs!$C$9)+AE28</f>
        <v>13329.3925953855</v>
      </c>
      <c r="AF29" s="8" t="n">
        <f aca="false">N(AE29)*(1-Inputs!$C$9)+AF28</f>
        <v>13129.4517064547</v>
      </c>
      <c r="AG29" s="8" t="n">
        <f aca="false">N(AF29)*(1-Inputs!$C$9)+AG28</f>
        <v>12932.5099308579</v>
      </c>
      <c r="AH29" s="8" t="n">
        <f aca="false">N(AG29)*(1-Inputs!$C$9)+AH28</f>
        <v>12738.522281895</v>
      </c>
      <c r="AI29" s="8" t="n">
        <f aca="false">N(AH29)*(1-Inputs!$C$9)+AI28</f>
        <v>12547.4444476666</v>
      </c>
      <c r="AJ29" s="8" t="n">
        <f aca="false">N(AI29)*(1-Inputs!$C$9)+AJ28</f>
        <v>12359.2327809516</v>
      </c>
      <c r="AK29" s="8" t="n">
        <f aca="false">N(AJ29)*(1-Inputs!$C$9)+AK28</f>
        <v>12173.8442892373</v>
      </c>
      <c r="AL29" s="8" t="n">
        <f aca="false">N(AK29)*(1-Inputs!$C$9)+AL28</f>
        <v>11991.2366248987</v>
      </c>
    </row>
    <row r="30" customFormat="false" ht="15" hidden="false" customHeight="false" outlineLevel="0" collapsed="false">
      <c r="A30" s="4" t="s">
        <v>185</v>
      </c>
      <c r="B30" s="4" t="s">
        <v>186</v>
      </c>
      <c r="C30" s="8" t="n">
        <f aca="false">IF(Initiatives!$D$6="adoption",C26*Initiatives!$D$23+C25*Initiatives!$D$8-C29*Initiatives!$D$8,(Initiatives!$D$42*Initiatives!$D$41+Initiatives!$D$38*Initiatives!$D$13*Initiatives!$D$14+Initiatives!$D$43*Initiatives!$D$16)*C27-C29*Initiatives!$D$8)</f>
        <v>0</v>
      </c>
      <c r="D30" s="8" t="n">
        <f aca="false">IF(Initiatives!$D$6="adoption",D26*Initiatives!$D$23+D25*Initiatives!$D$8-D29*Initiatives!$D$8,(Initiatives!$D$42*Initiatives!$D$41+Initiatives!$D$38*Initiatives!$D$13*Initiatives!$D$14+Initiatives!$D$43*Initiatives!$D$16)*D27-D29*Initiatives!$D$8)</f>
        <v>270500685.714286</v>
      </c>
      <c r="E30" s="8" t="n">
        <f aca="false">IF(Initiatives!$D$6="adoption",E26*Initiatives!$D$23+E25*Initiatives!$D$8-E29*Initiatives!$D$8,(Initiatives!$D$42*Initiatives!$D$41+Initiatives!$D$38*Initiatives!$D$13*Initiatives!$D$14+Initiatives!$D$43*Initiatives!$D$16)*E27-E29*Initiatives!$D$8)</f>
        <v>246115175.428571</v>
      </c>
      <c r="F30" s="8" t="n">
        <f aca="false">IF(Initiatives!$D$6="adoption",F26*Initiatives!$D$23+F25*Initiatives!$D$8-F29*Initiatives!$D$8,(Initiatives!$D$42*Initiatives!$D$41+Initiatives!$D$38*Initiatives!$D$13*Initiatives!$D$14+Initiatives!$D$43*Initiatives!$D$16)*F27-F29*Initiatives!$D$8)</f>
        <v>2676929619.22571</v>
      </c>
      <c r="G30" s="8" t="n">
        <f aca="false">IF(Initiatives!$D$6="adoption",G26*Initiatives!$D$23+G25*Initiatives!$D$8-G29*Initiatives!$D$8,(Initiatives!$D$42*Initiatives!$D$41+Initiatives!$D$38*Initiatives!$D$13*Initiatives!$D$14+Initiatives!$D$43*Initiatives!$D$16)*G27-G29*Initiatives!$D$8)</f>
        <v>2453823674.93733</v>
      </c>
      <c r="H30" s="8" t="n">
        <f aca="false">IF(Initiatives!$D$6="adoption",H26*Initiatives!$D$23+H25*Initiatives!$D$8-H29*Initiatives!$D$8,(Initiatives!$D$42*Initiatives!$D$41+Initiatives!$D$38*Initiatives!$D$13*Initiatives!$D$14+Initiatives!$D$43*Initiatives!$D$16)*H27-H29*Initiatives!$D$8)</f>
        <v>2417016319.81327</v>
      </c>
      <c r="I30" s="8" t="n">
        <f aca="false">IF(Initiatives!$D$6="adoption",I26*Initiatives!$D$23+I25*Initiatives!$D$8-I29*Initiatives!$D$8,(Initiatives!$D$42*Initiatives!$D$41+Initiatives!$D$38*Initiatives!$D$13*Initiatives!$D$14+Initiatives!$D$43*Initiatives!$D$16)*I27-I29*Initiatives!$D$8)</f>
        <v>2380761075.01607</v>
      </c>
      <c r="J30" s="8" t="n">
        <f aca="false">IF(Initiatives!$D$6="adoption",J26*Initiatives!$D$23+J25*Initiatives!$D$8-J29*Initiatives!$D$8,(Initiatives!$D$42*Initiatives!$D$41+Initiatives!$D$38*Initiatives!$D$13*Initiatives!$D$14+Initiatives!$D$43*Initiatives!$D$16)*J27-J29*Initiatives!$D$8)</f>
        <v>2345049658.89083</v>
      </c>
      <c r="K30" s="8" t="n">
        <f aca="false">IF(Initiatives!$D$6="adoption",K26*Initiatives!$D$23+K25*Initiatives!$D$8-K29*Initiatives!$D$8,(Initiatives!$D$42*Initiatives!$D$41+Initiatives!$D$38*Initiatives!$D$13*Initiatives!$D$14+Initiatives!$D$43*Initiatives!$D$16)*K27-K29*Initiatives!$D$8)</f>
        <v>2309873914.00747</v>
      </c>
      <c r="L30" s="8" t="n">
        <f aca="false">IF(Initiatives!$D$6="adoption",L26*Initiatives!$D$23+L25*Initiatives!$D$8-L29*Initiatives!$D$8,(Initiatives!$D$42*Initiatives!$D$41+Initiatives!$D$38*Initiatives!$D$13*Initiatives!$D$14+Initiatives!$D$43*Initiatives!$D$16)*L27-L29*Initiatives!$D$8)</f>
        <v>2275225805.29735</v>
      </c>
      <c r="M30" s="8" t="n">
        <f aca="false">IF(Initiatives!$D$6="adoption",M26*Initiatives!$D$23+M25*Initiatives!$D$8-M29*Initiatives!$D$8,(Initiatives!$D$42*Initiatives!$D$41+Initiatives!$D$38*Initiatives!$D$13*Initiatives!$D$14+Initiatives!$D$43*Initiatives!$D$16)*M27-M29*Initiatives!$D$8)</f>
        <v>2241097418.21789</v>
      </c>
      <c r="N30" s="8" t="n">
        <f aca="false">IF(Initiatives!$D$6="adoption",N26*Initiatives!$D$23+N25*Initiatives!$D$8-N29*Initiatives!$D$8,(Initiatives!$D$42*Initiatives!$D$41+Initiatives!$D$38*Initiatives!$D$13*Initiatives!$D$14+Initiatives!$D$43*Initiatives!$D$16)*N27-N29*Initiatives!$D$8)</f>
        <v>2207480956.94462</v>
      </c>
      <c r="O30" s="8" t="n">
        <f aca="false">IF(Initiatives!$D$6="adoption",O26*Initiatives!$D$23+O25*Initiatives!$D$8-O29*Initiatives!$D$8,(Initiatives!$D$42*Initiatives!$D$41+Initiatives!$D$38*Initiatives!$D$13*Initiatives!$D$14+Initiatives!$D$43*Initiatives!$D$16)*O27-O29*Initiatives!$D$8)</f>
        <v>2174368742.59045</v>
      </c>
      <c r="P30" s="8" t="n">
        <f aca="false">IF(Initiatives!$D$6="adoption",P26*Initiatives!$D$23+P25*Initiatives!$D$8-P29*Initiatives!$D$8,(Initiatives!$D$42*Initiatives!$D$41+Initiatives!$D$38*Initiatives!$D$13*Initiatives!$D$14+Initiatives!$D$43*Initiatives!$D$16)*P27-P29*Initiatives!$D$8)</f>
        <v>2141753211.4516</v>
      </c>
      <c r="Q30" s="8" t="n">
        <f aca="false">IF(Initiatives!$D$6="adoption",Q26*Initiatives!$D$23+Q25*Initiatives!$D$8-Q29*Initiatives!$D$8,(Initiatives!$D$42*Initiatives!$D$41+Initiatives!$D$38*Initiatives!$D$13*Initiatives!$D$14+Initiatives!$D$43*Initiatives!$D$16)*Q27-Q29*Initiatives!$D$8)</f>
        <v>2109626913.27982</v>
      </c>
      <c r="R30" s="8" t="n">
        <f aca="false">IF(Initiatives!$D$6="adoption",R26*Initiatives!$D$23+R25*Initiatives!$D$8-R29*Initiatives!$D$8,(Initiatives!$D$42*Initiatives!$D$41+Initiatives!$D$38*Initiatives!$D$13*Initiatives!$D$14+Initiatives!$D$43*Initiatives!$D$16)*R27-R29*Initiatives!$D$8)</f>
        <v>2077982509.58063</v>
      </c>
      <c r="S30" s="8" t="n">
        <f aca="false">IF(Initiatives!$D$6="adoption",S26*Initiatives!$D$23+S25*Initiatives!$D$8-S29*Initiatives!$D$8,(Initiatives!$D$42*Initiatives!$D$41+Initiatives!$D$38*Initiatives!$D$13*Initiatives!$D$14+Initiatives!$D$43*Initiatives!$D$16)*S27-S29*Initiatives!$D$8)</f>
        <v>2046812771.93692</v>
      </c>
      <c r="T30" s="8" t="n">
        <f aca="false">IF(Initiatives!$D$6="adoption",T26*Initiatives!$D$23+T25*Initiatives!$D$8-T29*Initiatives!$D$8,(Initiatives!$D$42*Initiatives!$D$41+Initiatives!$D$38*Initiatives!$D$13*Initiatives!$D$14+Initiatives!$D$43*Initiatives!$D$16)*T27-T29*Initiatives!$D$8)</f>
        <v>2016110580.35786</v>
      </c>
      <c r="U30" s="8" t="n">
        <f aca="false">IF(Initiatives!$D$6="adoption",U26*Initiatives!$D$23+U25*Initiatives!$D$8-U29*Initiatives!$D$8,(Initiatives!$D$42*Initiatives!$D$41+Initiatives!$D$38*Initiatives!$D$13*Initiatives!$D$14+Initiatives!$D$43*Initiatives!$D$16)*U27-U29*Initiatives!$D$8)</f>
        <v>1985868921.6525</v>
      </c>
      <c r="V30" s="8" t="n">
        <f aca="false">IF(Initiatives!$D$6="adoption",V26*Initiatives!$D$23+V25*Initiatives!$D$8-V29*Initiatives!$D$8,(Initiatives!$D$42*Initiatives!$D$41+Initiatives!$D$38*Initiatives!$D$13*Initiatives!$D$14+Initiatives!$D$43*Initiatives!$D$16)*V27-V29*Initiatives!$D$8)</f>
        <v>1956080887.82771</v>
      </c>
      <c r="W30" s="8" t="n">
        <f aca="false">IF(Initiatives!$D$6="adoption",W26*Initiatives!$D$23+W25*Initiatives!$D$8-W29*Initiatives!$D$8,(Initiatives!$D$42*Initiatives!$D$41+Initiatives!$D$38*Initiatives!$D$13*Initiatives!$D$14+Initiatives!$D$43*Initiatives!$D$16)*W27-W29*Initiatives!$D$8)</f>
        <v>1926739674.51029</v>
      </c>
      <c r="X30" s="8" t="n">
        <f aca="false">IF(Initiatives!$D$6="adoption",X26*Initiatives!$D$23+X25*Initiatives!$D$8-X29*Initiatives!$D$8,(Initiatives!$D$42*Initiatives!$D$41+Initiatives!$D$38*Initiatives!$D$13*Initiatives!$D$14+Initiatives!$D$43*Initiatives!$D$16)*X27-X29*Initiatives!$D$8)</f>
        <v>1897838579.39264</v>
      </c>
      <c r="Y30" s="8" t="n">
        <f aca="false">IF(Initiatives!$D$6="adoption",Y26*Initiatives!$D$23+Y25*Initiatives!$D$8-Y29*Initiatives!$D$8,(Initiatives!$D$42*Initiatives!$D$41+Initiatives!$D$38*Initiatives!$D$13*Initiatives!$D$14+Initiatives!$D$43*Initiatives!$D$16)*Y27-Y29*Initiatives!$D$8)</f>
        <v>1869371000.70175</v>
      </c>
      <c r="Z30" s="8" t="n">
        <f aca="false">IF(Initiatives!$D$6="adoption",Z26*Initiatives!$D$23+Z25*Initiatives!$D$8-Z29*Initiatives!$D$8,(Initiatives!$D$42*Initiatives!$D$41+Initiatives!$D$38*Initiatives!$D$13*Initiatives!$D$14+Initiatives!$D$43*Initiatives!$D$16)*Z27-Z29*Initiatives!$D$8)</f>
        <v>1841330435.69122</v>
      </c>
      <c r="AA30" s="8" t="n">
        <f aca="false">IF(Initiatives!$D$6="adoption",AA26*Initiatives!$D$23+AA25*Initiatives!$D$8-AA29*Initiatives!$D$8,(Initiatives!$D$42*Initiatives!$D$41+Initiatives!$D$38*Initiatives!$D$13*Initiatives!$D$14+Initiatives!$D$43*Initiatives!$D$16)*AA27-AA29*Initiatives!$D$8)</f>
        <v>1813710479.15585</v>
      </c>
      <c r="AB30" s="8" t="n">
        <f aca="false">IF(Initiatives!$D$6="adoption",AB26*Initiatives!$D$23+AB25*Initiatives!$D$8-AB29*Initiatives!$D$8,(Initiatives!$D$42*Initiatives!$D$41+Initiatives!$D$38*Initiatives!$D$13*Initiatives!$D$14+Initiatives!$D$43*Initiatives!$D$16)*AB27-AB29*Initiatives!$D$8)</f>
        <v>1786504821.96852</v>
      </c>
      <c r="AC30" s="8" t="n">
        <f aca="false">IF(Initiatives!$D$6="adoption",AC26*Initiatives!$D$23+AC25*Initiatives!$D$8-AC29*Initiatives!$D$8,(Initiatives!$D$42*Initiatives!$D$41+Initiatives!$D$38*Initiatives!$D$13*Initiatives!$D$14+Initiatives!$D$43*Initiatives!$D$16)*AC27-AC29*Initiatives!$D$8)</f>
        <v>1759707249.63899</v>
      </c>
      <c r="AD30" s="8" t="n">
        <f aca="false">IF(Initiatives!$D$6="adoption",AD26*Initiatives!$D$23+AD25*Initiatives!$D$8-AD29*Initiatives!$D$8,(Initiatives!$D$42*Initiatives!$D$41+Initiatives!$D$38*Initiatives!$D$13*Initiatives!$D$14+Initiatives!$D$43*Initiatives!$D$16)*AD27-AD29*Initiatives!$D$8)</f>
        <v>1733311640.8944</v>
      </c>
      <c r="AE30" s="8" t="n">
        <f aca="false">IF(Initiatives!$D$6="adoption",AE26*Initiatives!$D$23+AE25*Initiatives!$D$8-AE29*Initiatives!$D$8,(Initiatives!$D$42*Initiatives!$D$41+Initiatives!$D$38*Initiatives!$D$13*Initiatives!$D$14+Initiatives!$D$43*Initiatives!$D$16)*AE27-AE29*Initiatives!$D$8)</f>
        <v>1707311966.28099</v>
      </c>
      <c r="AF30" s="8" t="n">
        <f aca="false">IF(Initiatives!$D$6="adoption",AF26*Initiatives!$D$23+AF25*Initiatives!$D$8-AF29*Initiatives!$D$8,(Initiatives!$D$42*Initiatives!$D$41+Initiatives!$D$38*Initiatives!$D$13*Initiatives!$D$14+Initiatives!$D$43*Initiatives!$D$16)*AF27-AF29*Initiatives!$D$8)</f>
        <v>1681702286.78677</v>
      </c>
      <c r="AG30" s="8" t="n">
        <f aca="false">IF(Initiatives!$D$6="adoption",AG26*Initiatives!$D$23+AG25*Initiatives!$D$8-AG29*Initiatives!$D$8,(Initiatives!$D$42*Initiatives!$D$41+Initiatives!$D$38*Initiatives!$D$13*Initiatives!$D$14+Initiatives!$D$43*Initiatives!$D$16)*AG27-AG29*Initiatives!$D$8)</f>
        <v>1656476752.48497</v>
      </c>
      <c r="AH30" s="8" t="n">
        <f aca="false">IF(Initiatives!$D$6="adoption",AH26*Initiatives!$D$23+AH25*Initiatives!$D$8-AH29*Initiatives!$D$8,(Initiatives!$D$42*Initiatives!$D$41+Initiatives!$D$38*Initiatives!$D$13*Initiatives!$D$14+Initiatives!$D$43*Initiatives!$D$16)*AH27-AH29*Initiatives!$D$8)</f>
        <v>1631629601.1977</v>
      </c>
      <c r="AI30" s="8" t="n">
        <f aca="false">IF(Initiatives!$D$6="adoption",AI26*Initiatives!$D$23+AI25*Initiatives!$D$8-AI29*Initiatives!$D$8,(Initiatives!$D$42*Initiatives!$D$41+Initiatives!$D$38*Initiatives!$D$13*Initiatives!$D$14+Initiatives!$D$43*Initiatives!$D$16)*AI27-AI29*Initiatives!$D$8)</f>
        <v>1607155157.17973</v>
      </c>
      <c r="AJ30" s="8" t="n">
        <f aca="false">IF(Initiatives!$D$6="adoption",AJ26*Initiatives!$D$23+AJ25*Initiatives!$D$8-AJ29*Initiatives!$D$8,(Initiatives!$D$42*Initiatives!$D$41+Initiatives!$D$38*Initiatives!$D$13*Initiatives!$D$14+Initiatives!$D$43*Initiatives!$D$16)*AJ27-AJ29*Initiatives!$D$8)</f>
        <v>1583047829.82204</v>
      </c>
      <c r="AK30" s="8" t="n">
        <f aca="false">IF(Initiatives!$D$6="adoption",AK26*Initiatives!$D$23+AK25*Initiatives!$D$8-AK29*Initiatives!$D$8,(Initiatives!$D$42*Initiatives!$D$41+Initiatives!$D$38*Initiatives!$D$13*Initiatives!$D$14+Initiatives!$D$43*Initiatives!$D$16)*AK27-AK29*Initiatives!$D$8)</f>
        <v>1559302112.3747</v>
      </c>
      <c r="AL30" s="8" t="n">
        <f aca="false">IF(Initiatives!$D$6="adoption",AL26*Initiatives!$D$23+AL25*Initiatives!$D$8-AL29*Initiatives!$D$8,(Initiatives!$D$42*Initiatives!$D$41+Initiatives!$D$38*Initiatives!$D$13*Initiatives!$D$14+Initiatives!$D$43*Initiatives!$D$16)*AL27-AL29*Initiatives!$D$8)</f>
        <v>1535912580.68908</v>
      </c>
    </row>
    <row r="31" customFormat="false" ht="15" hidden="false" customHeight="false" outlineLevel="0" collapsed="false">
      <c r="A31" s="4" t="s">
        <v>187</v>
      </c>
      <c r="B31" s="4" t="s">
        <v>188</v>
      </c>
      <c r="C31" s="8" t="n">
        <f aca="false">IF(C$3&lt;=Initiatives!$D$45,Initiatives!$D$28/Initiatives!$D$45,0)+IF(Initiatives!$D$6="adoption",C24*Initiatives!$D$26+C26*Initiatives!$D$27+IF(C$3=Initiatives!$D$31,Initiatives!$D$39*Initiatives!$D$25,0)+IF(C$3&gt;=Initiatives!$D$31,Initiatives!$D$29,0),Initiatives!$D$42*Initiatives!$D$18*C27+IF(C$3=Initiatives!$D$31,Initiatives!$D$32*Initiatives!$D$38*Initiatives!$D$25,0)+IF(C$3=Initiatives!$D$33,(1-Initiatives!$D$32)*Initiatives!$D$38*Initiatives!$D$25,0)+IF(C$3&gt;=Initiatives!$D$31,Initiatives!$D$29-Initiatives!$D$19*(Initiatives!$D$32+IF(C$3&gt;=Initiatives!$D$33,1-Initiatives!$D$32,0)),0))</f>
        <v>300000000</v>
      </c>
      <c r="D31" s="8" t="n">
        <f aca="false">IF(D$3&lt;=Initiatives!$D$45,Initiatives!$D$28/Initiatives!$D$45,0)+IF(Initiatives!$D$6="adoption",D24*Initiatives!$D$26+D26*Initiatives!$D$27+IF(D$3=Initiatives!$D$31,Initiatives!$D$39*Initiatives!$D$25,0)+IF(D$3&gt;=Initiatives!$D$31,Initiatives!$D$29,0),Initiatives!$D$42*Initiatives!$D$18*D27+IF(D$3=Initiatives!$D$31,Initiatives!$D$32*Initiatives!$D$38*Initiatives!$D$25,0)+IF(D$3=Initiatives!$D$33,(1-Initiatives!$D$32)*Initiatives!$D$38*Initiatives!$D$25,0)+IF(D$3&gt;=Initiatives!$D$31,Initiatives!$D$29-Initiatives!$D$19*(Initiatives!$D$32+IF(D$3&gt;=Initiatives!$D$33,1-Initiatives!$D$32,0)),0))</f>
        <v>55467520</v>
      </c>
      <c r="E31" s="8" t="n">
        <f aca="false">IF(E$3&lt;=Initiatives!$D$45,Initiatives!$D$28/Initiatives!$D$45,0)+IF(Initiatives!$D$6="adoption",E24*Initiatives!$D$26+E26*Initiatives!$D$27+IF(E$3=Initiatives!$D$31,Initiatives!$D$39*Initiatives!$D$25,0)+IF(E$3&gt;=Initiatives!$D$31,Initiatives!$D$29,0),Initiatives!$D$42*Initiatives!$D$18*E27+IF(E$3=Initiatives!$D$31,Initiatives!$D$32*Initiatives!$D$38*Initiatives!$D$25,0)+IF(E$3=Initiatives!$D$33,(1-Initiatives!$D$32)*Initiatives!$D$38*Initiatives!$D$25,0)+IF(E$3&gt;=Initiatives!$D$31,Initiatives!$D$29-Initiatives!$D$19*(Initiatives!$D$32+IF(E$3&gt;=Initiatives!$D$33,1-Initiatives!$D$32,0)),0))</f>
        <v>47307667.2</v>
      </c>
      <c r="F31" s="8" t="n">
        <f aca="false">IF(F$3&lt;=Initiatives!$D$45,Initiatives!$D$28/Initiatives!$D$45,0)+IF(Initiatives!$D$6="adoption",F24*Initiatives!$D$26+F26*Initiatives!$D$27+IF(F$3=Initiatives!$D$31,Initiatives!$D$39*Initiatives!$D$25,0)+IF(F$3&gt;=Initiatives!$D$31,Initiatives!$D$29,0),Initiatives!$D$42*Initiatives!$D$18*F27+IF(F$3=Initiatives!$D$31,Initiatives!$D$32*Initiatives!$D$38*Initiatives!$D$25,0)+IF(F$3=Initiatives!$D$33,(1-Initiatives!$D$32)*Initiatives!$D$38*Initiatives!$D$25,0)+IF(F$3&gt;=Initiatives!$D$31,Initiatives!$D$29-Initiatives!$D$19*(Initiatives!$D$32+IF(F$3&gt;=Initiatives!$D$33,1-Initiatives!$D$32,0)),0))</f>
        <v>366105732.192</v>
      </c>
      <c r="G31" s="8" t="n">
        <f aca="false">IF(G$3&lt;=Initiatives!$D$45,Initiatives!$D$28/Initiatives!$D$45,0)+IF(Initiatives!$D$6="adoption",G24*Initiatives!$D$26+G26*Initiatives!$D$27+IF(G$3=Initiatives!$D$31,Initiatives!$D$39*Initiatives!$D$25,0)+IF(G$3&gt;=Initiatives!$D$31,Initiatives!$D$29,0),Initiatives!$D$42*Initiatives!$D$18*G27+IF(G$3=Initiatives!$D$31,Initiatives!$D$32*Initiatives!$D$38*Initiatives!$D$25,0)+IF(G$3=Initiatives!$D$33,(1-Initiatives!$D$32)*Initiatives!$D$38*Initiatives!$D$25,0)+IF(G$3&gt;=Initiatives!$D$31,Initiatives!$D$29-Initiatives!$D$19*(Initiatives!$D$32+IF(G$3&gt;=Initiatives!$D$33,1-Initiatives!$D$32,0)),0))</f>
        <v>292263586.20912</v>
      </c>
      <c r="H31" s="8" t="n">
        <f aca="false">IF(H$3&lt;=Initiatives!$D$45,Initiatives!$D$28/Initiatives!$D$45,0)+IF(Initiatives!$D$6="adoption",H24*Initiatives!$D$26+H26*Initiatives!$D$27+IF(H$3=Initiatives!$D$31,Initiatives!$D$39*Initiatives!$D$25,0)+IF(H$3&gt;=Initiatives!$D$31,Initiatives!$D$29,0),Initiatives!$D$42*Initiatives!$D$18*H27+IF(H$3=Initiatives!$D$31,Initiatives!$D$32*Initiatives!$D$38*Initiatives!$D$25,0)+IF(H$3=Initiatives!$D$33,(1-Initiatives!$D$32)*Initiatives!$D$38*Initiatives!$D$25,0)+IF(H$3&gt;=Initiatives!$D$31,Initiatives!$D$29-Initiatives!$D$19*(Initiatives!$D$32+IF(H$3&gt;=Initiatives!$D$33,1-Initiatives!$D$32,0)),0))</f>
        <v>288179632.415983</v>
      </c>
      <c r="I31" s="8" t="n">
        <f aca="false">IF(I$3&lt;=Initiatives!$D$45,Initiatives!$D$28/Initiatives!$D$45,0)+IF(Initiatives!$D$6="adoption",I24*Initiatives!$D$26+I26*Initiatives!$D$27+IF(I$3=Initiatives!$D$31,Initiatives!$D$39*Initiatives!$D$25,0)+IF(I$3&gt;=Initiatives!$D$31,Initiatives!$D$29,0),Initiatives!$D$42*Initiatives!$D$18*I27+IF(I$3=Initiatives!$D$31,Initiatives!$D$32*Initiatives!$D$38*Initiatives!$D$25,0)+IF(I$3=Initiatives!$D$33,(1-Initiatives!$D$32)*Initiatives!$D$38*Initiatives!$D$25,0)+IF(I$3&gt;=Initiatives!$D$31,Initiatives!$D$29-Initiatives!$D$19*(Initiatives!$D$32+IF(I$3&gt;=Initiatives!$D$33,1-Initiatives!$D$32,0)),0))</f>
        <v>284156937.929743</v>
      </c>
      <c r="J31" s="8" t="n">
        <f aca="false">IF(J$3&lt;=Initiatives!$D$45,Initiatives!$D$28/Initiatives!$D$45,0)+IF(Initiatives!$D$6="adoption",J24*Initiatives!$D$26+J26*Initiatives!$D$27+IF(J$3=Initiatives!$D$31,Initiatives!$D$39*Initiatives!$D$25,0)+IF(J$3&gt;=Initiatives!$D$31,Initiatives!$D$29,0),Initiatives!$D$42*Initiatives!$D$18*J27+IF(J$3=Initiatives!$D$31,Initiatives!$D$32*Initiatives!$D$38*Initiatives!$D$25,0)+IF(J$3=Initiatives!$D$33,(1-Initiatives!$D$32)*Initiatives!$D$38*Initiatives!$D$25,0)+IF(J$3&gt;=Initiatives!$D$31,Initiatives!$D$29-Initiatives!$D$19*(Initiatives!$D$32+IF(J$3&gt;=Initiatives!$D$33,1-Initiatives!$D$32,0)),0))</f>
        <v>280194583.860797</v>
      </c>
      <c r="K31" s="8" t="n">
        <f aca="false">IF(K$3&lt;=Initiatives!$D$45,Initiatives!$D$28/Initiatives!$D$45,0)+IF(Initiatives!$D$6="adoption",K24*Initiatives!$D$26+K26*Initiatives!$D$27+IF(K$3=Initiatives!$D$31,Initiatives!$D$39*Initiatives!$D$25,0)+IF(K$3&gt;=Initiatives!$D$31,Initiatives!$D$29,0),Initiatives!$D$42*Initiatives!$D$18*K27+IF(K$3=Initiatives!$D$31,Initiatives!$D$32*Initiatives!$D$38*Initiatives!$D$25,0)+IF(K$3=Initiatives!$D$33,(1-Initiatives!$D$32)*Initiatives!$D$38*Initiatives!$D$25,0)+IF(K$3&gt;=Initiatives!$D$31,Initiatives!$D$29-Initiatives!$D$19*(Initiatives!$D$32+IF(K$3&gt;=Initiatives!$D$33,1-Initiatives!$D$32,0)),0))</f>
        <v>276291665.102885</v>
      </c>
      <c r="L31" s="8" t="n">
        <f aca="false">IF(L$3&lt;=Initiatives!$D$45,Initiatives!$D$28/Initiatives!$D$45,0)+IF(Initiatives!$D$6="adoption",L24*Initiatives!$D$26+L26*Initiatives!$D$27+IF(L$3=Initiatives!$D$31,Initiatives!$D$39*Initiatives!$D$25,0)+IF(L$3&gt;=Initiatives!$D$31,Initiatives!$D$29,0),Initiatives!$D$42*Initiatives!$D$18*L27+IF(L$3=Initiatives!$D$31,Initiatives!$D$32*Initiatives!$D$38*Initiatives!$D$25,0)+IF(L$3=Initiatives!$D$33,(1-Initiatives!$D$32)*Initiatives!$D$38*Initiatives!$D$25,0)+IF(L$3&gt;=Initiatives!$D$31,Initiatives!$D$29-Initiatives!$D$19*(Initiatives!$D$32+IF(L$3&gt;=Initiatives!$D$33,1-Initiatives!$D$32,0)),0))</f>
        <v>272447290.126342</v>
      </c>
      <c r="M31" s="8" t="n">
        <f aca="false">IF(M$3&lt;=Initiatives!$D$45,Initiatives!$D$28/Initiatives!$D$45,0)+IF(Initiatives!$D$6="adoption",M24*Initiatives!$D$26+M26*Initiatives!$D$27+IF(M$3=Initiatives!$D$31,Initiatives!$D$39*Initiatives!$D$25,0)+IF(M$3&gt;=Initiatives!$D$31,Initiatives!$D$29,0),Initiatives!$D$42*Initiatives!$D$18*M27+IF(M$3=Initiatives!$D$31,Initiatives!$D$32*Initiatives!$D$38*Initiatives!$D$25,0)+IF(M$3=Initiatives!$D$33,(1-Initiatives!$D$32)*Initiatives!$D$38*Initiatives!$D$25,0)+IF(M$3&gt;=Initiatives!$D$31,Initiatives!$D$29-Initiatives!$D$19*(Initiatives!$D$32+IF(M$3&gt;=Initiatives!$D$33,1-Initiatives!$D$32,0)),0))</f>
        <v>268660580.774447</v>
      </c>
      <c r="N31" s="8" t="n">
        <f aca="false">IF(N$3&lt;=Initiatives!$D$45,Initiatives!$D$28/Initiatives!$D$45,0)+IF(Initiatives!$D$6="adoption",N24*Initiatives!$D$26+N26*Initiatives!$D$27+IF(N$3=Initiatives!$D$31,Initiatives!$D$39*Initiatives!$D$25,0)+IF(N$3&gt;=Initiatives!$D$31,Initiatives!$D$29,0),Initiatives!$D$42*Initiatives!$D$18*N27+IF(N$3=Initiatives!$D$31,Initiatives!$D$32*Initiatives!$D$38*Initiatives!$D$25,0)+IF(N$3=Initiatives!$D$33,(1-Initiatives!$D$32)*Initiatives!$D$38*Initiatives!$D$25,0)+IF(N$3&gt;=Initiatives!$D$31,Initiatives!$D$29-Initiatives!$D$19*(Initiatives!$D$32+IF(N$3&gt;=Initiatives!$D$33,1-Initiatives!$D$32,0)),0))</f>
        <v>264930672.06283</v>
      </c>
      <c r="O31" s="8" t="n">
        <f aca="false">IF(O$3&lt;=Initiatives!$D$45,Initiatives!$D$28/Initiatives!$D$45,0)+IF(Initiatives!$D$6="adoption",O24*Initiatives!$D$26+O26*Initiatives!$D$27+IF(O$3=Initiatives!$D$31,Initiatives!$D$39*Initiatives!$D$25,0)+IF(O$3&gt;=Initiatives!$D$31,Initiatives!$D$29,0),Initiatives!$D$42*Initiatives!$D$18*O27+IF(O$3=Initiatives!$D$31,Initiatives!$D$32*Initiatives!$D$38*Initiatives!$D$25,0)+IF(O$3=Initiatives!$D$33,(1-Initiatives!$D$32)*Initiatives!$D$38*Initiatives!$D$25,0)+IF(O$3&gt;=Initiatives!$D$31,Initiatives!$D$29-Initiatives!$D$19*(Initiatives!$D$32+IF(O$3&gt;=Initiatives!$D$33,1-Initiatives!$D$32,0)),0))</f>
        <v>261256711.981888</v>
      </c>
      <c r="P31" s="8" t="n">
        <f aca="false">IF(P$3&lt;=Initiatives!$D$45,Initiatives!$D$28/Initiatives!$D$45,0)+IF(Initiatives!$D$6="adoption",P24*Initiatives!$D$26+P26*Initiatives!$D$27+IF(P$3=Initiatives!$D$31,Initiatives!$D$39*Initiatives!$D$25,0)+IF(P$3&gt;=Initiatives!$D$31,Initiatives!$D$29,0),Initiatives!$D$42*Initiatives!$D$18*P27+IF(P$3=Initiatives!$D$31,Initiatives!$D$32*Initiatives!$D$38*Initiatives!$D$25,0)+IF(P$3=Initiatives!$D$33,(1-Initiatives!$D$32)*Initiatives!$D$38*Initiatives!$D$25,0)+IF(P$3&gt;=Initiatives!$D$31,Initiatives!$D$29-Initiatives!$D$19*(Initiatives!$D$32+IF(P$3&gt;=Initiatives!$D$33,1-Initiatives!$D$32,0)),0))</f>
        <v>257637861.302159</v>
      </c>
      <c r="Q31" s="8" t="n">
        <f aca="false">IF(Q$3&lt;=Initiatives!$D$45,Initiatives!$D$28/Initiatives!$D$45,0)+IF(Initiatives!$D$6="adoption",Q24*Initiatives!$D$26+Q26*Initiatives!$D$27+IF(Q$3=Initiatives!$D$31,Initiatives!$D$39*Initiatives!$D$25,0)+IF(Q$3&gt;=Initiatives!$D$31,Initiatives!$D$29,0),Initiatives!$D$42*Initiatives!$D$18*Q27+IF(Q$3=Initiatives!$D$31,Initiatives!$D$32*Initiatives!$D$38*Initiatives!$D$25,0)+IF(Q$3=Initiatives!$D$33,(1-Initiatives!$D$32)*Initiatives!$D$38*Initiatives!$D$25,0)+IF(Q$3&gt;=Initiatives!$D$31,Initiatives!$D$29-Initiatives!$D$19*(Initiatives!$D$32+IF(Q$3&gt;=Initiatives!$D$33,1-Initiatives!$D$32,0)),0))</f>
        <v>254073293.382627</v>
      </c>
      <c r="R31" s="8" t="n">
        <f aca="false">IF(R$3&lt;=Initiatives!$D$45,Initiatives!$D$28/Initiatives!$D$45,0)+IF(Initiatives!$D$6="adoption",R24*Initiatives!$D$26+R26*Initiatives!$D$27+IF(R$3=Initiatives!$D$31,Initiatives!$D$39*Initiatives!$D$25,0)+IF(R$3&gt;=Initiatives!$D$31,Initiatives!$D$29,0),Initiatives!$D$42*Initiatives!$D$18*R27+IF(R$3=Initiatives!$D$31,Initiatives!$D$32*Initiatives!$D$38*Initiatives!$D$25,0)+IF(R$3=Initiatives!$D$33,(1-Initiatives!$D$32)*Initiatives!$D$38*Initiatives!$D$25,0)+IF(R$3&gt;=Initiatives!$D$31,Initiatives!$D$29-Initiatives!$D$19*(Initiatives!$D$32+IF(R$3&gt;=Initiatives!$D$33,1-Initiatives!$D$32,0)),0))</f>
        <v>250562193.981888</v>
      </c>
      <c r="S31" s="8" t="n">
        <f aca="false">IF(S$3&lt;=Initiatives!$D$45,Initiatives!$D$28/Initiatives!$D$45,0)+IF(Initiatives!$D$6="adoption",S24*Initiatives!$D$26+S26*Initiatives!$D$27+IF(S$3=Initiatives!$D$31,Initiatives!$D$39*Initiatives!$D$25,0)+IF(S$3&gt;=Initiatives!$D$31,Initiatives!$D$29,0),Initiatives!$D$42*Initiatives!$D$18*S27+IF(S$3=Initiatives!$D$31,Initiatives!$D$32*Initiatives!$D$38*Initiatives!$D$25,0)+IF(S$3=Initiatives!$D$33,(1-Initiatives!$D$32)*Initiatives!$D$38*Initiatives!$D$25,0)+IF(S$3&gt;=Initiatives!$D$31,Initiatives!$D$29-Initiatives!$D$19*(Initiatives!$D$32+IF(S$3&gt;=Initiatives!$D$33,1-Initiatives!$D$32,0)),0))</f>
        <v>247103761.072159</v>
      </c>
      <c r="T31" s="8" t="n">
        <f aca="false">IF(T$3&lt;=Initiatives!$D$45,Initiatives!$D$28/Initiatives!$D$45,0)+IF(Initiatives!$D$6="adoption",T24*Initiatives!$D$26+T26*Initiatives!$D$27+IF(T$3=Initiatives!$D$31,Initiatives!$D$39*Initiatives!$D$25,0)+IF(T$3&gt;=Initiatives!$D$31,Initiatives!$D$29,0),Initiatives!$D$42*Initiatives!$D$18*T27+IF(T$3=Initiatives!$D$31,Initiatives!$D$32*Initiatives!$D$38*Initiatives!$D$25,0)+IF(T$3=Initiatives!$D$33,(1-Initiatives!$D$32)*Initiatives!$D$38*Initiatives!$D$25,0)+IF(T$3&gt;=Initiatives!$D$31,Initiatives!$D$29-Initiatives!$D$19*(Initiatives!$D$32+IF(T$3&gt;=Initiatives!$D$33,1-Initiatives!$D$32,0)),0))</f>
        <v>243697204.656077</v>
      </c>
      <c r="U31" s="8" t="n">
        <f aca="false">IF(U$3&lt;=Initiatives!$D$45,Initiatives!$D$28/Initiatives!$D$45,0)+IF(Initiatives!$D$6="adoption",U24*Initiatives!$D$26+U26*Initiatives!$D$27+IF(U$3=Initiatives!$D$31,Initiatives!$D$39*Initiatives!$D$25,0)+IF(U$3&gt;=Initiatives!$D$31,Initiatives!$D$29,0),Initiatives!$D$42*Initiatives!$D$18*U27+IF(U$3=Initiatives!$D$31,Initiatives!$D$32*Initiatives!$D$38*Initiatives!$D$25,0)+IF(U$3=Initiatives!$D$33,(1-Initiatives!$D$32)*Initiatives!$D$38*Initiatives!$D$25,0)+IF(U$3&gt;=Initiatives!$D$31,Initiatives!$D$29-Initiatives!$D$19*(Initiatives!$D$32+IF(U$3&gt;=Initiatives!$D$33,1-Initiatives!$D$32,0)),0))</f>
        <v>240341746.586236</v>
      </c>
      <c r="V31" s="8" t="n">
        <f aca="false">IF(V$3&lt;=Initiatives!$D$45,Initiatives!$D$28/Initiatives!$D$45,0)+IF(Initiatives!$D$6="adoption",V24*Initiatives!$D$26+V26*Initiatives!$D$27+IF(V$3=Initiatives!$D$31,Initiatives!$D$39*Initiatives!$D$25,0)+IF(V$3&gt;=Initiatives!$D$31,Initiatives!$D$29,0),Initiatives!$D$42*Initiatives!$D$18*V27+IF(V$3=Initiatives!$D$31,Initiatives!$D$32*Initiatives!$D$38*Initiatives!$D$25,0)+IF(V$3=Initiatives!$D$33,(1-Initiatives!$D$32)*Initiatives!$D$38*Initiatives!$D$25,0)+IF(V$3&gt;=Initiatives!$D$31,Initiatives!$D$29-Initiatives!$D$19*(Initiatives!$D$32+IF(V$3&gt;=Initiatives!$D$33,1-Initiatives!$D$32,0)),0))</f>
        <v>237036620.387442</v>
      </c>
      <c r="W31" s="8" t="n">
        <f aca="false">IF(W$3&lt;=Initiatives!$D$45,Initiatives!$D$28/Initiatives!$D$45,0)+IF(Initiatives!$D$6="adoption",W24*Initiatives!$D$26+W26*Initiatives!$D$27+IF(W$3=Initiatives!$D$31,Initiatives!$D$39*Initiatives!$D$25,0)+IF(W$3&gt;=Initiatives!$D$31,Initiatives!$D$29,0),Initiatives!$D$42*Initiatives!$D$18*W27+IF(W$3=Initiatives!$D$31,Initiatives!$D$32*Initiatives!$D$38*Initiatives!$D$25,0)+IF(W$3=Initiatives!$D$33,(1-Initiatives!$D$32)*Initiatives!$D$38*Initiatives!$D$25,0)+IF(W$3&gt;=Initiatives!$D$31,Initiatives!$D$29-Initiatives!$D$19*(Initiatives!$D$32+IF(W$3&gt;=Initiatives!$D$33,1-Initiatives!$D$32,0)),0))</f>
        <v>233781071.081631</v>
      </c>
      <c r="X31" s="8" t="n">
        <f aca="false">IF(X$3&lt;=Initiatives!$D$45,Initiatives!$D$28/Initiatives!$D$45,0)+IF(Initiatives!$D$6="adoption",X24*Initiatives!$D$26+X26*Initiatives!$D$27+IF(X$3=Initiatives!$D$31,Initiatives!$D$39*Initiatives!$D$25,0)+IF(X$3&gt;=Initiatives!$D$31,Initiatives!$D$29,0),Initiatives!$D$42*Initiatives!$D$18*X27+IF(X$3=Initiatives!$D$31,Initiatives!$D$32*Initiatives!$D$38*Initiatives!$D$25,0)+IF(X$3=Initiatives!$D$33,(1-Initiatives!$D$32)*Initiatives!$D$38*Initiatives!$D$25,0)+IF(X$3&gt;=Initiatives!$D$31,Initiatives!$D$29-Initiatives!$D$19*(Initiatives!$D$32+IF(X$3&gt;=Initiatives!$D$33,1-Initiatives!$D$32,0)),0))</f>
        <v>230574355.015406</v>
      </c>
      <c r="Y31" s="8" t="n">
        <f aca="false">IF(Y$3&lt;=Initiatives!$D$45,Initiatives!$D$28/Initiatives!$D$45,0)+IF(Initiatives!$D$6="adoption",Y24*Initiatives!$D$26+Y26*Initiatives!$D$27+IF(Y$3=Initiatives!$D$31,Initiatives!$D$39*Initiatives!$D$25,0)+IF(Y$3&gt;=Initiatives!$D$31,Initiatives!$D$29,0),Initiatives!$D$42*Initiatives!$D$18*Y27+IF(Y$3=Initiatives!$D$31,Initiatives!$D$32*Initiatives!$D$38*Initiatives!$D$25,0)+IF(Y$3=Initiatives!$D$33,(1-Initiatives!$D$32)*Initiatives!$D$38*Initiatives!$D$25,0)+IF(Y$3&gt;=Initiatives!$D$31,Initiatives!$D$29-Initiatives!$D$19*(Initiatives!$D$32+IF(Y$3&gt;=Initiatives!$D$33,1-Initiatives!$D$32,0)),0))</f>
        <v>227415739.690175</v>
      </c>
      <c r="Z31" s="8" t="n">
        <f aca="false">IF(Z$3&lt;=Initiatives!$D$45,Initiatives!$D$28/Initiatives!$D$45,0)+IF(Initiatives!$D$6="adoption",Z24*Initiatives!$D$26+Z26*Initiatives!$D$27+IF(Z$3=Initiatives!$D$31,Initiatives!$D$39*Initiatives!$D$25,0)+IF(Z$3&gt;=Initiatives!$D$31,Initiatives!$D$29,0),Initiatives!$D$42*Initiatives!$D$18*Z27+IF(Z$3=Initiatives!$D$31,Initiatives!$D$32*Initiatives!$D$38*Initiatives!$D$25,0)+IF(Z$3=Initiatives!$D$33,(1-Initiatives!$D$32)*Initiatives!$D$38*Initiatives!$D$25,0)+IF(Z$3&gt;=Initiatives!$D$31,Initiatives!$D$29-Initiatives!$D$19*(Initiatives!$D$32+IF(Z$3&gt;=Initiatives!$D$33,1-Initiatives!$D$32,0)),0))</f>
        <v>224304503.594822</v>
      </c>
      <c r="AA31" s="8" t="n">
        <f aca="false">IF(AA$3&lt;=Initiatives!$D$45,Initiatives!$D$28/Initiatives!$D$45,0)+IF(Initiatives!$D$6="adoption",AA24*Initiatives!$D$26+AA26*Initiatives!$D$27+IF(AA$3=Initiatives!$D$31,Initiatives!$D$39*Initiatives!$D$25,0)+IF(AA$3&gt;=Initiatives!$D$31,Initiatives!$D$29,0),Initiatives!$D$42*Initiatives!$D$18*AA27+IF(AA$3=Initiatives!$D$31,Initiatives!$D$32*Initiatives!$D$38*Initiatives!$D$25,0)+IF(AA$3=Initiatives!$D$33,(1-Initiatives!$D$32)*Initiatives!$D$38*Initiatives!$D$25,0)+IF(AA$3&gt;=Initiatives!$D$31,Initiatives!$D$29-Initiatives!$D$19*(Initiatives!$D$32+IF(AA$3&gt;=Initiatives!$D$33,1-Initiatives!$D$32,0)),0))</f>
        <v>221239936.0409</v>
      </c>
      <c r="AB31" s="8" t="n">
        <f aca="false">IF(AB$3&lt;=Initiatives!$D$45,Initiatives!$D$28/Initiatives!$D$45,0)+IF(Initiatives!$D$6="adoption",AB24*Initiatives!$D$26+AB26*Initiatives!$D$27+IF(AB$3=Initiatives!$D$31,Initiatives!$D$39*Initiatives!$D$25,0)+IF(AB$3&gt;=Initiatives!$D$31,Initiatives!$D$29,0),Initiatives!$D$42*Initiatives!$D$18*AB27+IF(AB$3=Initiatives!$D$31,Initiatives!$D$32*Initiatives!$D$38*Initiatives!$D$25,0)+IF(AB$3=Initiatives!$D$33,(1-Initiatives!$D$32)*Initiatives!$D$38*Initiatives!$D$25,0)+IF(AB$3&gt;=Initiatives!$D$31,Initiatives!$D$29-Initiatives!$D$19*(Initiatives!$D$32+IF(AB$3&gt;=Initiatives!$D$33,1-Initiatives!$D$32,0)),0))</f>
        <v>218221337.000287</v>
      </c>
      <c r="AC31" s="8" t="n">
        <f aca="false">IF(AC$3&lt;=Initiatives!$D$45,Initiatives!$D$28/Initiatives!$D$45,0)+IF(Initiatives!$D$6="adoption",AC24*Initiatives!$D$26+AC26*Initiatives!$D$27+IF(AC$3=Initiatives!$D$31,Initiatives!$D$39*Initiatives!$D$25,0)+IF(AC$3&gt;=Initiatives!$D$31,Initiatives!$D$29,0),Initiatives!$D$42*Initiatives!$D$18*AC27+IF(AC$3=Initiatives!$D$31,Initiatives!$D$32*Initiatives!$D$38*Initiatives!$D$25,0)+IF(AC$3=Initiatives!$D$33,(1-Initiatives!$D$32)*Initiatives!$D$38*Initiatives!$D$25,0)+IF(AC$3&gt;=Initiatives!$D$31,Initiatives!$D$29-Initiatives!$D$19*(Initiatives!$D$32+IF(AC$3&gt;=Initiatives!$D$33,1-Initiatives!$D$32,0)),0))</f>
        <v>215248016.945282</v>
      </c>
      <c r="AD31" s="8" t="n">
        <f aca="false">IF(AD$3&lt;=Initiatives!$D$45,Initiatives!$D$28/Initiatives!$D$45,0)+IF(Initiatives!$D$6="adoption",AD24*Initiatives!$D$26+AD26*Initiatives!$D$27+IF(AD$3=Initiatives!$D$31,Initiatives!$D$39*Initiatives!$D$25,0)+IF(AD$3&gt;=Initiatives!$D$31,Initiatives!$D$29,0),Initiatives!$D$42*Initiatives!$D$18*AD27+IF(AD$3=Initiatives!$D$31,Initiatives!$D$32*Initiatives!$D$38*Initiatives!$D$25,0)+IF(AD$3=Initiatives!$D$33,(1-Initiatives!$D$32)*Initiatives!$D$38*Initiatives!$D$25,0)+IF(AD$3&gt;=Initiatives!$D$31,Initiatives!$D$29-Initiatives!$D$19*(Initiatives!$D$32+IF(AD$3&gt;=Initiatives!$D$33,1-Initiatives!$D$32,0)),0))</f>
        <v>212319296.691103</v>
      </c>
      <c r="AE31" s="8" t="n">
        <f aca="false">IF(AE$3&lt;=Initiatives!$D$45,Initiatives!$D$28/Initiatives!$D$45,0)+IF(Initiatives!$D$6="adoption",AE24*Initiatives!$D$26+AE26*Initiatives!$D$27+IF(AE$3=Initiatives!$D$31,Initiatives!$D$39*Initiatives!$D$25,0)+IF(AE$3&gt;=Initiatives!$D$31,Initiatives!$D$29,0),Initiatives!$D$42*Initiatives!$D$18*AE27+IF(AE$3=Initiatives!$D$31,Initiatives!$D$32*Initiatives!$D$38*Initiatives!$D$25,0)+IF(AE$3=Initiatives!$D$33,(1-Initiatives!$D$32)*Initiatives!$D$38*Initiatives!$D$25,0)+IF(AE$3&gt;=Initiatives!$D$31,Initiatives!$D$29-Initiatives!$D$19*(Initiatives!$D$32+IF(AE$3&gt;=Initiatives!$D$33,1-Initiatives!$D$32,0)),0))</f>
        <v>209434507.240736</v>
      </c>
      <c r="AF31" s="8" t="n">
        <f aca="false">IF(AF$3&lt;=Initiatives!$D$45,Initiatives!$D$28/Initiatives!$D$45,0)+IF(Initiatives!$D$6="adoption",AF24*Initiatives!$D$26+AF26*Initiatives!$D$27+IF(AF$3=Initiatives!$D$31,Initiatives!$D$39*Initiatives!$D$25,0)+IF(AF$3&gt;=Initiatives!$D$31,Initiatives!$D$29,0),Initiatives!$D$42*Initiatives!$D$18*AF27+IF(AF$3=Initiatives!$D$31,Initiatives!$D$32*Initiatives!$D$38*Initiatives!$D$25,0)+IF(AF$3=Initiatives!$D$33,(1-Initiatives!$D$32)*Initiatives!$D$38*Initiatives!$D$25,0)+IF(AF$3&gt;=Initiatives!$D$31,Initiatives!$D$29-Initiatives!$D$19*(Initiatives!$D$32+IF(AF$3&gt;=Initiatives!$D$33,1-Initiatives!$D$32,0)),0))</f>
        <v>206592989.632125</v>
      </c>
      <c r="AG31" s="8" t="n">
        <f aca="false">IF(AG$3&lt;=Initiatives!$D$45,Initiatives!$D$28/Initiatives!$D$45,0)+IF(Initiatives!$D$6="adoption",AG24*Initiatives!$D$26+AG26*Initiatives!$D$27+IF(AG$3=Initiatives!$D$31,Initiatives!$D$39*Initiatives!$D$25,0)+IF(AG$3&gt;=Initiatives!$D$31,Initiatives!$D$29,0),Initiatives!$D$42*Initiatives!$D$18*AG27+IF(AG$3=Initiatives!$D$31,Initiatives!$D$32*Initiatives!$D$38*Initiatives!$D$25,0)+IF(AG$3=Initiatives!$D$33,(1-Initiatives!$D$32)*Initiatives!$D$38*Initiatives!$D$25,0)+IF(AG$3&gt;=Initiatives!$D$31,Initiatives!$D$29-Initiatives!$D$19*(Initiatives!$D$32+IF(AG$3&gt;=Initiatives!$D$33,1-Initiatives!$D$32,0)),0))</f>
        <v>203794094.787644</v>
      </c>
      <c r="AH31" s="8" t="n">
        <f aca="false">IF(AH$3&lt;=Initiatives!$D$45,Initiatives!$D$28/Initiatives!$D$45,0)+IF(Initiatives!$D$6="adoption",AH24*Initiatives!$D$26+AH26*Initiatives!$D$27+IF(AH$3=Initiatives!$D$31,Initiatives!$D$39*Initiatives!$D$25,0)+IF(AH$3&gt;=Initiatives!$D$31,Initiatives!$D$29,0),Initiatives!$D$42*Initiatives!$D$18*AH27+IF(AH$3=Initiatives!$D$31,Initiatives!$D$32*Initiatives!$D$38*Initiatives!$D$25,0)+IF(AH$3=Initiatives!$D$33,(1-Initiatives!$D$32)*Initiatives!$D$38*Initiatives!$D$25,0)+IF(AH$3&gt;=Initiatives!$D$31,Initiatives!$D$29-Initiatives!$D$19*(Initiatives!$D$32+IF(AH$3&gt;=Initiatives!$D$33,1-Initiatives!$D$32,0)),0))</f>
        <v>201037183.365829</v>
      </c>
      <c r="AI31" s="8" t="n">
        <f aca="false">IF(AI$3&lt;=Initiatives!$D$45,Initiatives!$D$28/Initiatives!$D$45,0)+IF(Initiatives!$D$6="adoption",AI24*Initiatives!$D$26+AI26*Initiatives!$D$27+IF(AI$3=Initiatives!$D$31,Initiatives!$D$39*Initiatives!$D$25,0)+IF(AI$3&gt;=Initiatives!$D$31,Initiatives!$D$29,0),Initiatives!$D$42*Initiatives!$D$18*AI27+IF(AI$3=Initiatives!$D$31,Initiatives!$D$32*Initiatives!$D$38*Initiatives!$D$25,0)+IF(AI$3=Initiatives!$D$33,(1-Initiatives!$D$32)*Initiatives!$D$38*Initiatives!$D$25,0)+IF(AI$3&gt;=Initiatives!$D$31,Initiatives!$D$29-Initiatives!$D$19*(Initiatives!$D$32+IF(AI$3&gt;=Initiatives!$D$33,1-Initiatives!$D$32,0)),0))</f>
        <v>198321625.615341</v>
      </c>
      <c r="AJ31" s="8" t="n">
        <f aca="false">IF(AJ$3&lt;=Initiatives!$D$45,Initiatives!$D$28/Initiatives!$D$45,0)+IF(Initiatives!$D$6="adoption",AJ24*Initiatives!$D$26+AJ26*Initiatives!$D$27+IF(AJ$3=Initiatives!$D$31,Initiatives!$D$39*Initiatives!$D$25,0)+IF(AJ$3&gt;=Initiatives!$D$31,Initiatives!$D$29,0),Initiatives!$D$42*Initiatives!$D$18*AJ27+IF(AJ$3=Initiatives!$D$31,Initiatives!$D$32*Initiatives!$D$38*Initiatives!$D$25,0)+IF(AJ$3=Initiatives!$D$33,(1-Initiatives!$D$32)*Initiatives!$D$38*Initiatives!$D$25,0)+IF(AJ$3&gt;=Initiatives!$D$31,Initiatives!$D$29-Initiatives!$D$19*(Initiatives!$D$32+IF(AJ$3&gt;=Initiatives!$D$33,1-Initiatives!$D$32,0)),0))</f>
        <v>195646801.231111</v>
      </c>
      <c r="AK31" s="8" t="n">
        <f aca="false">IF(AK$3&lt;=Initiatives!$D$45,Initiatives!$D$28/Initiatives!$D$45,0)+IF(Initiatives!$D$6="adoption",AK24*Initiatives!$D$26+AK26*Initiatives!$D$27+IF(AK$3=Initiatives!$D$31,Initiatives!$D$39*Initiatives!$D$25,0)+IF(AK$3&gt;=Initiatives!$D$31,Initiatives!$D$29,0),Initiatives!$D$42*Initiatives!$D$18*AK27+IF(AK$3=Initiatives!$D$31,Initiatives!$D$32*Initiatives!$D$38*Initiatives!$D$25,0)+IF(AK$3=Initiatives!$D$33,(1-Initiatives!$D$32)*Initiatives!$D$38*Initiatives!$D$25,0)+IF(AK$3&gt;=Initiatives!$D$31,Initiatives!$D$29-Initiatives!$D$19*(Initiatives!$D$32+IF(AK$3&gt;=Initiatives!$D$33,1-Initiatives!$D$32,0)),0))</f>
        <v>193012099.212645</v>
      </c>
      <c r="AL31" s="8" t="n">
        <f aca="false">IF(AL$3&lt;=Initiatives!$D$45,Initiatives!$D$28/Initiatives!$D$45,0)+IF(Initiatives!$D$6="adoption",AL24*Initiatives!$D$26+AL26*Initiatives!$D$27+IF(AL$3=Initiatives!$D$31,Initiatives!$D$39*Initiatives!$D$25,0)+IF(AL$3&gt;=Initiatives!$D$31,Initiatives!$D$29,0),Initiatives!$D$42*Initiatives!$D$18*AL27+IF(AL$3=Initiatives!$D$31,Initiatives!$D$32*Initiatives!$D$38*Initiatives!$D$25,0)+IF(AL$3=Initiatives!$D$33,(1-Initiatives!$D$32)*Initiatives!$D$38*Initiatives!$D$25,0)+IF(AL$3&gt;=Initiatives!$D$31,Initiatives!$D$29-Initiatives!$D$19*(Initiatives!$D$32+IF(AL$3&gt;=Initiatives!$D$33,1-Initiatives!$D$32,0)),0))</f>
        <v>190416917.724455</v>
      </c>
    </row>
    <row r="32" customFormat="false" ht="15" hidden="false" customHeight="false" outlineLevel="0" collapsed="false">
      <c r="A32" s="4" t="s">
        <v>189</v>
      </c>
      <c r="B32" s="4" t="s">
        <v>190</v>
      </c>
      <c r="C32" s="8" t="n">
        <f aca="false">C30*Initiatives!$D$30-C31</f>
        <v>-300000000</v>
      </c>
      <c r="D32" s="8" t="n">
        <f aca="false">D30*Initiatives!$D$30-D31</f>
        <v>215033165.714286</v>
      </c>
      <c r="E32" s="8" t="n">
        <f aca="false">E30*Initiatives!$D$30-E31</f>
        <v>198807508.228571</v>
      </c>
      <c r="F32" s="8" t="n">
        <f aca="false">F30*Initiatives!$D$30-F31</f>
        <v>2310823887.03371</v>
      </c>
      <c r="G32" s="8" t="n">
        <f aca="false">G30*Initiatives!$D$30-G31</f>
        <v>2161560088.72821</v>
      </c>
      <c r="H32" s="8" t="n">
        <f aca="false">H30*Initiatives!$D$30-H31</f>
        <v>2128836687.39729</v>
      </c>
      <c r="I32" s="8" t="n">
        <f aca="false">I30*Initiatives!$D$30-I31</f>
        <v>2096604137.08633</v>
      </c>
      <c r="J32" s="8" t="n">
        <f aca="false">J30*Initiatives!$D$30-J31</f>
        <v>2064855075.03003</v>
      </c>
      <c r="K32" s="8" t="n">
        <f aca="false">K30*Initiatives!$D$30-K31</f>
        <v>2033582248.90458</v>
      </c>
      <c r="L32" s="8" t="n">
        <f aca="false">L30*Initiatives!$D$30-L31</f>
        <v>2002778515.17101</v>
      </c>
      <c r="M32" s="8" t="n">
        <f aca="false">M30*Initiatives!$D$30-M31</f>
        <v>1972436837.44345</v>
      </c>
      <c r="N32" s="8" t="n">
        <f aca="false">N30*Initiatives!$D$30-N31</f>
        <v>1942550284.88179</v>
      </c>
      <c r="O32" s="8" t="n">
        <f aca="false">O30*Initiatives!$D$30-O31</f>
        <v>1913112030.60857</v>
      </c>
      <c r="P32" s="8" t="n">
        <f aca="false">P30*Initiatives!$D$30-P31</f>
        <v>1884115350.14944</v>
      </c>
      <c r="Q32" s="8" t="n">
        <f aca="false">Q30*Initiatives!$D$30-Q31</f>
        <v>1855553619.8972</v>
      </c>
      <c r="R32" s="8" t="n">
        <f aca="false">R30*Initiatives!$D$30-R31</f>
        <v>1827420315.59874</v>
      </c>
      <c r="S32" s="8" t="n">
        <f aca="false">S30*Initiatives!$D$30-S31</f>
        <v>1799709010.86476</v>
      </c>
      <c r="T32" s="8" t="n">
        <f aca="false">T30*Initiatives!$D$30-T31</f>
        <v>1772413375.70179</v>
      </c>
      <c r="U32" s="8" t="n">
        <f aca="false">U30*Initiatives!$D$30-U31</f>
        <v>1745527175.06626</v>
      </c>
      <c r="V32" s="8" t="n">
        <f aca="false">V30*Initiatives!$D$30-V31</f>
        <v>1719044267.44027</v>
      </c>
      <c r="W32" s="8" t="n">
        <f aca="false">W30*Initiatives!$D$30-W31</f>
        <v>1692958603.42866</v>
      </c>
      <c r="X32" s="8" t="n">
        <f aca="false">X30*Initiatives!$D$30-X31</f>
        <v>1667264224.37723</v>
      </c>
      <c r="Y32" s="8" t="n">
        <f aca="false">Y30*Initiatives!$D$30-Y31</f>
        <v>1641955261.01157</v>
      </c>
      <c r="Z32" s="8" t="n">
        <f aca="false">Z30*Initiatives!$D$30-Z31</f>
        <v>1617025932.0964</v>
      </c>
      <c r="AA32" s="8" t="n">
        <f aca="false">AA30*Initiatives!$D$30-AA31</f>
        <v>1592470543.11495</v>
      </c>
      <c r="AB32" s="8" t="n">
        <f aca="false">AB30*Initiatives!$D$30-AB31</f>
        <v>1568283484.96823</v>
      </c>
      <c r="AC32" s="8" t="n">
        <f aca="false">AC30*Initiatives!$D$30-AC31</f>
        <v>1544459232.69371</v>
      </c>
      <c r="AD32" s="8" t="n">
        <f aca="false">AD30*Initiatives!$D$30-AD31</f>
        <v>1520992344.2033</v>
      </c>
      <c r="AE32" s="8" t="n">
        <f aca="false">AE30*Initiatives!$D$30-AE31</f>
        <v>1497877459.04025</v>
      </c>
      <c r="AF32" s="8" t="n">
        <f aca="false">AF30*Initiatives!$D$30-AF31</f>
        <v>1475109297.15465</v>
      </c>
      <c r="AG32" s="8" t="n">
        <f aca="false">AG30*Initiatives!$D$30-AG31</f>
        <v>1452682657.69733</v>
      </c>
      <c r="AH32" s="8" t="n">
        <f aca="false">AH30*Initiatives!$D$30-AH31</f>
        <v>1430592417.83187</v>
      </c>
      <c r="AI32" s="8" t="n">
        <f aca="false">AI30*Initiatives!$D$30-AI31</f>
        <v>1408833531.56439</v>
      </c>
      <c r="AJ32" s="8" t="n">
        <f aca="false">AJ30*Initiatives!$D$30-AJ31</f>
        <v>1387401028.59092</v>
      </c>
      <c r="AK32" s="8" t="n">
        <f aca="false">AK30*Initiatives!$D$30-AK31</f>
        <v>1366290013.16206</v>
      </c>
      <c r="AL32" s="8" t="n">
        <f aca="false">AL30*Initiatives!$D$30-AL31</f>
        <v>1345495662.96463</v>
      </c>
    </row>
    <row r="33" customFormat="false" ht="15" hidden="false" customHeight="false" outlineLevel="0" collapsed="false">
      <c r="A33" s="4" t="s">
        <v>191</v>
      </c>
      <c r="B33" s="4" t="s">
        <v>192</v>
      </c>
      <c r="C33" s="8" t="n">
        <f aca="false">C25-C29</f>
        <v>0</v>
      </c>
      <c r="D33" s="8" t="n">
        <f aca="false">D25-D29</f>
        <v>-968</v>
      </c>
      <c r="E33" s="8" t="n">
        <f aca="false">E25-E29</f>
        <v>-1921.48</v>
      </c>
      <c r="F33" s="8" t="n">
        <f aca="false">F25-F29</f>
        <v>-10604.6578</v>
      </c>
      <c r="G33" s="8" t="n">
        <f aca="false">G25-G29</f>
        <v>-19157.587933</v>
      </c>
      <c r="H33" s="8" t="n">
        <f aca="false">H25-H29</f>
        <v>-18870.224114005</v>
      </c>
      <c r="I33" s="8" t="n">
        <f aca="false">I25-I29</f>
        <v>-18587.1707522949</v>
      </c>
      <c r="J33" s="8" t="n">
        <f aca="false">J25-J29</f>
        <v>-18308.3631910105</v>
      </c>
      <c r="K33" s="8" t="n">
        <f aca="false">K25-K29</f>
        <v>-18033.7377431453</v>
      </c>
      <c r="L33" s="8" t="n">
        <f aca="false">L25-L29</f>
        <v>-17763.2316769982</v>
      </c>
      <c r="M33" s="8" t="n">
        <f aca="false">M25-M29</f>
        <v>-17496.7832018432</v>
      </c>
      <c r="N33" s="8" t="n">
        <f aca="false">N25-N29</f>
        <v>-17234.3314538155</v>
      </c>
      <c r="O33" s="8" t="n">
        <f aca="false">O25-O29</f>
        <v>-16975.8164820083</v>
      </c>
      <c r="P33" s="8" t="n">
        <f aca="false">P25-P29</f>
        <v>-16721.1792347782</v>
      </c>
      <c r="Q33" s="8" t="n">
        <f aca="false">Q25-Q29</f>
        <v>-16470.3615462565</v>
      </c>
      <c r="R33" s="8" t="n">
        <f aca="false">R25-R29</f>
        <v>-16223.3061230627</v>
      </c>
      <c r="S33" s="8" t="n">
        <f aca="false">S25-S29</f>
        <v>-15979.9565312167</v>
      </c>
      <c r="T33" s="8" t="n">
        <f aca="false">T25-T29</f>
        <v>-15740.2571832485</v>
      </c>
      <c r="U33" s="8" t="n">
        <f aca="false">U25-U29</f>
        <v>-15504.1533254997</v>
      </c>
      <c r="V33" s="8" t="n">
        <f aca="false">V25-V29</f>
        <v>-15271.5910256173</v>
      </c>
      <c r="W33" s="8" t="n">
        <f aca="false">W25-W29</f>
        <v>-15042.517160233</v>
      </c>
      <c r="X33" s="8" t="n">
        <f aca="false">X25-X29</f>
        <v>-14816.8794028295</v>
      </c>
      <c r="Y33" s="8" t="n">
        <f aca="false">Y25-Y29</f>
        <v>-14594.6262117871</v>
      </c>
      <c r="Z33" s="8" t="n">
        <f aca="false">Z25-Z29</f>
        <v>-14375.7068186103</v>
      </c>
      <c r="AA33" s="8" t="n">
        <f aca="false">AA25-AA29</f>
        <v>-14160.0712163311</v>
      </c>
      <c r="AB33" s="8" t="n">
        <f aca="false">AB25-AB29</f>
        <v>-13947.6701480861</v>
      </c>
      <c r="AC33" s="8" t="n">
        <f aca="false">AC25-AC29</f>
        <v>-13738.4550958648</v>
      </c>
      <c r="AD33" s="8" t="n">
        <f aca="false">AD25-AD29</f>
        <v>-13532.3782694269</v>
      </c>
      <c r="AE33" s="8" t="n">
        <f aca="false">AE25-AE29</f>
        <v>-13329.3925953855</v>
      </c>
      <c r="AF33" s="8" t="n">
        <f aca="false">AF25-AF29</f>
        <v>-13129.4517064547</v>
      </c>
      <c r="AG33" s="8" t="n">
        <f aca="false">AG25-AG29</f>
        <v>-12932.5099308579</v>
      </c>
      <c r="AH33" s="8" t="n">
        <f aca="false">AH25-AH29</f>
        <v>-12738.522281895</v>
      </c>
      <c r="AI33" s="8" t="n">
        <f aca="false">AI25-AI29</f>
        <v>-12547.4444476666</v>
      </c>
      <c r="AJ33" s="8" t="n">
        <f aca="false">AJ25-AJ29</f>
        <v>-12359.2327809516</v>
      </c>
      <c r="AK33" s="8" t="n">
        <f aca="false">AK25-AK29</f>
        <v>-12173.8442892373</v>
      </c>
      <c r="AL33" s="8" t="n">
        <f aca="false">AL25-AL29</f>
        <v>-11991.2366248987</v>
      </c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customFormat="false" ht="15" hidden="false" customHeight="false" outlineLevel="0" collapsed="false">
      <c r="A35" s="13" t="s">
        <v>194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</row>
    <row r="36" customFormat="false" ht="15" hidden="false" customHeight="false" outlineLevel="0" collapsed="false">
      <c r="A36" s="4" t="s">
        <v>169</v>
      </c>
      <c r="B36" s="4" t="s">
        <v>170</v>
      </c>
      <c r="C36" s="18" t="n">
        <f aca="false">IF(Initiatives!$E$6="adoption",IF(C$3&lt;Initiatives!$E$31,0,MIN((C$3-Initiatives!$E$31+1)/Initiatives!$E$34,1)),0)</f>
        <v>0</v>
      </c>
      <c r="D36" s="18" t="n">
        <f aca="false">IF(Initiatives!$E$6="adoption",IF(D$3&lt;Initiatives!$E$31,0,MIN((D$3-Initiatives!$E$31+1)/Initiatives!$E$34,1)),0)</f>
        <v>0.5</v>
      </c>
      <c r="E36" s="18" t="n">
        <f aca="false">IF(Initiatives!$E$6="adoption",IF(E$3&lt;Initiatives!$E$31,0,MIN((E$3-Initiatives!$E$31+1)/Initiatives!$E$34,1)),0)</f>
        <v>1</v>
      </c>
      <c r="F36" s="18" t="n">
        <f aca="false">IF(Initiatives!$E$6="adoption",IF(F$3&lt;Initiatives!$E$31,0,MIN((F$3-Initiatives!$E$31+1)/Initiatives!$E$34,1)),0)</f>
        <v>1</v>
      </c>
      <c r="G36" s="18" t="n">
        <f aca="false">IF(Initiatives!$E$6="adoption",IF(G$3&lt;Initiatives!$E$31,0,MIN((G$3-Initiatives!$E$31+1)/Initiatives!$E$34,1)),0)</f>
        <v>1</v>
      </c>
      <c r="H36" s="18" t="n">
        <f aca="false">IF(Initiatives!$E$6="adoption",IF(H$3&lt;Initiatives!$E$31,0,MIN((H$3-Initiatives!$E$31+1)/Initiatives!$E$34,1)),0)</f>
        <v>1</v>
      </c>
      <c r="I36" s="18" t="n">
        <f aca="false">IF(Initiatives!$E$6="adoption",IF(I$3&lt;Initiatives!$E$31,0,MIN((I$3-Initiatives!$E$31+1)/Initiatives!$E$34,1)),0)</f>
        <v>1</v>
      </c>
      <c r="J36" s="18" t="n">
        <f aca="false">IF(Initiatives!$E$6="adoption",IF(J$3&lt;Initiatives!$E$31,0,MIN((J$3-Initiatives!$E$31+1)/Initiatives!$E$34,1)),0)</f>
        <v>1</v>
      </c>
      <c r="K36" s="18" t="n">
        <f aca="false">IF(Initiatives!$E$6="adoption",IF(K$3&lt;Initiatives!$E$31,0,MIN((K$3-Initiatives!$E$31+1)/Initiatives!$E$34,1)),0)</f>
        <v>1</v>
      </c>
      <c r="L36" s="18" t="n">
        <f aca="false">IF(Initiatives!$E$6="adoption",IF(L$3&lt;Initiatives!$E$31,0,MIN((L$3-Initiatives!$E$31+1)/Initiatives!$E$34,1)),0)</f>
        <v>1</v>
      </c>
      <c r="M36" s="18" t="n">
        <f aca="false">IF(Initiatives!$E$6="adoption",IF(M$3&lt;Initiatives!$E$31,0,MIN((M$3-Initiatives!$E$31+1)/Initiatives!$E$34,1)),0)</f>
        <v>1</v>
      </c>
      <c r="N36" s="18" t="n">
        <f aca="false">IF(Initiatives!$E$6="adoption",IF(N$3&lt;Initiatives!$E$31,0,MIN((N$3-Initiatives!$E$31+1)/Initiatives!$E$34,1)),0)</f>
        <v>1</v>
      </c>
      <c r="O36" s="18" t="n">
        <f aca="false">IF(Initiatives!$E$6="adoption",IF(O$3&lt;Initiatives!$E$31,0,MIN((O$3-Initiatives!$E$31+1)/Initiatives!$E$34,1)),0)</f>
        <v>1</v>
      </c>
      <c r="P36" s="18" t="n">
        <f aca="false">IF(Initiatives!$E$6="adoption",IF(P$3&lt;Initiatives!$E$31,0,MIN((P$3-Initiatives!$E$31+1)/Initiatives!$E$34,1)),0)</f>
        <v>1</v>
      </c>
      <c r="Q36" s="18" t="n">
        <f aca="false">IF(Initiatives!$E$6="adoption",IF(Q$3&lt;Initiatives!$E$31,0,MIN((Q$3-Initiatives!$E$31+1)/Initiatives!$E$34,1)),0)</f>
        <v>1</v>
      </c>
      <c r="R36" s="18" t="n">
        <f aca="false">IF(Initiatives!$E$6="adoption",IF(R$3&lt;Initiatives!$E$31,0,MIN((R$3-Initiatives!$E$31+1)/Initiatives!$E$34,1)),0)</f>
        <v>1</v>
      </c>
      <c r="S36" s="18" t="n">
        <f aca="false">IF(Initiatives!$E$6="adoption",IF(S$3&lt;Initiatives!$E$31,0,MIN((S$3-Initiatives!$E$31+1)/Initiatives!$E$34,1)),0)</f>
        <v>1</v>
      </c>
      <c r="T36" s="18" t="n">
        <f aca="false">IF(Initiatives!$E$6="adoption",IF(T$3&lt;Initiatives!$E$31,0,MIN((T$3-Initiatives!$E$31+1)/Initiatives!$E$34,1)),0)</f>
        <v>1</v>
      </c>
      <c r="U36" s="18" t="n">
        <f aca="false">IF(Initiatives!$E$6="adoption",IF(U$3&lt;Initiatives!$E$31,0,MIN((U$3-Initiatives!$E$31+1)/Initiatives!$E$34,1)),0)</f>
        <v>1</v>
      </c>
      <c r="V36" s="18" t="n">
        <f aca="false">IF(Initiatives!$E$6="adoption",IF(V$3&lt;Initiatives!$E$31,0,MIN((V$3-Initiatives!$E$31+1)/Initiatives!$E$34,1)),0)</f>
        <v>1</v>
      </c>
      <c r="W36" s="18" t="n">
        <f aca="false">IF(Initiatives!$E$6="adoption",IF(W$3&lt;Initiatives!$E$31,0,MIN((W$3-Initiatives!$E$31+1)/Initiatives!$E$34,1)),0)</f>
        <v>1</v>
      </c>
      <c r="X36" s="18" t="n">
        <f aca="false">IF(Initiatives!$E$6="adoption",IF(X$3&lt;Initiatives!$E$31,0,MIN((X$3-Initiatives!$E$31+1)/Initiatives!$E$34,1)),0)</f>
        <v>1</v>
      </c>
      <c r="Y36" s="18" t="n">
        <f aca="false">IF(Initiatives!$E$6="adoption",IF(Y$3&lt;Initiatives!$E$31,0,MIN((Y$3-Initiatives!$E$31+1)/Initiatives!$E$34,1)),0)</f>
        <v>1</v>
      </c>
      <c r="Z36" s="18" t="n">
        <f aca="false">IF(Initiatives!$E$6="adoption",IF(Z$3&lt;Initiatives!$E$31,0,MIN((Z$3-Initiatives!$E$31+1)/Initiatives!$E$34,1)),0)</f>
        <v>1</v>
      </c>
      <c r="AA36" s="18" t="n">
        <f aca="false">IF(Initiatives!$E$6="adoption",IF(AA$3&lt;Initiatives!$E$31,0,MIN((AA$3-Initiatives!$E$31+1)/Initiatives!$E$34,1)),0)</f>
        <v>1</v>
      </c>
      <c r="AB36" s="18" t="n">
        <f aca="false">IF(Initiatives!$E$6="adoption",IF(AB$3&lt;Initiatives!$E$31,0,MIN((AB$3-Initiatives!$E$31+1)/Initiatives!$E$34,1)),0)</f>
        <v>1</v>
      </c>
      <c r="AC36" s="18" t="n">
        <f aca="false">IF(Initiatives!$E$6="adoption",IF(AC$3&lt;Initiatives!$E$31,0,MIN((AC$3-Initiatives!$E$31+1)/Initiatives!$E$34,1)),0)</f>
        <v>1</v>
      </c>
      <c r="AD36" s="18" t="n">
        <f aca="false">IF(Initiatives!$E$6="adoption",IF(AD$3&lt;Initiatives!$E$31,0,MIN((AD$3-Initiatives!$E$31+1)/Initiatives!$E$34,1)),0)</f>
        <v>1</v>
      </c>
      <c r="AE36" s="18" t="n">
        <f aca="false">IF(Initiatives!$E$6="adoption",IF(AE$3&lt;Initiatives!$E$31,0,MIN((AE$3-Initiatives!$E$31+1)/Initiatives!$E$34,1)),0)</f>
        <v>1</v>
      </c>
      <c r="AF36" s="18" t="n">
        <f aca="false">IF(Initiatives!$E$6="adoption",IF(AF$3&lt;Initiatives!$E$31,0,MIN((AF$3-Initiatives!$E$31+1)/Initiatives!$E$34,1)),0)</f>
        <v>1</v>
      </c>
      <c r="AG36" s="18" t="n">
        <f aca="false">IF(Initiatives!$E$6="adoption",IF(AG$3&lt;Initiatives!$E$31,0,MIN((AG$3-Initiatives!$E$31+1)/Initiatives!$E$34,1)),0)</f>
        <v>1</v>
      </c>
      <c r="AH36" s="18" t="n">
        <f aca="false">IF(Initiatives!$E$6="adoption",IF(AH$3&lt;Initiatives!$E$31,0,MIN((AH$3-Initiatives!$E$31+1)/Initiatives!$E$34,1)),0)</f>
        <v>1</v>
      </c>
      <c r="AI36" s="18" t="n">
        <f aca="false">IF(Initiatives!$E$6="adoption",IF(AI$3&lt;Initiatives!$E$31,0,MIN((AI$3-Initiatives!$E$31+1)/Initiatives!$E$34,1)),0)</f>
        <v>1</v>
      </c>
      <c r="AJ36" s="18" t="n">
        <f aca="false">IF(Initiatives!$E$6="adoption",IF(AJ$3&lt;Initiatives!$E$31,0,MIN((AJ$3-Initiatives!$E$31+1)/Initiatives!$E$34,1)),0)</f>
        <v>1</v>
      </c>
      <c r="AK36" s="18" t="n">
        <f aca="false">IF(Initiatives!$E$6="adoption",IF(AK$3&lt;Initiatives!$E$31,0,MIN((AK$3-Initiatives!$E$31+1)/Initiatives!$E$34,1)),0)</f>
        <v>1</v>
      </c>
      <c r="AL36" s="18" t="n">
        <f aca="false">IF(Initiatives!$E$6="adoption",IF(AL$3&lt;Initiatives!$E$31,0,MIN((AL$3-Initiatives!$E$31+1)/Initiatives!$E$34,1)),0)</f>
        <v>1</v>
      </c>
    </row>
    <row r="37" customFormat="false" ht="15" hidden="false" customHeight="false" outlineLevel="0" collapsed="false">
      <c r="A37" s="4" t="s">
        <v>171</v>
      </c>
      <c r="B37" s="4" t="s">
        <v>172</v>
      </c>
      <c r="C37" s="8" t="n">
        <f aca="false">Initiatives!$E$40*C36</f>
        <v>0</v>
      </c>
      <c r="D37" s="8" t="n">
        <f aca="false">Initiatives!$E$40*D36</f>
        <v>15681.6</v>
      </c>
      <c r="E37" s="8" t="n">
        <f aca="false">Initiatives!$E$40*E36</f>
        <v>31363.2</v>
      </c>
      <c r="F37" s="8" t="n">
        <f aca="false">Initiatives!$E$40*F36</f>
        <v>31363.2</v>
      </c>
      <c r="G37" s="8" t="n">
        <f aca="false">Initiatives!$E$40*G36</f>
        <v>31363.2</v>
      </c>
      <c r="H37" s="8" t="n">
        <f aca="false">Initiatives!$E$40*H36</f>
        <v>31363.2</v>
      </c>
      <c r="I37" s="8" t="n">
        <f aca="false">Initiatives!$E$40*I36</f>
        <v>31363.2</v>
      </c>
      <c r="J37" s="8" t="n">
        <f aca="false">Initiatives!$E$40*J36</f>
        <v>31363.2</v>
      </c>
      <c r="K37" s="8" t="n">
        <f aca="false">Initiatives!$E$40*K36</f>
        <v>31363.2</v>
      </c>
      <c r="L37" s="8" t="n">
        <f aca="false">Initiatives!$E$40*L36</f>
        <v>31363.2</v>
      </c>
      <c r="M37" s="8" t="n">
        <f aca="false">Initiatives!$E$40*M36</f>
        <v>31363.2</v>
      </c>
      <c r="N37" s="8" t="n">
        <f aca="false">Initiatives!$E$40*N36</f>
        <v>31363.2</v>
      </c>
      <c r="O37" s="8" t="n">
        <f aca="false">Initiatives!$E$40*O36</f>
        <v>31363.2</v>
      </c>
      <c r="P37" s="8" t="n">
        <f aca="false">Initiatives!$E$40*P36</f>
        <v>31363.2</v>
      </c>
      <c r="Q37" s="8" t="n">
        <f aca="false">Initiatives!$E$40*Q36</f>
        <v>31363.2</v>
      </c>
      <c r="R37" s="8" t="n">
        <f aca="false">Initiatives!$E$40*R36</f>
        <v>31363.2</v>
      </c>
      <c r="S37" s="8" t="n">
        <f aca="false">Initiatives!$E$40*S36</f>
        <v>31363.2</v>
      </c>
      <c r="T37" s="8" t="n">
        <f aca="false">Initiatives!$E$40*T36</f>
        <v>31363.2</v>
      </c>
      <c r="U37" s="8" t="n">
        <f aca="false">Initiatives!$E$40*U36</f>
        <v>31363.2</v>
      </c>
      <c r="V37" s="8" t="n">
        <f aca="false">Initiatives!$E$40*V36</f>
        <v>31363.2</v>
      </c>
      <c r="W37" s="8" t="n">
        <f aca="false">Initiatives!$E$40*W36</f>
        <v>31363.2</v>
      </c>
      <c r="X37" s="8" t="n">
        <f aca="false">Initiatives!$E$40*X36</f>
        <v>31363.2</v>
      </c>
      <c r="Y37" s="8" t="n">
        <f aca="false">Initiatives!$E$40*Y36</f>
        <v>31363.2</v>
      </c>
      <c r="Z37" s="8" t="n">
        <f aca="false">Initiatives!$E$40*Z36</f>
        <v>31363.2</v>
      </c>
      <c r="AA37" s="8" t="n">
        <f aca="false">Initiatives!$E$40*AA36</f>
        <v>31363.2</v>
      </c>
      <c r="AB37" s="8" t="n">
        <f aca="false">Initiatives!$E$40*AB36</f>
        <v>31363.2</v>
      </c>
      <c r="AC37" s="8" t="n">
        <f aca="false">Initiatives!$E$40*AC36</f>
        <v>31363.2</v>
      </c>
      <c r="AD37" s="8" t="n">
        <f aca="false">Initiatives!$E$40*AD36</f>
        <v>31363.2</v>
      </c>
      <c r="AE37" s="8" t="n">
        <f aca="false">Initiatives!$E$40*AE36</f>
        <v>31363.2</v>
      </c>
      <c r="AF37" s="8" t="n">
        <f aca="false">Initiatives!$E$40*AF36</f>
        <v>31363.2</v>
      </c>
      <c r="AG37" s="8" t="n">
        <f aca="false">Initiatives!$E$40*AG36</f>
        <v>31363.2</v>
      </c>
      <c r="AH37" s="8" t="n">
        <f aca="false">Initiatives!$E$40*AH36</f>
        <v>31363.2</v>
      </c>
      <c r="AI37" s="8" t="n">
        <f aca="false">Initiatives!$E$40*AI36</f>
        <v>31363.2</v>
      </c>
      <c r="AJ37" s="8" t="n">
        <f aca="false">Initiatives!$E$40*AJ36</f>
        <v>31363.2</v>
      </c>
      <c r="AK37" s="8" t="n">
        <f aca="false">Initiatives!$E$40*AK36</f>
        <v>31363.2</v>
      </c>
      <c r="AL37" s="8" t="n">
        <f aca="false">Initiatives!$E$40*AL36</f>
        <v>31363.2</v>
      </c>
    </row>
    <row r="38" customFormat="false" ht="15" hidden="false" customHeight="false" outlineLevel="0" collapsed="false">
      <c r="A38" s="4" t="s">
        <v>173</v>
      </c>
      <c r="B38" s="4" t="s">
        <v>174</v>
      </c>
      <c r="C38" s="8" t="n">
        <f aca="false">MAX(C37-N(B37),0)</f>
        <v>0</v>
      </c>
      <c r="D38" s="8" t="n">
        <f aca="false">MAX(D37-N(C37),0)</f>
        <v>15681.6</v>
      </c>
      <c r="E38" s="8" t="n">
        <f aca="false">MAX(E37-N(D37),0)</f>
        <v>15681.6</v>
      </c>
      <c r="F38" s="8" t="n">
        <f aca="false">MAX(F37-N(E37),0)</f>
        <v>0</v>
      </c>
      <c r="G38" s="8" t="n">
        <f aca="false">MAX(G37-N(F37),0)</f>
        <v>0</v>
      </c>
      <c r="H38" s="8" t="n">
        <f aca="false">MAX(H37-N(G37),0)</f>
        <v>0</v>
      </c>
      <c r="I38" s="8" t="n">
        <f aca="false">MAX(I37-N(H37),0)</f>
        <v>0</v>
      </c>
      <c r="J38" s="8" t="n">
        <f aca="false">MAX(J37-N(I37),0)</f>
        <v>0</v>
      </c>
      <c r="K38" s="8" t="n">
        <f aca="false">MAX(K37-N(J37),0)</f>
        <v>0</v>
      </c>
      <c r="L38" s="8" t="n">
        <f aca="false">MAX(L37-N(K37),0)</f>
        <v>0</v>
      </c>
      <c r="M38" s="8" t="n">
        <f aca="false">MAX(M37-N(L37),0)</f>
        <v>0</v>
      </c>
      <c r="N38" s="8" t="n">
        <f aca="false">MAX(N37-N(M37),0)</f>
        <v>0</v>
      </c>
      <c r="O38" s="8" t="n">
        <f aca="false">MAX(O37-N(N37),0)</f>
        <v>0</v>
      </c>
      <c r="P38" s="8" t="n">
        <f aca="false">MAX(P37-N(O37),0)</f>
        <v>0</v>
      </c>
      <c r="Q38" s="8" t="n">
        <f aca="false">MAX(Q37-N(P37),0)</f>
        <v>0</v>
      </c>
      <c r="R38" s="8" t="n">
        <f aca="false">MAX(R37-N(Q37),0)</f>
        <v>0</v>
      </c>
      <c r="S38" s="8" t="n">
        <f aca="false">MAX(S37-N(R37),0)</f>
        <v>0</v>
      </c>
      <c r="T38" s="8" t="n">
        <f aca="false">MAX(T37-N(S37),0)</f>
        <v>0</v>
      </c>
      <c r="U38" s="8" t="n">
        <f aca="false">MAX(U37-N(T37),0)</f>
        <v>0</v>
      </c>
      <c r="V38" s="8" t="n">
        <f aca="false">MAX(V37-N(U37),0)</f>
        <v>0</v>
      </c>
      <c r="W38" s="8" t="n">
        <f aca="false">MAX(W37-N(V37),0)</f>
        <v>0</v>
      </c>
      <c r="X38" s="8" t="n">
        <f aca="false">MAX(X37-N(W37),0)</f>
        <v>0</v>
      </c>
      <c r="Y38" s="8" t="n">
        <f aca="false">MAX(Y37-N(X37),0)</f>
        <v>0</v>
      </c>
      <c r="Z38" s="8" t="n">
        <f aca="false">MAX(Z37-N(Y37),0)</f>
        <v>0</v>
      </c>
      <c r="AA38" s="8" t="n">
        <f aca="false">MAX(AA37-N(Z37),0)</f>
        <v>0</v>
      </c>
      <c r="AB38" s="8" t="n">
        <f aca="false">MAX(AB37-N(AA37),0)</f>
        <v>0</v>
      </c>
      <c r="AC38" s="8" t="n">
        <f aca="false">MAX(AC37-N(AB37),0)</f>
        <v>0</v>
      </c>
      <c r="AD38" s="8" t="n">
        <f aca="false">MAX(AD37-N(AC37),0)</f>
        <v>0</v>
      </c>
      <c r="AE38" s="8" t="n">
        <f aca="false">MAX(AE37-N(AD37),0)</f>
        <v>0</v>
      </c>
      <c r="AF38" s="8" t="n">
        <f aca="false">MAX(AF37-N(AE37),0)</f>
        <v>0</v>
      </c>
      <c r="AG38" s="8" t="n">
        <f aca="false">MAX(AG37-N(AF37),0)</f>
        <v>0</v>
      </c>
      <c r="AH38" s="8" t="n">
        <f aca="false">MAX(AH37-N(AG37),0)</f>
        <v>0</v>
      </c>
      <c r="AI38" s="8" t="n">
        <f aca="false">MAX(AI37-N(AH37),0)</f>
        <v>0</v>
      </c>
      <c r="AJ38" s="8" t="n">
        <f aca="false">MAX(AJ37-N(AI37),0)</f>
        <v>0</v>
      </c>
      <c r="AK38" s="8" t="n">
        <f aca="false">MAX(AK37-N(AJ37),0)</f>
        <v>0</v>
      </c>
      <c r="AL38" s="8" t="n">
        <f aca="false">MAX(AL37-N(AK37),0)</f>
        <v>0</v>
      </c>
    </row>
    <row r="39" customFormat="false" ht="15" hidden="false" customHeight="false" outlineLevel="0" collapsed="false">
      <c r="A39" s="4" t="s">
        <v>175</v>
      </c>
      <c r="B39" s="4" t="s">
        <v>176</v>
      </c>
      <c r="C39" s="8" t="n">
        <f aca="false">IF(Initiatives!$E$6="adoption",N(B39)*(1-Inputs!$C$9)+N(B40)*Inputs!$C$9*Initiatives!$E$24,0)</f>
        <v>0</v>
      </c>
      <c r="D39" s="8" t="n">
        <f aca="false">IF(Initiatives!$E$6="adoption",N(C39)*(1-Inputs!$C$9)+N(C40)*Inputs!$C$9*Initiatives!$E$24,0)</f>
        <v>0</v>
      </c>
      <c r="E39" s="8" t="n">
        <f aca="false">IF(Initiatives!$E$6="adoption",N(D39)*(1-Inputs!$C$9)+N(D40)*Inputs!$C$9*Initiatives!$E$24,0)</f>
        <v>11.7612</v>
      </c>
      <c r="F39" s="8" t="n">
        <f aca="false">IF(Initiatives!$E$6="adoption",N(E39)*(1-Inputs!$C$9)+N(E40)*Inputs!$C$9*Initiatives!$E$24,0)</f>
        <v>34.9395849</v>
      </c>
      <c r="G39" s="8" t="n">
        <f aca="false">IF(Initiatives!$E$6="adoption",N(F39)*(1-Inputs!$C$9)+N(F40)*Inputs!$C$9*Initiatives!$E$24,0)</f>
        <v>57.437488085175</v>
      </c>
      <c r="H39" s="8" t="n">
        <f aca="false">IF(Initiatives!$E$6="adoption",N(G39)*(1-Inputs!$C$9)+N(G40)*Inputs!$C$9*Initiatives!$E$24,0)</f>
        <v>79.2698592659113</v>
      </c>
      <c r="I39" s="8" t="n">
        <f aca="false">IF(Initiatives!$E$6="adoption",N(H39)*(1-Inputs!$C$9)+N(H40)*Inputs!$C$9*Initiatives!$E$24,0)</f>
        <v>100.451356326533</v>
      </c>
      <c r="J39" s="8" t="n">
        <f aca="false">IF(Initiatives!$E$6="adoption",N(I39)*(1-Inputs!$C$9)+N(I40)*Inputs!$C$9*Initiatives!$E$24,0)</f>
        <v>120.996350665713</v>
      </c>
      <c r="K39" s="8" t="n">
        <f aca="false">IF(Initiatives!$E$6="adoption",N(J39)*(1-Inputs!$C$9)+N(J40)*Inputs!$C$9*Initiatives!$E$24,0)</f>
        <v>140.918932443057</v>
      </c>
      <c r="L39" s="8" t="n">
        <f aca="false">IF(Initiatives!$E$6="adoption",N(K39)*(1-Inputs!$C$9)+N(K40)*Inputs!$C$9*Initiatives!$E$24,0)</f>
        <v>160.23291573346</v>
      </c>
      <c r="M39" s="8" t="n">
        <f aca="false">IF(Initiatives!$E$6="adoption",N(L39)*(1-Inputs!$C$9)+N(L40)*Inputs!$C$9*Initiatives!$E$24,0)</f>
        <v>178.951843590808</v>
      </c>
      <c r="N39" s="8" t="n">
        <f aca="false">IF(Initiatives!$E$6="adoption",N(M39)*(1-Inputs!$C$9)+N(M40)*Inputs!$C$9*Initiatives!$E$24,0)</f>
        <v>197.088993022591</v>
      </c>
      <c r="O39" s="8" t="n">
        <f aca="false">IF(Initiatives!$E$6="adoption",N(N39)*(1-Inputs!$C$9)+N(N40)*Inputs!$C$9*Initiatives!$E$24,0)</f>
        <v>214.657379876927</v>
      </c>
      <c r="P39" s="8" t="n">
        <f aca="false">IF(Initiatives!$E$6="adoption",N(O39)*(1-Inputs!$C$9)+N(O40)*Inputs!$C$9*Initiatives!$E$24,0)</f>
        <v>231.669763643514</v>
      </c>
      <c r="Q39" s="8" t="n">
        <f aca="false">IF(Initiatives!$E$6="adoption",N(P39)*(1-Inputs!$C$9)+N(P40)*Inputs!$C$9*Initiatives!$E$24,0)</f>
        <v>248.138652169981</v>
      </c>
      <c r="R39" s="8" t="n">
        <f aca="false">IF(Initiatives!$E$6="adoption",N(Q39)*(1-Inputs!$C$9)+N(Q40)*Inputs!$C$9*Initiatives!$E$24,0)</f>
        <v>264.076306295069</v>
      </c>
      <c r="S39" s="8" t="n">
        <f aca="false">IF(Initiatives!$E$6="adoption",N(R39)*(1-Inputs!$C$9)+N(R40)*Inputs!$C$9*Initiatives!$E$24,0)</f>
        <v>279.494744400098</v>
      </c>
      <c r="T39" s="8" t="n">
        <f aca="false">IF(Initiatives!$E$6="adoption",N(S39)*(1-Inputs!$C$9)+N(S40)*Inputs!$C$9*Initiatives!$E$24,0)</f>
        <v>294.405746880083</v>
      </c>
      <c r="U39" s="8" t="n">
        <f aca="false">IF(Initiatives!$E$6="adoption",N(T39)*(1-Inputs!$C$9)+N(T40)*Inputs!$C$9*Initiatives!$E$24,0)</f>
        <v>308.820860535914</v>
      </c>
      <c r="V39" s="8" t="n">
        <f aca="false">IF(Initiatives!$E$6="adoption",N(U39)*(1-Inputs!$C$9)+N(U40)*Inputs!$C$9*Initiatives!$E$24,0)</f>
        <v>322.751402888916</v>
      </c>
      <c r="W39" s="8" t="n">
        <f aca="false">IF(Initiatives!$E$6="adoption",N(V39)*(1-Inputs!$C$9)+N(V40)*Inputs!$C$9*Initiatives!$E$24,0)</f>
        <v>336.208466419153</v>
      </c>
      <c r="X39" s="8" t="n">
        <f aca="false">IF(Initiatives!$E$6="adoption",N(W39)*(1-Inputs!$C$9)+N(W40)*Inputs!$C$9*Initiatives!$E$24,0)</f>
        <v>349.202922728763</v>
      </c>
      <c r="Y39" s="8" t="n">
        <f aca="false">IF(Initiatives!$E$6="adoption",N(X39)*(1-Inputs!$C$9)+N(X40)*Inputs!$C$9*Initiatives!$E$24,0)</f>
        <v>361.74542663162</v>
      </c>
      <c r="Z39" s="8" t="n">
        <f aca="false">IF(Initiatives!$E$6="adoption",N(Y39)*(1-Inputs!$C$9)+N(Y40)*Inputs!$C$9*Initiatives!$E$24,0)</f>
        <v>373.846420170585</v>
      </c>
      <c r="AA39" s="8" t="n">
        <f aca="false">IF(Initiatives!$E$6="adoption",N(Z39)*(1-Inputs!$C$9)+N(Z40)*Inputs!$C$9*Initiatives!$E$24,0)</f>
        <v>385.516136563593</v>
      </c>
      <c r="AB39" s="8" t="n">
        <f aca="false">IF(Initiatives!$E$6="adoption",N(AA39)*(1-Inputs!$C$9)+N(AA40)*Inputs!$C$9*Initiatives!$E$24,0)</f>
        <v>396.764604079793</v>
      </c>
      <c r="AC39" s="8" t="n">
        <f aca="false">IF(Initiatives!$E$6="adoption",N(AB39)*(1-Inputs!$C$9)+N(AB40)*Inputs!$C$9*Initiatives!$E$24,0)</f>
        <v>407.601649846955</v>
      </c>
      <c r="AD39" s="8" t="n">
        <f aca="false">IF(Initiatives!$E$6="adoption",N(AC39)*(1-Inputs!$C$9)+N(AC40)*Inputs!$C$9*Initiatives!$E$24,0)</f>
        <v>418.036903591305</v>
      </c>
      <c r="AE39" s="8" t="n">
        <f aca="false">IF(Initiatives!$E$6="adoption",N(AD39)*(1-Inputs!$C$9)+N(AD40)*Inputs!$C$9*Initiatives!$E$24,0)</f>
        <v>428.079801310978</v>
      </c>
      <c r="AF39" s="8" t="n">
        <f aca="false">IF(Initiatives!$E$6="adoption",N(AE39)*(1-Inputs!$C$9)+N(AE40)*Inputs!$C$9*Initiatives!$E$24,0)</f>
        <v>437.739588884208</v>
      </c>
      <c r="AG39" s="8" t="n">
        <f aca="false">IF(Initiatives!$E$6="adoption",N(AF39)*(1-Inputs!$C$9)+N(AF40)*Inputs!$C$9*Initiatives!$E$24,0)</f>
        <v>447.025325613391</v>
      </c>
      <c r="AH39" s="8" t="n">
        <f aca="false">IF(Initiatives!$E$6="adoption",N(AG39)*(1-Inputs!$C$9)+N(AG40)*Inputs!$C$9*Initiatives!$E$24,0)</f>
        <v>455.945887706121</v>
      </c>
      <c r="AI39" s="8" t="n">
        <f aca="false">IF(Initiatives!$E$6="adoption",N(AH39)*(1-Inputs!$C$9)+N(AH40)*Inputs!$C$9*Initiatives!$E$24,0)</f>
        <v>464.509971694289</v>
      </c>
      <c r="AJ39" s="8" t="n">
        <f aca="false">IF(Initiatives!$E$6="adoption",N(AI39)*(1-Inputs!$C$9)+N(AI40)*Inputs!$C$9*Initiatives!$E$24,0)</f>
        <v>472.726097792305</v>
      </c>
      <c r="AK39" s="8" t="n">
        <f aca="false">IF(Initiatives!$E$6="adoption",N(AJ39)*(1-Inputs!$C$9)+N(AJ40)*Inputs!$C$9*Initiatives!$E$24,0)</f>
        <v>480.602613195506</v>
      </c>
      <c r="AL39" s="8" t="n">
        <f aca="false">IF(Initiatives!$E$6="adoption",N(AK39)*(1-Inputs!$C$9)+N(AK40)*Inputs!$C$9*Initiatives!$E$24,0)</f>
        <v>488.147695319759</v>
      </c>
    </row>
    <row r="40" customFormat="false" ht="15" hidden="false" customHeight="false" outlineLevel="0" collapsed="false">
      <c r="A40" s="4" t="s">
        <v>177</v>
      </c>
      <c r="B40" s="4" t="s">
        <v>178</v>
      </c>
      <c r="C40" s="8" t="n">
        <f aca="false">N(B40)*(1-Inputs!$C$9*(1-Initiatives!$E$24))+C38</f>
        <v>0</v>
      </c>
      <c r="D40" s="8" t="n">
        <f aca="false">N(C40)*(1-Inputs!$C$9*(1-Initiatives!$E$24))+D38</f>
        <v>15681.6</v>
      </c>
      <c r="E40" s="8" t="n">
        <f aca="false">N(D40)*(1-Inputs!$C$9*(1-Initiatives!$E$24))+E38</f>
        <v>31139.7372</v>
      </c>
      <c r="F40" s="8" t="n">
        <f aca="false">N(E40)*(1-Inputs!$C$9*(1-Initiatives!$E$24))+F38</f>
        <v>30695.9959449</v>
      </c>
      <c r="G40" s="8" t="n">
        <f aca="false">N(F40)*(1-Inputs!$C$9*(1-Initiatives!$E$24))+G38</f>
        <v>30258.5780026852</v>
      </c>
      <c r="H40" s="8" t="n">
        <f aca="false">N(G40)*(1-Inputs!$C$9*(1-Initiatives!$E$24))+H38</f>
        <v>29827.3932661469</v>
      </c>
      <c r="I40" s="8" t="n">
        <f aca="false">N(H40)*(1-Inputs!$C$9*(1-Initiatives!$E$24))+I38</f>
        <v>29402.3529121043</v>
      </c>
      <c r="J40" s="8" t="n">
        <f aca="false">N(I40)*(1-Inputs!$C$9*(1-Initiatives!$E$24))+J38</f>
        <v>28983.3693831068</v>
      </c>
      <c r="K40" s="8" t="n">
        <f aca="false">N(J40)*(1-Inputs!$C$9*(1-Initiatives!$E$24))+K38</f>
        <v>28570.3563693976</v>
      </c>
      <c r="L40" s="8" t="n">
        <f aca="false">N(K40)*(1-Inputs!$C$9*(1-Initiatives!$E$24))+L38</f>
        <v>28163.2287911337</v>
      </c>
      <c r="M40" s="8" t="n">
        <f aca="false">N(L40)*(1-Inputs!$C$9*(1-Initiatives!$E$24))+M38</f>
        <v>27761.90278086</v>
      </c>
      <c r="N40" s="8" t="n">
        <f aca="false">N(M40)*(1-Inputs!$C$9*(1-Initiatives!$E$24))+N38</f>
        <v>27366.2956662327</v>
      </c>
      <c r="O40" s="8" t="n">
        <f aca="false">N(N40)*(1-Inputs!$C$9*(1-Initiatives!$E$24))+O38</f>
        <v>26976.3259529889</v>
      </c>
      <c r="P40" s="8" t="n">
        <f aca="false">N(O40)*(1-Inputs!$C$9*(1-Initiatives!$E$24))+P38</f>
        <v>26591.9133081588</v>
      </c>
      <c r="Q40" s="8" t="n">
        <f aca="false">N(P40)*(1-Inputs!$C$9*(1-Initiatives!$E$24))+Q38</f>
        <v>26212.9785435176</v>
      </c>
      <c r="R40" s="8" t="n">
        <f aca="false">N(Q40)*(1-Inputs!$C$9*(1-Initiatives!$E$24))+R38</f>
        <v>25839.4435992724</v>
      </c>
      <c r="S40" s="8" t="n">
        <f aca="false">N(R40)*(1-Inputs!$C$9*(1-Initiatives!$E$24))+S38</f>
        <v>25471.2315279828</v>
      </c>
      <c r="T40" s="8" t="n">
        <f aca="false">N(S40)*(1-Inputs!$C$9*(1-Initiatives!$E$24))+T38</f>
        <v>25108.2664787091</v>
      </c>
      <c r="U40" s="8" t="n">
        <f aca="false">N(T40)*(1-Inputs!$C$9*(1-Initiatives!$E$24))+U38</f>
        <v>24750.4736813875</v>
      </c>
      <c r="V40" s="8" t="n">
        <f aca="false">N(U40)*(1-Inputs!$C$9*(1-Initiatives!$E$24))+V38</f>
        <v>24397.7794314277</v>
      </c>
      <c r="W40" s="8" t="n">
        <f aca="false">N(V40)*(1-Inputs!$C$9*(1-Initiatives!$E$24))+W38</f>
        <v>24050.1110745298</v>
      </c>
      <c r="X40" s="8" t="n">
        <f aca="false">N(W40)*(1-Inputs!$C$9*(1-Initiatives!$E$24))+X38</f>
        <v>23707.3969917178</v>
      </c>
      <c r="Y40" s="8" t="n">
        <f aca="false">N(X40)*(1-Inputs!$C$9*(1-Initiatives!$E$24))+Y38</f>
        <v>23369.5665845858</v>
      </c>
      <c r="Z40" s="8" t="n">
        <f aca="false">N(Y40)*(1-Inputs!$C$9*(1-Initiatives!$E$24))+Z38</f>
        <v>23036.5502607555</v>
      </c>
      <c r="AA40" s="8" t="n">
        <f aca="false">N(Z40)*(1-Inputs!$C$9*(1-Initiatives!$E$24))+AA38</f>
        <v>22708.2794195397</v>
      </c>
      <c r="AB40" s="8" t="n">
        <f aca="false">N(AA40)*(1-Inputs!$C$9*(1-Initiatives!$E$24))+AB38</f>
        <v>22384.6864378113</v>
      </c>
      <c r="AC40" s="8" t="n">
        <f aca="false">N(AB40)*(1-Inputs!$C$9*(1-Initiatives!$E$24))+AC38</f>
        <v>22065.7046560724</v>
      </c>
      <c r="AD40" s="8" t="n">
        <f aca="false">N(AC40)*(1-Inputs!$C$9*(1-Initiatives!$E$24))+AD38</f>
        <v>21751.2683647234</v>
      </c>
      <c r="AE40" s="8" t="n">
        <f aca="false">N(AD40)*(1-Inputs!$C$9*(1-Initiatives!$E$24))+AE38</f>
        <v>21441.3127905261</v>
      </c>
      <c r="AF40" s="8" t="n">
        <f aca="false">N(AE40)*(1-Inputs!$C$9*(1-Initiatives!$E$24))+AF38</f>
        <v>21135.7740832611</v>
      </c>
      <c r="AG40" s="8" t="n">
        <f aca="false">N(AF40)*(1-Inputs!$C$9*(1-Initiatives!$E$24))+AG38</f>
        <v>20834.5893025746</v>
      </c>
      <c r="AH40" s="8" t="n">
        <f aca="false">N(AG40)*(1-Inputs!$C$9*(1-Initiatives!$E$24))+AH38</f>
        <v>20537.6964050129</v>
      </c>
      <c r="AI40" s="8" t="n">
        <f aca="false">N(AH40)*(1-Inputs!$C$9*(1-Initiatives!$E$24))+AI38</f>
        <v>20245.0342312415</v>
      </c>
      <c r="AJ40" s="8" t="n">
        <f aca="false">N(AI40)*(1-Inputs!$C$9*(1-Initiatives!$E$24))+AJ38</f>
        <v>19956.5424934463</v>
      </c>
      <c r="AK40" s="8" t="n">
        <f aca="false">N(AJ40)*(1-Inputs!$C$9*(1-Initiatives!$E$24))+AK38</f>
        <v>19672.1617629147</v>
      </c>
      <c r="AL40" s="8" t="n">
        <f aca="false">N(AK40)*(1-Inputs!$C$9*(1-Initiatives!$E$24))+AL38</f>
        <v>19391.8334577932</v>
      </c>
    </row>
    <row r="41" customFormat="false" ht="15" hidden="false" customHeight="false" outlineLevel="0" collapsed="false">
      <c r="A41" s="4" t="s">
        <v>179</v>
      </c>
      <c r="B41" s="4" t="s">
        <v>180</v>
      </c>
      <c r="C41" s="8" t="n">
        <f aca="false">IF(Initiatives!$E$6="adoption",0,IF(C$3&gt;=Initiatives!$E$31,Initiatives!$E$32*(1-Inputs!$C$9)^(C$3-Initiatives!$E$31),0)+IF(C$3&gt;=Initiatives!$E$33,(1-Initiatives!$E$32)*(1-Inputs!$C$9)^(C$3-Initiatives!$E$33),0))</f>
        <v>0</v>
      </c>
      <c r="D41" s="8" t="n">
        <f aca="false">IF(Initiatives!$E$6="adoption",0,IF(D$3&gt;=Initiatives!$E$31,Initiatives!$E$32*(1-Inputs!$C$9)^(D$3-Initiatives!$E$31),0)+IF(D$3&gt;=Initiatives!$E$33,(1-Initiatives!$E$32)*(1-Inputs!$C$9)^(D$3-Initiatives!$E$33),0))</f>
        <v>0</v>
      </c>
      <c r="E41" s="8" t="n">
        <f aca="false">IF(Initiatives!$E$6="adoption",0,IF(E$3&gt;=Initiatives!$E$31,Initiatives!$E$32*(1-Inputs!$C$9)^(E$3-Initiatives!$E$31),0)+IF(E$3&gt;=Initiatives!$E$33,(1-Initiatives!$E$32)*(1-Inputs!$C$9)^(E$3-Initiatives!$E$33),0))</f>
        <v>0</v>
      </c>
      <c r="F41" s="8" t="n">
        <f aca="false">IF(Initiatives!$E$6="adoption",0,IF(F$3&gt;=Initiatives!$E$31,Initiatives!$E$32*(1-Inputs!$C$9)^(F$3-Initiatives!$E$31),0)+IF(F$3&gt;=Initiatives!$E$33,(1-Initiatives!$E$32)*(1-Inputs!$C$9)^(F$3-Initiatives!$E$33),0))</f>
        <v>0</v>
      </c>
      <c r="G41" s="8" t="n">
        <f aca="false">IF(Initiatives!$E$6="adoption",0,IF(G$3&gt;=Initiatives!$E$31,Initiatives!$E$32*(1-Inputs!$C$9)^(G$3-Initiatives!$E$31),0)+IF(G$3&gt;=Initiatives!$E$33,(1-Initiatives!$E$32)*(1-Inputs!$C$9)^(G$3-Initiatives!$E$33),0))</f>
        <v>0</v>
      </c>
      <c r="H41" s="8" t="n">
        <f aca="false">IF(Initiatives!$E$6="adoption",0,IF(H$3&gt;=Initiatives!$E$31,Initiatives!$E$32*(1-Inputs!$C$9)^(H$3-Initiatives!$E$31),0)+IF(H$3&gt;=Initiatives!$E$33,(1-Initiatives!$E$32)*(1-Inputs!$C$9)^(H$3-Initiatives!$E$33),0))</f>
        <v>0</v>
      </c>
      <c r="I41" s="8" t="n">
        <f aca="false">IF(Initiatives!$E$6="adoption",0,IF(I$3&gt;=Initiatives!$E$31,Initiatives!$E$32*(1-Inputs!$C$9)^(I$3-Initiatives!$E$31),0)+IF(I$3&gt;=Initiatives!$E$33,(1-Initiatives!$E$32)*(1-Inputs!$C$9)^(I$3-Initiatives!$E$33),0))</f>
        <v>0</v>
      </c>
      <c r="J41" s="8" t="n">
        <f aca="false">IF(Initiatives!$E$6="adoption",0,IF(J$3&gt;=Initiatives!$E$31,Initiatives!$E$32*(1-Inputs!$C$9)^(J$3-Initiatives!$E$31),0)+IF(J$3&gt;=Initiatives!$E$33,(1-Initiatives!$E$32)*(1-Inputs!$C$9)^(J$3-Initiatives!$E$33),0))</f>
        <v>0</v>
      </c>
      <c r="K41" s="8" t="n">
        <f aca="false">IF(Initiatives!$E$6="adoption",0,IF(K$3&gt;=Initiatives!$E$31,Initiatives!$E$32*(1-Inputs!$C$9)^(K$3-Initiatives!$E$31),0)+IF(K$3&gt;=Initiatives!$E$33,(1-Initiatives!$E$32)*(1-Inputs!$C$9)^(K$3-Initiatives!$E$33),0))</f>
        <v>0</v>
      </c>
      <c r="L41" s="8" t="n">
        <f aca="false">IF(Initiatives!$E$6="adoption",0,IF(L$3&gt;=Initiatives!$E$31,Initiatives!$E$32*(1-Inputs!$C$9)^(L$3-Initiatives!$E$31),0)+IF(L$3&gt;=Initiatives!$E$33,(1-Initiatives!$E$32)*(1-Inputs!$C$9)^(L$3-Initiatives!$E$33),0))</f>
        <v>0</v>
      </c>
      <c r="M41" s="8" t="n">
        <f aca="false">IF(Initiatives!$E$6="adoption",0,IF(M$3&gt;=Initiatives!$E$31,Initiatives!$E$32*(1-Inputs!$C$9)^(M$3-Initiatives!$E$31),0)+IF(M$3&gt;=Initiatives!$E$33,(1-Initiatives!$E$32)*(1-Inputs!$C$9)^(M$3-Initiatives!$E$33),0))</f>
        <v>0</v>
      </c>
      <c r="N41" s="8" t="n">
        <f aca="false">IF(Initiatives!$E$6="adoption",0,IF(N$3&gt;=Initiatives!$E$31,Initiatives!$E$32*(1-Inputs!$C$9)^(N$3-Initiatives!$E$31),0)+IF(N$3&gt;=Initiatives!$E$33,(1-Initiatives!$E$32)*(1-Inputs!$C$9)^(N$3-Initiatives!$E$33),0))</f>
        <v>0</v>
      </c>
      <c r="O41" s="8" t="n">
        <f aca="false">IF(Initiatives!$E$6="adoption",0,IF(O$3&gt;=Initiatives!$E$31,Initiatives!$E$32*(1-Inputs!$C$9)^(O$3-Initiatives!$E$31),0)+IF(O$3&gt;=Initiatives!$E$33,(1-Initiatives!$E$32)*(1-Inputs!$C$9)^(O$3-Initiatives!$E$33),0))</f>
        <v>0</v>
      </c>
      <c r="P41" s="8" t="n">
        <f aca="false">IF(Initiatives!$E$6="adoption",0,IF(P$3&gt;=Initiatives!$E$31,Initiatives!$E$32*(1-Inputs!$C$9)^(P$3-Initiatives!$E$31),0)+IF(P$3&gt;=Initiatives!$E$33,(1-Initiatives!$E$32)*(1-Inputs!$C$9)^(P$3-Initiatives!$E$33),0))</f>
        <v>0</v>
      </c>
      <c r="Q41" s="8" t="n">
        <f aca="false">IF(Initiatives!$E$6="adoption",0,IF(Q$3&gt;=Initiatives!$E$31,Initiatives!$E$32*(1-Inputs!$C$9)^(Q$3-Initiatives!$E$31),0)+IF(Q$3&gt;=Initiatives!$E$33,(1-Initiatives!$E$32)*(1-Inputs!$C$9)^(Q$3-Initiatives!$E$33),0))</f>
        <v>0</v>
      </c>
      <c r="R41" s="8" t="n">
        <f aca="false">IF(Initiatives!$E$6="adoption",0,IF(R$3&gt;=Initiatives!$E$31,Initiatives!$E$32*(1-Inputs!$C$9)^(R$3-Initiatives!$E$31),0)+IF(R$3&gt;=Initiatives!$E$33,(1-Initiatives!$E$32)*(1-Inputs!$C$9)^(R$3-Initiatives!$E$33),0))</f>
        <v>0</v>
      </c>
      <c r="S41" s="8" t="n">
        <f aca="false">IF(Initiatives!$E$6="adoption",0,IF(S$3&gt;=Initiatives!$E$31,Initiatives!$E$32*(1-Inputs!$C$9)^(S$3-Initiatives!$E$31),0)+IF(S$3&gt;=Initiatives!$E$33,(1-Initiatives!$E$32)*(1-Inputs!$C$9)^(S$3-Initiatives!$E$33),0))</f>
        <v>0</v>
      </c>
      <c r="T41" s="8" t="n">
        <f aca="false">IF(Initiatives!$E$6="adoption",0,IF(T$3&gt;=Initiatives!$E$31,Initiatives!$E$32*(1-Inputs!$C$9)^(T$3-Initiatives!$E$31),0)+IF(T$3&gt;=Initiatives!$E$33,(1-Initiatives!$E$32)*(1-Inputs!$C$9)^(T$3-Initiatives!$E$33),0))</f>
        <v>0</v>
      </c>
      <c r="U41" s="8" t="n">
        <f aca="false">IF(Initiatives!$E$6="adoption",0,IF(U$3&gt;=Initiatives!$E$31,Initiatives!$E$32*(1-Inputs!$C$9)^(U$3-Initiatives!$E$31),0)+IF(U$3&gt;=Initiatives!$E$33,(1-Initiatives!$E$32)*(1-Inputs!$C$9)^(U$3-Initiatives!$E$33),0))</f>
        <v>0</v>
      </c>
      <c r="V41" s="8" t="n">
        <f aca="false">IF(Initiatives!$E$6="adoption",0,IF(V$3&gt;=Initiatives!$E$31,Initiatives!$E$32*(1-Inputs!$C$9)^(V$3-Initiatives!$E$31),0)+IF(V$3&gt;=Initiatives!$E$33,(1-Initiatives!$E$32)*(1-Inputs!$C$9)^(V$3-Initiatives!$E$33),0))</f>
        <v>0</v>
      </c>
      <c r="W41" s="8" t="n">
        <f aca="false">IF(Initiatives!$E$6="adoption",0,IF(W$3&gt;=Initiatives!$E$31,Initiatives!$E$32*(1-Inputs!$C$9)^(W$3-Initiatives!$E$31),0)+IF(W$3&gt;=Initiatives!$E$33,(1-Initiatives!$E$32)*(1-Inputs!$C$9)^(W$3-Initiatives!$E$33),0))</f>
        <v>0</v>
      </c>
      <c r="X41" s="8" t="n">
        <f aca="false">IF(Initiatives!$E$6="adoption",0,IF(X$3&gt;=Initiatives!$E$31,Initiatives!$E$32*(1-Inputs!$C$9)^(X$3-Initiatives!$E$31),0)+IF(X$3&gt;=Initiatives!$E$33,(1-Initiatives!$E$32)*(1-Inputs!$C$9)^(X$3-Initiatives!$E$33),0))</f>
        <v>0</v>
      </c>
      <c r="Y41" s="8" t="n">
        <f aca="false">IF(Initiatives!$E$6="adoption",0,IF(Y$3&gt;=Initiatives!$E$31,Initiatives!$E$32*(1-Inputs!$C$9)^(Y$3-Initiatives!$E$31),0)+IF(Y$3&gt;=Initiatives!$E$33,(1-Initiatives!$E$32)*(1-Inputs!$C$9)^(Y$3-Initiatives!$E$33),0))</f>
        <v>0</v>
      </c>
      <c r="Z41" s="8" t="n">
        <f aca="false">IF(Initiatives!$E$6="adoption",0,IF(Z$3&gt;=Initiatives!$E$31,Initiatives!$E$32*(1-Inputs!$C$9)^(Z$3-Initiatives!$E$31),0)+IF(Z$3&gt;=Initiatives!$E$33,(1-Initiatives!$E$32)*(1-Inputs!$C$9)^(Z$3-Initiatives!$E$33),0))</f>
        <v>0</v>
      </c>
      <c r="AA41" s="8" t="n">
        <f aca="false">IF(Initiatives!$E$6="adoption",0,IF(AA$3&gt;=Initiatives!$E$31,Initiatives!$E$32*(1-Inputs!$C$9)^(AA$3-Initiatives!$E$31),0)+IF(AA$3&gt;=Initiatives!$E$33,(1-Initiatives!$E$32)*(1-Inputs!$C$9)^(AA$3-Initiatives!$E$33),0))</f>
        <v>0</v>
      </c>
      <c r="AB41" s="8" t="n">
        <f aca="false">IF(Initiatives!$E$6="adoption",0,IF(AB$3&gt;=Initiatives!$E$31,Initiatives!$E$32*(1-Inputs!$C$9)^(AB$3-Initiatives!$E$31),0)+IF(AB$3&gt;=Initiatives!$E$33,(1-Initiatives!$E$32)*(1-Inputs!$C$9)^(AB$3-Initiatives!$E$33),0))</f>
        <v>0</v>
      </c>
      <c r="AC41" s="8" t="n">
        <f aca="false">IF(Initiatives!$E$6="adoption",0,IF(AC$3&gt;=Initiatives!$E$31,Initiatives!$E$32*(1-Inputs!$C$9)^(AC$3-Initiatives!$E$31),0)+IF(AC$3&gt;=Initiatives!$E$33,(1-Initiatives!$E$32)*(1-Inputs!$C$9)^(AC$3-Initiatives!$E$33),0))</f>
        <v>0</v>
      </c>
      <c r="AD41" s="8" t="n">
        <f aca="false">IF(Initiatives!$E$6="adoption",0,IF(AD$3&gt;=Initiatives!$E$31,Initiatives!$E$32*(1-Inputs!$C$9)^(AD$3-Initiatives!$E$31),0)+IF(AD$3&gt;=Initiatives!$E$33,(1-Initiatives!$E$32)*(1-Inputs!$C$9)^(AD$3-Initiatives!$E$33),0))</f>
        <v>0</v>
      </c>
      <c r="AE41" s="8" t="n">
        <f aca="false">IF(Initiatives!$E$6="adoption",0,IF(AE$3&gt;=Initiatives!$E$31,Initiatives!$E$32*(1-Inputs!$C$9)^(AE$3-Initiatives!$E$31),0)+IF(AE$3&gt;=Initiatives!$E$33,(1-Initiatives!$E$32)*(1-Inputs!$C$9)^(AE$3-Initiatives!$E$33),0))</f>
        <v>0</v>
      </c>
      <c r="AF41" s="8" t="n">
        <f aca="false">IF(Initiatives!$E$6="adoption",0,IF(AF$3&gt;=Initiatives!$E$31,Initiatives!$E$32*(1-Inputs!$C$9)^(AF$3-Initiatives!$E$31),0)+IF(AF$3&gt;=Initiatives!$E$33,(1-Initiatives!$E$32)*(1-Inputs!$C$9)^(AF$3-Initiatives!$E$33),0))</f>
        <v>0</v>
      </c>
      <c r="AG41" s="8" t="n">
        <f aca="false">IF(Initiatives!$E$6="adoption",0,IF(AG$3&gt;=Initiatives!$E$31,Initiatives!$E$32*(1-Inputs!$C$9)^(AG$3-Initiatives!$E$31),0)+IF(AG$3&gt;=Initiatives!$E$33,(1-Initiatives!$E$32)*(1-Inputs!$C$9)^(AG$3-Initiatives!$E$33),0))</f>
        <v>0</v>
      </c>
      <c r="AH41" s="8" t="n">
        <f aca="false">IF(Initiatives!$E$6="adoption",0,IF(AH$3&gt;=Initiatives!$E$31,Initiatives!$E$32*(1-Inputs!$C$9)^(AH$3-Initiatives!$E$31),0)+IF(AH$3&gt;=Initiatives!$E$33,(1-Initiatives!$E$32)*(1-Inputs!$C$9)^(AH$3-Initiatives!$E$33),0))</f>
        <v>0</v>
      </c>
      <c r="AI41" s="8" t="n">
        <f aca="false">IF(Initiatives!$E$6="adoption",0,IF(AI$3&gt;=Initiatives!$E$31,Initiatives!$E$32*(1-Inputs!$C$9)^(AI$3-Initiatives!$E$31),0)+IF(AI$3&gt;=Initiatives!$E$33,(1-Initiatives!$E$32)*(1-Inputs!$C$9)^(AI$3-Initiatives!$E$33),0))</f>
        <v>0</v>
      </c>
      <c r="AJ41" s="8" t="n">
        <f aca="false">IF(Initiatives!$E$6="adoption",0,IF(AJ$3&gt;=Initiatives!$E$31,Initiatives!$E$32*(1-Inputs!$C$9)^(AJ$3-Initiatives!$E$31),0)+IF(AJ$3&gt;=Initiatives!$E$33,(1-Initiatives!$E$32)*(1-Inputs!$C$9)^(AJ$3-Initiatives!$E$33),0))</f>
        <v>0</v>
      </c>
      <c r="AK41" s="8" t="n">
        <f aca="false">IF(Initiatives!$E$6="adoption",0,IF(AK$3&gt;=Initiatives!$E$31,Initiatives!$E$32*(1-Inputs!$C$9)^(AK$3-Initiatives!$E$31),0)+IF(AK$3&gt;=Initiatives!$E$33,(1-Initiatives!$E$32)*(1-Inputs!$C$9)^(AK$3-Initiatives!$E$33),0))</f>
        <v>0</v>
      </c>
      <c r="AL41" s="8" t="n">
        <f aca="false">IF(Initiatives!$E$6="adoption",0,IF(AL$3&gt;=Initiatives!$E$31,Initiatives!$E$32*(1-Inputs!$C$9)^(AL$3-Initiatives!$E$31),0)+IF(AL$3&gt;=Initiatives!$E$33,(1-Initiatives!$E$32)*(1-Inputs!$C$9)^(AL$3-Initiatives!$E$33),0))</f>
        <v>0</v>
      </c>
    </row>
    <row r="42" customFormat="false" ht="15" hidden="false" customHeight="false" outlineLevel="0" collapsed="false">
      <c r="A42" s="4" t="s">
        <v>181</v>
      </c>
      <c r="B42" s="4" t="s">
        <v>182</v>
      </c>
      <c r="C42" s="8" t="n">
        <f aca="false">IF(Initiatives!$E$6="adoption",IF(AND(C$3&gt;=Initiatives!$E$31,C$3&lt;Initiatives!$E$31+3),Initiatives!$E$44/3,0),IF(AND(C$3&gt;=Initiatives!$E$31,C$3&lt;Initiatives!$E$31+2),Initiatives!$E$32*Initiatives!$E$44/2,0)+IF(AND(C$3&gt;=Initiatives!$E$33,C$3&lt;Initiatives!$E$33+2),(1-Initiatives!$E$32)*Initiatives!$E$44/2,0))</f>
        <v>0</v>
      </c>
      <c r="D42" s="8" t="n">
        <f aca="false">IF(Initiatives!$E$6="adoption",IF(AND(D$3&gt;=Initiatives!$E$31,D$3&lt;Initiatives!$E$31+3),Initiatives!$E$44/3,0),IF(AND(D$3&gt;=Initiatives!$E$31,D$3&lt;Initiatives!$E$31+2),Initiatives!$E$32*Initiatives!$E$44/2,0)+IF(AND(D$3&gt;=Initiatives!$E$33,D$3&lt;Initiatives!$E$33+2),(1-Initiatives!$E$32)*Initiatives!$E$44/2,0))</f>
        <v>0</v>
      </c>
      <c r="E42" s="8" t="n">
        <f aca="false">IF(Initiatives!$E$6="adoption",IF(AND(E$3&gt;=Initiatives!$E$31,E$3&lt;Initiatives!$E$31+3),Initiatives!$E$44/3,0),IF(AND(E$3&gt;=Initiatives!$E$31,E$3&lt;Initiatives!$E$31+2),Initiatives!$E$32*Initiatives!$E$44/2,0)+IF(AND(E$3&gt;=Initiatives!$E$33,E$3&lt;Initiatives!$E$33+2),(1-Initiatives!$E$32)*Initiatives!$E$44/2,0))</f>
        <v>0</v>
      </c>
      <c r="F42" s="8" t="n">
        <f aca="false">IF(Initiatives!$E$6="adoption",IF(AND(F$3&gt;=Initiatives!$E$31,F$3&lt;Initiatives!$E$31+3),Initiatives!$E$44/3,0),IF(AND(F$3&gt;=Initiatives!$E$31,F$3&lt;Initiatives!$E$31+2),Initiatives!$E$32*Initiatives!$E$44/2,0)+IF(AND(F$3&gt;=Initiatives!$E$33,F$3&lt;Initiatives!$E$33+2),(1-Initiatives!$E$32)*Initiatives!$E$44/2,0))</f>
        <v>0</v>
      </c>
      <c r="G42" s="8" t="n">
        <f aca="false">IF(Initiatives!$E$6="adoption",IF(AND(G$3&gt;=Initiatives!$E$31,G$3&lt;Initiatives!$E$31+3),Initiatives!$E$44/3,0),IF(AND(G$3&gt;=Initiatives!$E$31,G$3&lt;Initiatives!$E$31+2),Initiatives!$E$32*Initiatives!$E$44/2,0)+IF(AND(G$3&gt;=Initiatives!$E$33,G$3&lt;Initiatives!$E$33+2),(1-Initiatives!$E$32)*Initiatives!$E$44/2,0))</f>
        <v>0</v>
      </c>
      <c r="H42" s="8" t="n">
        <f aca="false">IF(Initiatives!$E$6="adoption",IF(AND(H$3&gt;=Initiatives!$E$31,H$3&lt;Initiatives!$E$31+3),Initiatives!$E$44/3,0),IF(AND(H$3&gt;=Initiatives!$E$31,H$3&lt;Initiatives!$E$31+2),Initiatives!$E$32*Initiatives!$E$44/2,0)+IF(AND(H$3&gt;=Initiatives!$E$33,H$3&lt;Initiatives!$E$33+2),(1-Initiatives!$E$32)*Initiatives!$E$44/2,0))</f>
        <v>0</v>
      </c>
      <c r="I42" s="8" t="n">
        <f aca="false">IF(Initiatives!$E$6="adoption",IF(AND(I$3&gt;=Initiatives!$E$31,I$3&lt;Initiatives!$E$31+3),Initiatives!$E$44/3,0),IF(AND(I$3&gt;=Initiatives!$E$31,I$3&lt;Initiatives!$E$31+2),Initiatives!$E$32*Initiatives!$E$44/2,0)+IF(AND(I$3&gt;=Initiatives!$E$33,I$3&lt;Initiatives!$E$33+2),(1-Initiatives!$E$32)*Initiatives!$E$44/2,0))</f>
        <v>0</v>
      </c>
      <c r="J42" s="8" t="n">
        <f aca="false">IF(Initiatives!$E$6="adoption",IF(AND(J$3&gt;=Initiatives!$E$31,J$3&lt;Initiatives!$E$31+3),Initiatives!$E$44/3,0),IF(AND(J$3&gt;=Initiatives!$E$31,J$3&lt;Initiatives!$E$31+2),Initiatives!$E$32*Initiatives!$E$44/2,0)+IF(AND(J$3&gt;=Initiatives!$E$33,J$3&lt;Initiatives!$E$33+2),(1-Initiatives!$E$32)*Initiatives!$E$44/2,0))</f>
        <v>0</v>
      </c>
      <c r="K42" s="8" t="n">
        <f aca="false">IF(Initiatives!$E$6="adoption",IF(AND(K$3&gt;=Initiatives!$E$31,K$3&lt;Initiatives!$E$31+3),Initiatives!$E$44/3,0),IF(AND(K$3&gt;=Initiatives!$E$31,K$3&lt;Initiatives!$E$31+2),Initiatives!$E$32*Initiatives!$E$44/2,0)+IF(AND(K$3&gt;=Initiatives!$E$33,K$3&lt;Initiatives!$E$33+2),(1-Initiatives!$E$32)*Initiatives!$E$44/2,0))</f>
        <v>0</v>
      </c>
      <c r="L42" s="8" t="n">
        <f aca="false">IF(Initiatives!$E$6="adoption",IF(AND(L$3&gt;=Initiatives!$E$31,L$3&lt;Initiatives!$E$31+3),Initiatives!$E$44/3,0),IF(AND(L$3&gt;=Initiatives!$E$31,L$3&lt;Initiatives!$E$31+2),Initiatives!$E$32*Initiatives!$E$44/2,0)+IF(AND(L$3&gt;=Initiatives!$E$33,L$3&lt;Initiatives!$E$33+2),(1-Initiatives!$E$32)*Initiatives!$E$44/2,0))</f>
        <v>0</v>
      </c>
      <c r="M42" s="8" t="n">
        <f aca="false">IF(Initiatives!$E$6="adoption",IF(AND(M$3&gt;=Initiatives!$E$31,M$3&lt;Initiatives!$E$31+3),Initiatives!$E$44/3,0),IF(AND(M$3&gt;=Initiatives!$E$31,M$3&lt;Initiatives!$E$31+2),Initiatives!$E$32*Initiatives!$E$44/2,0)+IF(AND(M$3&gt;=Initiatives!$E$33,M$3&lt;Initiatives!$E$33+2),(1-Initiatives!$E$32)*Initiatives!$E$44/2,0))</f>
        <v>0</v>
      </c>
      <c r="N42" s="8" t="n">
        <f aca="false">IF(Initiatives!$E$6="adoption",IF(AND(N$3&gt;=Initiatives!$E$31,N$3&lt;Initiatives!$E$31+3),Initiatives!$E$44/3,0),IF(AND(N$3&gt;=Initiatives!$E$31,N$3&lt;Initiatives!$E$31+2),Initiatives!$E$32*Initiatives!$E$44/2,0)+IF(AND(N$3&gt;=Initiatives!$E$33,N$3&lt;Initiatives!$E$33+2),(1-Initiatives!$E$32)*Initiatives!$E$44/2,0))</f>
        <v>0</v>
      </c>
      <c r="O42" s="8" t="n">
        <f aca="false">IF(Initiatives!$E$6="adoption",IF(AND(O$3&gt;=Initiatives!$E$31,O$3&lt;Initiatives!$E$31+3),Initiatives!$E$44/3,0),IF(AND(O$3&gt;=Initiatives!$E$31,O$3&lt;Initiatives!$E$31+2),Initiatives!$E$32*Initiatives!$E$44/2,0)+IF(AND(O$3&gt;=Initiatives!$E$33,O$3&lt;Initiatives!$E$33+2),(1-Initiatives!$E$32)*Initiatives!$E$44/2,0))</f>
        <v>0</v>
      </c>
      <c r="P42" s="8" t="n">
        <f aca="false">IF(Initiatives!$E$6="adoption",IF(AND(P$3&gt;=Initiatives!$E$31,P$3&lt;Initiatives!$E$31+3),Initiatives!$E$44/3,0),IF(AND(P$3&gt;=Initiatives!$E$31,P$3&lt;Initiatives!$E$31+2),Initiatives!$E$32*Initiatives!$E$44/2,0)+IF(AND(P$3&gt;=Initiatives!$E$33,P$3&lt;Initiatives!$E$33+2),(1-Initiatives!$E$32)*Initiatives!$E$44/2,0))</f>
        <v>0</v>
      </c>
      <c r="Q42" s="8" t="n">
        <f aca="false">IF(Initiatives!$E$6="adoption",IF(AND(Q$3&gt;=Initiatives!$E$31,Q$3&lt;Initiatives!$E$31+3),Initiatives!$E$44/3,0),IF(AND(Q$3&gt;=Initiatives!$E$31,Q$3&lt;Initiatives!$E$31+2),Initiatives!$E$32*Initiatives!$E$44/2,0)+IF(AND(Q$3&gt;=Initiatives!$E$33,Q$3&lt;Initiatives!$E$33+2),(1-Initiatives!$E$32)*Initiatives!$E$44/2,0))</f>
        <v>0</v>
      </c>
      <c r="R42" s="8" t="n">
        <f aca="false">IF(Initiatives!$E$6="adoption",IF(AND(R$3&gt;=Initiatives!$E$31,R$3&lt;Initiatives!$E$31+3),Initiatives!$E$44/3,0),IF(AND(R$3&gt;=Initiatives!$E$31,R$3&lt;Initiatives!$E$31+2),Initiatives!$E$32*Initiatives!$E$44/2,0)+IF(AND(R$3&gt;=Initiatives!$E$33,R$3&lt;Initiatives!$E$33+2),(1-Initiatives!$E$32)*Initiatives!$E$44/2,0))</f>
        <v>0</v>
      </c>
      <c r="S42" s="8" t="n">
        <f aca="false">IF(Initiatives!$E$6="adoption",IF(AND(S$3&gt;=Initiatives!$E$31,S$3&lt;Initiatives!$E$31+3),Initiatives!$E$44/3,0),IF(AND(S$3&gt;=Initiatives!$E$31,S$3&lt;Initiatives!$E$31+2),Initiatives!$E$32*Initiatives!$E$44/2,0)+IF(AND(S$3&gt;=Initiatives!$E$33,S$3&lt;Initiatives!$E$33+2),(1-Initiatives!$E$32)*Initiatives!$E$44/2,0))</f>
        <v>0</v>
      </c>
      <c r="T42" s="8" t="n">
        <f aca="false">IF(Initiatives!$E$6="adoption",IF(AND(T$3&gt;=Initiatives!$E$31,T$3&lt;Initiatives!$E$31+3),Initiatives!$E$44/3,0),IF(AND(T$3&gt;=Initiatives!$E$31,T$3&lt;Initiatives!$E$31+2),Initiatives!$E$32*Initiatives!$E$44/2,0)+IF(AND(T$3&gt;=Initiatives!$E$33,T$3&lt;Initiatives!$E$33+2),(1-Initiatives!$E$32)*Initiatives!$E$44/2,0))</f>
        <v>0</v>
      </c>
      <c r="U42" s="8" t="n">
        <f aca="false">IF(Initiatives!$E$6="adoption",IF(AND(U$3&gt;=Initiatives!$E$31,U$3&lt;Initiatives!$E$31+3),Initiatives!$E$44/3,0),IF(AND(U$3&gt;=Initiatives!$E$31,U$3&lt;Initiatives!$E$31+2),Initiatives!$E$32*Initiatives!$E$44/2,0)+IF(AND(U$3&gt;=Initiatives!$E$33,U$3&lt;Initiatives!$E$33+2),(1-Initiatives!$E$32)*Initiatives!$E$44/2,0))</f>
        <v>0</v>
      </c>
      <c r="V42" s="8" t="n">
        <f aca="false">IF(Initiatives!$E$6="adoption",IF(AND(V$3&gt;=Initiatives!$E$31,V$3&lt;Initiatives!$E$31+3),Initiatives!$E$44/3,0),IF(AND(V$3&gt;=Initiatives!$E$31,V$3&lt;Initiatives!$E$31+2),Initiatives!$E$32*Initiatives!$E$44/2,0)+IF(AND(V$3&gt;=Initiatives!$E$33,V$3&lt;Initiatives!$E$33+2),(1-Initiatives!$E$32)*Initiatives!$E$44/2,0))</f>
        <v>0</v>
      </c>
      <c r="W42" s="8" t="n">
        <f aca="false">IF(Initiatives!$E$6="adoption",IF(AND(W$3&gt;=Initiatives!$E$31,W$3&lt;Initiatives!$E$31+3),Initiatives!$E$44/3,0),IF(AND(W$3&gt;=Initiatives!$E$31,W$3&lt;Initiatives!$E$31+2),Initiatives!$E$32*Initiatives!$E$44/2,0)+IF(AND(W$3&gt;=Initiatives!$E$33,W$3&lt;Initiatives!$E$33+2),(1-Initiatives!$E$32)*Initiatives!$E$44/2,0))</f>
        <v>0</v>
      </c>
      <c r="X42" s="8" t="n">
        <f aca="false">IF(Initiatives!$E$6="adoption",IF(AND(X$3&gt;=Initiatives!$E$31,X$3&lt;Initiatives!$E$31+3),Initiatives!$E$44/3,0),IF(AND(X$3&gt;=Initiatives!$E$31,X$3&lt;Initiatives!$E$31+2),Initiatives!$E$32*Initiatives!$E$44/2,0)+IF(AND(X$3&gt;=Initiatives!$E$33,X$3&lt;Initiatives!$E$33+2),(1-Initiatives!$E$32)*Initiatives!$E$44/2,0))</f>
        <v>0</v>
      </c>
      <c r="Y42" s="8" t="n">
        <f aca="false">IF(Initiatives!$E$6="adoption",IF(AND(Y$3&gt;=Initiatives!$E$31,Y$3&lt;Initiatives!$E$31+3),Initiatives!$E$44/3,0),IF(AND(Y$3&gt;=Initiatives!$E$31,Y$3&lt;Initiatives!$E$31+2),Initiatives!$E$32*Initiatives!$E$44/2,0)+IF(AND(Y$3&gt;=Initiatives!$E$33,Y$3&lt;Initiatives!$E$33+2),(1-Initiatives!$E$32)*Initiatives!$E$44/2,0))</f>
        <v>0</v>
      </c>
      <c r="Z42" s="8" t="n">
        <f aca="false">IF(Initiatives!$E$6="adoption",IF(AND(Z$3&gt;=Initiatives!$E$31,Z$3&lt;Initiatives!$E$31+3),Initiatives!$E$44/3,0),IF(AND(Z$3&gt;=Initiatives!$E$31,Z$3&lt;Initiatives!$E$31+2),Initiatives!$E$32*Initiatives!$E$44/2,0)+IF(AND(Z$3&gt;=Initiatives!$E$33,Z$3&lt;Initiatives!$E$33+2),(1-Initiatives!$E$32)*Initiatives!$E$44/2,0))</f>
        <v>0</v>
      </c>
      <c r="AA42" s="8" t="n">
        <f aca="false">IF(Initiatives!$E$6="adoption",IF(AND(AA$3&gt;=Initiatives!$E$31,AA$3&lt;Initiatives!$E$31+3),Initiatives!$E$44/3,0),IF(AND(AA$3&gt;=Initiatives!$E$31,AA$3&lt;Initiatives!$E$31+2),Initiatives!$E$32*Initiatives!$E$44/2,0)+IF(AND(AA$3&gt;=Initiatives!$E$33,AA$3&lt;Initiatives!$E$33+2),(1-Initiatives!$E$32)*Initiatives!$E$44/2,0))</f>
        <v>0</v>
      </c>
      <c r="AB42" s="8" t="n">
        <f aca="false">IF(Initiatives!$E$6="adoption",IF(AND(AB$3&gt;=Initiatives!$E$31,AB$3&lt;Initiatives!$E$31+3),Initiatives!$E$44/3,0),IF(AND(AB$3&gt;=Initiatives!$E$31,AB$3&lt;Initiatives!$E$31+2),Initiatives!$E$32*Initiatives!$E$44/2,0)+IF(AND(AB$3&gt;=Initiatives!$E$33,AB$3&lt;Initiatives!$E$33+2),(1-Initiatives!$E$32)*Initiatives!$E$44/2,0))</f>
        <v>0</v>
      </c>
      <c r="AC42" s="8" t="n">
        <f aca="false">IF(Initiatives!$E$6="adoption",IF(AND(AC$3&gt;=Initiatives!$E$31,AC$3&lt;Initiatives!$E$31+3),Initiatives!$E$44/3,0),IF(AND(AC$3&gt;=Initiatives!$E$31,AC$3&lt;Initiatives!$E$31+2),Initiatives!$E$32*Initiatives!$E$44/2,0)+IF(AND(AC$3&gt;=Initiatives!$E$33,AC$3&lt;Initiatives!$E$33+2),(1-Initiatives!$E$32)*Initiatives!$E$44/2,0))</f>
        <v>0</v>
      </c>
      <c r="AD42" s="8" t="n">
        <f aca="false">IF(Initiatives!$E$6="adoption",IF(AND(AD$3&gt;=Initiatives!$E$31,AD$3&lt;Initiatives!$E$31+3),Initiatives!$E$44/3,0),IF(AND(AD$3&gt;=Initiatives!$E$31,AD$3&lt;Initiatives!$E$31+2),Initiatives!$E$32*Initiatives!$E$44/2,0)+IF(AND(AD$3&gt;=Initiatives!$E$33,AD$3&lt;Initiatives!$E$33+2),(1-Initiatives!$E$32)*Initiatives!$E$44/2,0))</f>
        <v>0</v>
      </c>
      <c r="AE42" s="8" t="n">
        <f aca="false">IF(Initiatives!$E$6="adoption",IF(AND(AE$3&gt;=Initiatives!$E$31,AE$3&lt;Initiatives!$E$31+3),Initiatives!$E$44/3,0),IF(AND(AE$3&gt;=Initiatives!$E$31,AE$3&lt;Initiatives!$E$31+2),Initiatives!$E$32*Initiatives!$E$44/2,0)+IF(AND(AE$3&gt;=Initiatives!$E$33,AE$3&lt;Initiatives!$E$33+2),(1-Initiatives!$E$32)*Initiatives!$E$44/2,0))</f>
        <v>0</v>
      </c>
      <c r="AF42" s="8" t="n">
        <f aca="false">IF(Initiatives!$E$6="adoption",IF(AND(AF$3&gt;=Initiatives!$E$31,AF$3&lt;Initiatives!$E$31+3),Initiatives!$E$44/3,0),IF(AND(AF$3&gt;=Initiatives!$E$31,AF$3&lt;Initiatives!$E$31+2),Initiatives!$E$32*Initiatives!$E$44/2,0)+IF(AND(AF$3&gt;=Initiatives!$E$33,AF$3&lt;Initiatives!$E$33+2),(1-Initiatives!$E$32)*Initiatives!$E$44/2,0))</f>
        <v>0</v>
      </c>
      <c r="AG42" s="8" t="n">
        <f aca="false">IF(Initiatives!$E$6="adoption",IF(AND(AG$3&gt;=Initiatives!$E$31,AG$3&lt;Initiatives!$E$31+3),Initiatives!$E$44/3,0),IF(AND(AG$3&gt;=Initiatives!$E$31,AG$3&lt;Initiatives!$E$31+2),Initiatives!$E$32*Initiatives!$E$44/2,0)+IF(AND(AG$3&gt;=Initiatives!$E$33,AG$3&lt;Initiatives!$E$33+2),(1-Initiatives!$E$32)*Initiatives!$E$44/2,0))</f>
        <v>0</v>
      </c>
      <c r="AH42" s="8" t="n">
        <f aca="false">IF(Initiatives!$E$6="adoption",IF(AND(AH$3&gt;=Initiatives!$E$31,AH$3&lt;Initiatives!$E$31+3),Initiatives!$E$44/3,0),IF(AND(AH$3&gt;=Initiatives!$E$31,AH$3&lt;Initiatives!$E$31+2),Initiatives!$E$32*Initiatives!$E$44/2,0)+IF(AND(AH$3&gt;=Initiatives!$E$33,AH$3&lt;Initiatives!$E$33+2),(1-Initiatives!$E$32)*Initiatives!$E$44/2,0))</f>
        <v>0</v>
      </c>
      <c r="AI42" s="8" t="n">
        <f aca="false">IF(Initiatives!$E$6="adoption",IF(AND(AI$3&gt;=Initiatives!$E$31,AI$3&lt;Initiatives!$E$31+3),Initiatives!$E$44/3,0),IF(AND(AI$3&gt;=Initiatives!$E$31,AI$3&lt;Initiatives!$E$31+2),Initiatives!$E$32*Initiatives!$E$44/2,0)+IF(AND(AI$3&gt;=Initiatives!$E$33,AI$3&lt;Initiatives!$E$33+2),(1-Initiatives!$E$32)*Initiatives!$E$44/2,0))</f>
        <v>0</v>
      </c>
      <c r="AJ42" s="8" t="n">
        <f aca="false">IF(Initiatives!$E$6="adoption",IF(AND(AJ$3&gt;=Initiatives!$E$31,AJ$3&lt;Initiatives!$E$31+3),Initiatives!$E$44/3,0),IF(AND(AJ$3&gt;=Initiatives!$E$31,AJ$3&lt;Initiatives!$E$31+2),Initiatives!$E$32*Initiatives!$E$44/2,0)+IF(AND(AJ$3&gt;=Initiatives!$E$33,AJ$3&lt;Initiatives!$E$33+2),(1-Initiatives!$E$32)*Initiatives!$E$44/2,0))</f>
        <v>0</v>
      </c>
      <c r="AK42" s="8" t="n">
        <f aca="false">IF(Initiatives!$E$6="adoption",IF(AND(AK$3&gt;=Initiatives!$E$31,AK$3&lt;Initiatives!$E$31+3),Initiatives!$E$44/3,0),IF(AND(AK$3&gt;=Initiatives!$E$31,AK$3&lt;Initiatives!$E$31+2),Initiatives!$E$32*Initiatives!$E$44/2,0)+IF(AND(AK$3&gt;=Initiatives!$E$33,AK$3&lt;Initiatives!$E$33+2),(1-Initiatives!$E$32)*Initiatives!$E$44/2,0))</f>
        <v>0</v>
      </c>
      <c r="AL42" s="8" t="n">
        <f aca="false">IF(Initiatives!$E$6="adoption",IF(AND(AL$3&gt;=Initiatives!$E$31,AL$3&lt;Initiatives!$E$31+3),Initiatives!$E$44/3,0),IF(AND(AL$3&gt;=Initiatives!$E$31,AL$3&lt;Initiatives!$E$31+2),Initiatives!$E$32*Initiatives!$E$44/2,0)+IF(AND(AL$3&gt;=Initiatives!$E$33,AL$3&lt;Initiatives!$E$33+2),(1-Initiatives!$E$32)*Initiatives!$E$44/2,0))</f>
        <v>0</v>
      </c>
    </row>
    <row r="43" customFormat="false" ht="15" hidden="false" customHeight="false" outlineLevel="0" collapsed="false">
      <c r="A43" s="4" t="s">
        <v>183</v>
      </c>
      <c r="B43" s="4" t="s">
        <v>184</v>
      </c>
      <c r="C43" s="8" t="n">
        <f aca="false">N(B43)*(1-Inputs!$C$9)+C42</f>
        <v>0</v>
      </c>
      <c r="D43" s="8" t="n">
        <f aca="false">N(C43)*(1-Inputs!$C$9)+D42</f>
        <v>0</v>
      </c>
      <c r="E43" s="8" t="n">
        <f aca="false">N(D43)*(1-Inputs!$C$9)+E42</f>
        <v>0</v>
      </c>
      <c r="F43" s="8" t="n">
        <f aca="false">N(E43)*(1-Inputs!$C$9)+F42</f>
        <v>0</v>
      </c>
      <c r="G43" s="8" t="n">
        <f aca="false">N(F43)*(1-Inputs!$C$9)+G42</f>
        <v>0</v>
      </c>
      <c r="H43" s="8" t="n">
        <f aca="false">N(G43)*(1-Inputs!$C$9)+H42</f>
        <v>0</v>
      </c>
      <c r="I43" s="8" t="n">
        <f aca="false">N(H43)*(1-Inputs!$C$9)+I42</f>
        <v>0</v>
      </c>
      <c r="J43" s="8" t="n">
        <f aca="false">N(I43)*(1-Inputs!$C$9)+J42</f>
        <v>0</v>
      </c>
      <c r="K43" s="8" t="n">
        <f aca="false">N(J43)*(1-Inputs!$C$9)+K42</f>
        <v>0</v>
      </c>
      <c r="L43" s="8" t="n">
        <f aca="false">N(K43)*(1-Inputs!$C$9)+L42</f>
        <v>0</v>
      </c>
      <c r="M43" s="8" t="n">
        <f aca="false">N(L43)*(1-Inputs!$C$9)+M42</f>
        <v>0</v>
      </c>
      <c r="N43" s="8" t="n">
        <f aca="false">N(M43)*(1-Inputs!$C$9)+N42</f>
        <v>0</v>
      </c>
      <c r="O43" s="8" t="n">
        <f aca="false">N(N43)*(1-Inputs!$C$9)+O42</f>
        <v>0</v>
      </c>
      <c r="P43" s="8" t="n">
        <f aca="false">N(O43)*(1-Inputs!$C$9)+P42</f>
        <v>0</v>
      </c>
      <c r="Q43" s="8" t="n">
        <f aca="false">N(P43)*(1-Inputs!$C$9)+Q42</f>
        <v>0</v>
      </c>
      <c r="R43" s="8" t="n">
        <f aca="false">N(Q43)*(1-Inputs!$C$9)+R42</f>
        <v>0</v>
      </c>
      <c r="S43" s="8" t="n">
        <f aca="false">N(R43)*(1-Inputs!$C$9)+S42</f>
        <v>0</v>
      </c>
      <c r="T43" s="8" t="n">
        <f aca="false">N(S43)*(1-Inputs!$C$9)+T42</f>
        <v>0</v>
      </c>
      <c r="U43" s="8" t="n">
        <f aca="false">N(T43)*(1-Inputs!$C$9)+U42</f>
        <v>0</v>
      </c>
      <c r="V43" s="8" t="n">
        <f aca="false">N(U43)*(1-Inputs!$C$9)+V42</f>
        <v>0</v>
      </c>
      <c r="W43" s="8" t="n">
        <f aca="false">N(V43)*(1-Inputs!$C$9)+W42</f>
        <v>0</v>
      </c>
      <c r="X43" s="8" t="n">
        <f aca="false">N(W43)*(1-Inputs!$C$9)+X42</f>
        <v>0</v>
      </c>
      <c r="Y43" s="8" t="n">
        <f aca="false">N(X43)*(1-Inputs!$C$9)+Y42</f>
        <v>0</v>
      </c>
      <c r="Z43" s="8" t="n">
        <f aca="false">N(Y43)*(1-Inputs!$C$9)+Z42</f>
        <v>0</v>
      </c>
      <c r="AA43" s="8" t="n">
        <f aca="false">N(Z43)*(1-Inputs!$C$9)+AA42</f>
        <v>0</v>
      </c>
      <c r="AB43" s="8" t="n">
        <f aca="false">N(AA43)*(1-Inputs!$C$9)+AB42</f>
        <v>0</v>
      </c>
      <c r="AC43" s="8" t="n">
        <f aca="false">N(AB43)*(1-Inputs!$C$9)+AC42</f>
        <v>0</v>
      </c>
      <c r="AD43" s="8" t="n">
        <f aca="false">N(AC43)*(1-Inputs!$C$9)+AD42</f>
        <v>0</v>
      </c>
      <c r="AE43" s="8" t="n">
        <f aca="false">N(AD43)*(1-Inputs!$C$9)+AE42</f>
        <v>0</v>
      </c>
      <c r="AF43" s="8" t="n">
        <f aca="false">N(AE43)*(1-Inputs!$C$9)+AF42</f>
        <v>0</v>
      </c>
      <c r="AG43" s="8" t="n">
        <f aca="false">N(AF43)*(1-Inputs!$C$9)+AG42</f>
        <v>0</v>
      </c>
      <c r="AH43" s="8" t="n">
        <f aca="false">N(AG43)*(1-Inputs!$C$9)+AH42</f>
        <v>0</v>
      </c>
      <c r="AI43" s="8" t="n">
        <f aca="false">N(AH43)*(1-Inputs!$C$9)+AI42</f>
        <v>0</v>
      </c>
      <c r="AJ43" s="8" t="n">
        <f aca="false">N(AI43)*(1-Inputs!$C$9)+AJ42</f>
        <v>0</v>
      </c>
      <c r="AK43" s="8" t="n">
        <f aca="false">N(AJ43)*(1-Inputs!$C$9)+AK42</f>
        <v>0</v>
      </c>
      <c r="AL43" s="8" t="n">
        <f aca="false">N(AK43)*(1-Inputs!$C$9)+AL42</f>
        <v>0</v>
      </c>
    </row>
    <row r="44" customFormat="false" ht="15" hidden="false" customHeight="false" outlineLevel="0" collapsed="false">
      <c r="A44" s="4" t="s">
        <v>185</v>
      </c>
      <c r="B44" s="4" t="s">
        <v>186</v>
      </c>
      <c r="C44" s="8" t="n">
        <f aca="false">IF(Initiatives!$E$6="adoption",C40*Initiatives!$E$23+C39*Initiatives!$E$8-C43*Initiatives!$E$8,(Initiatives!$E$42*Initiatives!$E$41+Initiatives!$E$38*Initiatives!$E$13*Initiatives!$E$14+Initiatives!$E$43*Initiatives!$E$16)*C41-C43*Initiatives!$E$8)</f>
        <v>0</v>
      </c>
      <c r="D44" s="8" t="n">
        <f aca="false">IF(Initiatives!$E$6="adoption",D40*Initiatives!$E$23+D39*Initiatives!$E$8-D43*Initiatives!$E$8,(Initiatives!$E$42*Initiatives!$E$41+Initiatives!$E$38*Initiatives!$E$13*Initiatives!$E$14+Initiatives!$E$43*Initiatives!$E$16)*D41-D43*Initiatives!$E$8)</f>
        <v>117612000</v>
      </c>
      <c r="E44" s="8" t="n">
        <f aca="false">IF(Initiatives!$E$6="adoption",E40*Initiatives!$E$23+E39*Initiatives!$E$8-E43*Initiatives!$E$8,(Initiatives!$E$42*Initiatives!$E$41+Initiatives!$E$38*Initiatives!$E$13*Initiatives!$E$14+Initiatives!$E$43*Initiatives!$E$16)*E41-E43*Initiatives!$E$8)</f>
        <v>233877342.6</v>
      </c>
      <c r="F44" s="8" t="n">
        <f aca="false">IF(Initiatives!$E$6="adoption",F40*Initiatives!$E$23+F39*Initiatives!$E$8-F43*Initiatives!$E$8,(Initiatives!$E$42*Initiatives!$E$41+Initiatives!$E$38*Initiatives!$E$13*Initiatives!$E$14+Initiatives!$E$43*Initiatives!$E$16)*F41-F43*Initiatives!$E$8)</f>
        <v>231198277.96395</v>
      </c>
      <c r="G44" s="8" t="n">
        <f aca="false">IF(Initiatives!$E$6="adoption",G40*Initiatives!$E$23+G39*Initiatives!$E$8-G43*Initiatives!$E$8,(Initiatives!$E$42*Initiatives!$E$41+Initiatives!$E$38*Initiatives!$E$13*Initiatives!$E$14+Initiatives!$E$43*Initiatives!$E$16)*G41-G43*Initiatives!$E$8)</f>
        <v>228547584.686524</v>
      </c>
      <c r="H44" s="8" t="n">
        <f aca="false">IF(Initiatives!$E$6="adoption",H40*Initiatives!$E$23+H39*Initiatives!$E$8-H43*Initiatives!$E$8,(Initiatives!$E$42*Initiatives!$E$41+Initiatives!$E$38*Initiatives!$E$13*Initiatives!$E$14+Initiatives!$E$43*Initiatives!$E$16)*H41-H43*Initiatives!$E$8)</f>
        <v>225925005.555547</v>
      </c>
      <c r="I44" s="8" t="n">
        <f aca="false">IF(Initiatives!$E$6="adoption",I40*Initiatives!$E$23+I39*Initiatives!$E$8-I43*Initiatives!$E$8,(Initiatives!$E$42*Initiatives!$E$41+Initiatives!$E$38*Initiatives!$E$13*Initiatives!$E$14+Initiatives!$E$43*Initiatives!$E$16)*I41-I43*Initiatives!$E$8)</f>
        <v>223330284.817925</v>
      </c>
      <c r="J44" s="8" t="n">
        <f aca="false">IF(Initiatives!$E$6="adoption",J40*Initiatives!$E$23+J39*Initiatives!$E$8-J43*Initiatives!$E$8,(Initiatives!$E$42*Initiatives!$E$41+Initiatives!$E$38*Initiatives!$E$13*Initiatives!$E$14+Initiatives!$E$43*Initiatives!$E$16)*J41-J43*Initiatives!$E$8)</f>
        <v>220763168.191941</v>
      </c>
      <c r="K44" s="8" t="n">
        <f aca="false">IF(Initiatives!$E$6="adoption",K40*Initiatives!$E$23+K39*Initiatives!$E$8-K43*Initiatives!$E$8,(Initiatives!$E$42*Initiatives!$E$41+Initiatives!$E$38*Initiatives!$E$13*Initiatives!$E$14+Initiatives!$E$43*Initiatives!$E$16)*K41-K43*Initiatives!$E$8)</f>
        <v>218223402.878887</v>
      </c>
      <c r="L44" s="8" t="n">
        <f aca="false">IF(Initiatives!$E$6="adoption",L40*Initiatives!$E$23+L39*Initiatives!$E$8-L43*Initiatives!$E$8,(Initiatives!$E$42*Initiatives!$E$41+Initiatives!$E$38*Initiatives!$E$13*Initiatives!$E$14+Initiatives!$E$43*Initiatives!$E$16)*L41-L43*Initiatives!$E$8)</f>
        <v>215710737.574039</v>
      </c>
      <c r="M44" s="8" t="n">
        <f aca="false">IF(Initiatives!$E$6="adoption",M40*Initiatives!$E$23+M39*Initiatives!$E$8-M43*Initiatives!$E$8,(Initiatives!$E$42*Initiatives!$E$41+Initiatives!$E$38*Initiatives!$E$13*Initiatives!$E$14+Initiatives!$E$43*Initiatives!$E$16)*M41-M43*Initiatives!$E$8)</f>
        <v>213224922.476993</v>
      </c>
      <c r="N44" s="8" t="n">
        <f aca="false">IF(Initiatives!$E$6="adoption",N40*Initiatives!$E$23+N39*Initiatives!$E$8-N43*Initiatives!$E$8,(Initiatives!$E$42*Initiatives!$E$41+Initiatives!$E$38*Initiatives!$E$13*Initiatives!$E$14+Initiatives!$E$43*Initiatives!$E$16)*N41-N43*Initiatives!$E$8)</f>
        <v>210765709.301378</v>
      </c>
      <c r="O44" s="8" t="n">
        <f aca="false">IF(Initiatives!$E$6="adoption",O40*Initiatives!$E$23+O39*Initiatives!$E$8-O43*Initiatives!$E$8,(Initiatives!$E$42*Initiatives!$E$41+Initiatives!$E$38*Initiatives!$E$13*Initiatives!$E$14+Initiatives!$E$43*Initiatives!$E$16)*O41-O43*Initiatives!$E$8)</f>
        <v>208332851.283971</v>
      </c>
      <c r="P44" s="8" t="n">
        <f aca="false">IF(Initiatives!$E$6="adoption",P40*Initiatives!$E$23+P39*Initiatives!$E$8-P43*Initiatives!$E$8,(Initiatives!$E$42*Initiatives!$E$41+Initiatives!$E$38*Initiatives!$E$13*Initiatives!$E$14+Initiatives!$E$43*Initiatives!$E$16)*P41-P43*Initiatives!$E$8)</f>
        <v>205926103.19321</v>
      </c>
      <c r="Q44" s="8" t="n">
        <f aca="false">IF(Initiatives!$E$6="adoption",Q40*Initiatives!$E$23+Q39*Initiatives!$E$8-Q43*Initiatives!$E$8,(Initiatives!$E$42*Initiatives!$E$41+Initiatives!$E$38*Initiatives!$E$13*Initiatives!$E$14+Initiatives!$E$43*Initiatives!$E$16)*Q41-Q43*Initiatives!$E$8)</f>
        <v>203545221.337141</v>
      </c>
      <c r="R44" s="8" t="n">
        <f aca="false">IF(Initiatives!$E$6="adoption",R40*Initiatives!$E$23+R39*Initiatives!$E$8-R43*Initiatives!$E$8,(Initiatives!$E$42*Initiatives!$E$41+Initiatives!$E$38*Initiatives!$E$13*Initiatives!$E$14+Initiatives!$E$43*Initiatives!$E$16)*R41-R43*Initiatives!$E$8)</f>
        <v>201189963.570805</v>
      </c>
      <c r="S44" s="8" t="n">
        <f aca="false">IF(Initiatives!$E$6="adoption",S40*Initiatives!$E$23+S39*Initiatives!$E$8-S43*Initiatives!$E$8,(Initiatives!$E$42*Initiatives!$E$41+Initiatives!$E$38*Initiatives!$E$13*Initiatives!$E$14+Initiatives!$E$43*Initiatives!$E$16)*S41-S43*Initiatives!$E$8)</f>
        <v>198860089.303074</v>
      </c>
      <c r="T44" s="8" t="n">
        <f aca="false">IF(Initiatives!$E$6="adoption",T40*Initiatives!$E$23+T39*Initiatives!$E$8-T43*Initiatives!$E$8,(Initiatives!$E$42*Initiatives!$E$41+Initiatives!$E$38*Initiatives!$E$13*Initiatives!$E$14+Initiatives!$E$43*Initiatives!$E$16)*T41-T43*Initiatives!$E$8)</f>
        <v>196555359.50296</v>
      </c>
      <c r="U44" s="8" t="n">
        <f aca="false">IF(Initiatives!$E$6="adoption",U40*Initiatives!$E$23+U39*Initiatives!$E$8-U43*Initiatives!$E$8,(Initiatives!$E$42*Initiatives!$E$41+Initiatives!$E$38*Initiatives!$E$13*Initiatives!$E$14+Initiatives!$E$43*Initiatives!$E$16)*U41-U43*Initiatives!$E$8)</f>
        <v>194275536.705411</v>
      </c>
      <c r="V44" s="8" t="n">
        <f aca="false">IF(Initiatives!$E$6="adoption",V40*Initiatives!$E$23+V39*Initiatives!$E$8-V43*Initiatives!$E$8,(Initiatives!$E$42*Initiatives!$E$41+Initiatives!$E$38*Initiatives!$E$13*Initiatives!$E$14+Initiatives!$E$43*Initiatives!$E$16)*V41-V43*Initiatives!$E$8)</f>
        <v>192020385.016597</v>
      </c>
      <c r="W44" s="8" t="n">
        <f aca="false">IF(Initiatives!$E$6="adoption",W40*Initiatives!$E$23+W39*Initiatives!$E$8-W43*Initiatives!$E$8,(Initiatives!$E$42*Initiatives!$E$41+Initiatives!$E$38*Initiatives!$E$13*Initiatives!$E$14+Initiatives!$E$43*Initiatives!$E$16)*W41-W43*Initiatives!$E$8)</f>
        <v>189789670.11871</v>
      </c>
      <c r="X44" s="8" t="n">
        <f aca="false">IF(Initiatives!$E$6="adoption",X40*Initiatives!$E$23+X39*Initiatives!$E$8-X43*Initiatives!$E$8,(Initiatives!$E$42*Initiatives!$E$41+Initiatives!$E$38*Initiatives!$E$13*Initiatives!$E$14+Initiatives!$E$43*Initiatives!$E$16)*X41-X43*Initiatives!$E$8)</f>
        <v>187583159.274289</v>
      </c>
      <c r="Y44" s="8" t="n">
        <f aca="false">IF(Initiatives!$E$6="adoption",Y40*Initiatives!$E$23+Y39*Initiatives!$E$8-Y43*Initiatives!$E$8,(Initiatives!$E$42*Initiatives!$E$41+Initiatives!$E$38*Initiatives!$E$13*Initiatives!$E$14+Initiatives!$E$43*Initiatives!$E$16)*Y41-Y43*Initiatives!$E$8)</f>
        <v>185400621.330079</v>
      </c>
      <c r="Z44" s="8" t="n">
        <f aca="false">IF(Initiatives!$E$6="adoption",Z40*Initiatives!$E$23+Z39*Initiatives!$E$8-Z43*Initiatives!$E$8,(Initiatives!$E$42*Initiatives!$E$41+Initiatives!$E$38*Initiatives!$E$13*Initiatives!$E$14+Initiatives!$E$43*Initiatives!$E$16)*Z41-Z43*Initiatives!$E$8)</f>
        <v>183241826.720442</v>
      </c>
      <c r="AA44" s="8" t="n">
        <f aca="false">IF(Initiatives!$E$6="adoption",AA40*Initiatives!$E$23+AA39*Initiatives!$E$8-AA43*Initiatives!$E$8,(Initiatives!$E$42*Initiatives!$E$41+Initiatives!$E$38*Initiatives!$E$13*Initiatives!$E$14+Initiatives!$E$43*Initiatives!$E$16)*AA41-AA43*Initiatives!$E$8)</f>
        <v>181106547.470328</v>
      </c>
      <c r="AB44" s="8" t="n">
        <f aca="false">IF(Initiatives!$E$6="adoption",AB40*Initiatives!$E$23+AB39*Initiatives!$E$8-AB43*Initiatives!$E$8,(Initiatives!$E$42*Initiatives!$E$41+Initiatives!$E$38*Initiatives!$E$13*Initiatives!$E$14+Initiatives!$E$43*Initiatives!$E$16)*AB41-AB43*Initiatives!$E$8)</f>
        <v>178994557.197819</v>
      </c>
      <c r="AC44" s="8" t="n">
        <f aca="false">IF(Initiatives!$E$6="adoption",AC40*Initiatives!$E$23+AC39*Initiatives!$E$8-AC43*Initiatives!$E$8,(Initiatives!$E$42*Initiatives!$E$41+Initiatives!$E$38*Initiatives!$E$13*Initiatives!$E$14+Initiatives!$E$43*Initiatives!$E$16)*AC41-AC43*Initiatives!$E$8)</f>
        <v>176905631.116258</v>
      </c>
      <c r="AD44" s="8" t="n">
        <f aca="false">IF(Initiatives!$E$6="adoption",AD40*Initiatives!$E$23+AD39*Initiatives!$E$8-AD43*Initiatives!$E$8,(Initiatives!$E$42*Initiatives!$E$41+Initiatives!$E$38*Initiatives!$E$13*Initiatives!$E$14+Initiatives!$E$43*Initiatives!$E$16)*AD41-AD43*Initiatives!$E$8)</f>
        <v>174839546.035982</v>
      </c>
      <c r="AE44" s="8" t="n">
        <f aca="false">IF(Initiatives!$E$6="adoption",AE40*Initiatives!$E$23+AE39*Initiatives!$E$8-AE43*Initiatives!$E$8,(Initiatives!$E$42*Initiatives!$E$41+Initiatives!$E$38*Initiatives!$E$13*Initiatives!$E$14+Initiatives!$E$43*Initiatives!$E$16)*AE41-AE43*Initiatives!$E$8)</f>
        <v>172796080.365653</v>
      </c>
      <c r="AF44" s="8" t="n">
        <f aca="false">IF(Initiatives!$E$6="adoption",AF40*Initiatives!$E$23+AF39*Initiatives!$E$8-AF43*Initiatives!$E$8,(Initiatives!$E$42*Initiatives!$E$41+Initiatives!$E$38*Initiatives!$E$13*Initiatives!$E$14+Initiatives!$E$43*Initiatives!$E$16)*AF41-AF43*Initiatives!$E$8)</f>
        <v>170775014.113216</v>
      </c>
      <c r="AG44" s="8" t="n">
        <f aca="false">IF(Initiatives!$E$6="adoption",AG40*Initiatives!$E$23+AG39*Initiatives!$E$8-AG43*Initiatives!$E$8,(Initiatives!$E$42*Initiatives!$E$41+Initiatives!$E$38*Initiatives!$E$13*Initiatives!$E$14+Initiatives!$E$43*Initiatives!$E$16)*AG41-AG43*Initiatives!$E$8)</f>
        <v>168776128.886485</v>
      </c>
      <c r="AH44" s="8" t="n">
        <f aca="false">IF(Initiatives!$E$6="adoption",AH40*Initiatives!$E$23+AH39*Initiatives!$E$8-AH43*Initiatives!$E$8,(Initiatives!$E$42*Initiatives!$E$41+Initiatives!$E$38*Initiatives!$E$13*Initiatives!$E$14+Initiatives!$E$43*Initiatives!$E$16)*AH41-AH43*Initiatives!$E$8)</f>
        <v>166799207.893368</v>
      </c>
      <c r="AI44" s="8" t="n">
        <f aca="false">IF(Initiatives!$E$6="adoption",AI40*Initiatives!$E$23+AI39*Initiatives!$E$8-AI43*Initiatives!$E$8,(Initiatives!$E$42*Initiatives!$E$41+Initiatives!$E$38*Initiatives!$E$13*Initiatives!$E$14+Initiatives!$E$43*Initiatives!$E$16)*AI41-AI43*Initiatives!$E$8)</f>
        <v>164844035.941751</v>
      </c>
      <c r="AJ44" s="8" t="n">
        <f aca="false">IF(Initiatives!$E$6="adoption",AJ40*Initiatives!$E$23+AJ39*Initiatives!$E$8-AJ43*Initiatives!$E$8,(Initiatives!$E$42*Initiatives!$E$41+Initiatives!$E$38*Initiatives!$E$13*Initiatives!$E$14+Initiatives!$E$43*Initiatives!$E$16)*AJ41-AJ43*Initiatives!$E$8)</f>
        <v>162910399.439032</v>
      </c>
      <c r="AK44" s="8" t="n">
        <f aca="false">IF(Initiatives!$E$6="adoption",AK40*Initiatives!$E$23+AK39*Initiatives!$E$8-AK43*Initiatives!$E$8,(Initiatives!$E$42*Initiatives!$E$41+Initiatives!$E$38*Initiatives!$E$13*Initiatives!$E$14+Initiatives!$E$43*Initiatives!$E$16)*AK41-AK43*Initiatives!$E$8)</f>
        <v>160998086.391334</v>
      </c>
      <c r="AL44" s="8" t="n">
        <f aca="false">IF(Initiatives!$E$6="adoption",AL40*Initiatives!$E$23+AL39*Initiatives!$E$8-AL43*Initiatives!$E$8,(Initiatives!$E$42*Initiatives!$E$41+Initiatives!$E$38*Initiatives!$E$13*Initiatives!$E$14+Initiatives!$E$43*Initiatives!$E$16)*AL41-AL43*Initiatives!$E$8)</f>
        <v>159106886.402402</v>
      </c>
    </row>
    <row r="45" customFormat="false" ht="15" hidden="false" customHeight="false" outlineLevel="0" collapsed="false">
      <c r="A45" s="4" t="s">
        <v>187</v>
      </c>
      <c r="B45" s="4" t="s">
        <v>188</v>
      </c>
      <c r="C45" s="8" t="n">
        <f aca="false">IF(C$3&lt;=Initiatives!$E$45,Initiatives!$E$28/Initiatives!$E$45,0)+IF(Initiatives!$E$6="adoption",C38*Initiatives!$E$26+C40*Initiatives!$E$27+IF(C$3=Initiatives!$E$31,Initiatives!$E$39*Initiatives!$E$25,0)+IF(C$3&gt;=Initiatives!$E$31,Initiatives!$E$29,0),Initiatives!$E$42*Initiatives!$E$18*C41+IF(C$3=Initiatives!$E$31,Initiatives!$E$32*Initiatives!$E$38*Initiatives!$E$25,0)+IF(C$3=Initiatives!$E$33,(1-Initiatives!$E$32)*Initiatives!$E$38*Initiatives!$E$25,0)+IF(C$3&gt;=Initiatives!$E$31,Initiatives!$E$29-Initiatives!$E$19*(Initiatives!$E$32+IF(C$3&gt;=Initiatives!$E$33,1-Initiatives!$E$32,0)),0))</f>
        <v>350000000</v>
      </c>
      <c r="D45" s="8" t="n">
        <f aca="false">IF(D$3&lt;=Initiatives!$E$45,Initiatives!$E$28/Initiatives!$E$45,0)+IF(Initiatives!$E$6="adoption",D38*Initiatives!$E$26+D40*Initiatives!$E$27+IF(D$3=Initiatives!$E$31,Initiatives!$E$39*Initiatives!$E$25,0)+IF(D$3&gt;=Initiatives!$E$31,Initiatives!$E$29,0),Initiatives!$E$42*Initiatives!$E$18*D41+IF(D$3=Initiatives!$E$31,Initiatives!$E$32*Initiatives!$E$38*Initiatives!$E$25,0)+IF(D$3=Initiatives!$E$33,(1-Initiatives!$E$32)*Initiatives!$E$38*Initiatives!$E$25,0)+IF(D$3&gt;=Initiatives!$E$31,Initiatives!$E$29-Initiatives!$E$19*(Initiatives!$E$32+IF(D$3&gt;=Initiatives!$E$33,1-Initiatives!$E$32,0)),0))</f>
        <v>41600800</v>
      </c>
      <c r="E45" s="8" t="n">
        <f aca="false">IF(E$3&lt;=Initiatives!$E$45,Initiatives!$E$28/Initiatives!$E$45,0)+IF(Initiatives!$E$6="adoption",E38*Initiatives!$E$26+E40*Initiatives!$E$27+IF(E$3=Initiatives!$E$31,Initiatives!$E$39*Initiatives!$E$25,0)+IF(E$3&gt;=Initiatives!$E$31,Initiatives!$E$29,0),Initiatives!$E$42*Initiatives!$E$18*E41+IF(E$3=Initiatives!$E$31,Initiatives!$E$32*Initiatives!$E$38*Initiatives!$E$25,0)+IF(E$3=Initiatives!$E$33,(1-Initiatives!$E$32)*Initiatives!$E$38*Initiatives!$E$25,0)+IF(E$3&gt;=Initiatives!$E$31,Initiatives!$E$29-Initiatives!$E$19*(Initiatives!$E$32+IF(E$3&gt;=Initiatives!$E$33,1-Initiatives!$E$32,0)),0))</f>
        <v>25569868.6</v>
      </c>
      <c r="F45" s="8" t="n">
        <f aca="false">IF(F$3&lt;=Initiatives!$E$45,Initiatives!$E$28/Initiatives!$E$45,0)+IF(Initiatives!$E$6="adoption",F38*Initiatives!$E$26+F40*Initiatives!$E$27+IF(F$3=Initiatives!$E$31,Initiatives!$E$39*Initiatives!$E$25,0)+IF(F$3&gt;=Initiatives!$E$31,Initiatives!$E$29,0),Initiatives!$E$42*Initiatives!$E$18*F41+IF(F$3=Initiatives!$E$31,Initiatives!$E$32*Initiatives!$E$38*Initiatives!$E$25,0)+IF(F$3=Initiatives!$E$33,(1-Initiatives!$E$32)*Initiatives!$E$38*Initiatives!$E$25,0)+IF(F$3&gt;=Initiatives!$E$31,Initiatives!$E$29-Initiatives!$E$19*(Initiatives!$E$32+IF(F$3&gt;=Initiatives!$E$33,1-Initiatives!$E$32,0)),0))</f>
        <v>25347997.97245</v>
      </c>
      <c r="G45" s="8" t="n">
        <f aca="false">IF(G$3&lt;=Initiatives!$E$45,Initiatives!$E$28/Initiatives!$E$45,0)+IF(Initiatives!$E$6="adoption",G38*Initiatives!$E$26+G40*Initiatives!$E$27+IF(G$3=Initiatives!$E$31,Initiatives!$E$39*Initiatives!$E$25,0)+IF(G$3&gt;=Initiatives!$E$31,Initiatives!$E$29,0),Initiatives!$E$42*Initiatives!$E$18*G41+IF(G$3=Initiatives!$E$31,Initiatives!$E$32*Initiatives!$E$38*Initiatives!$E$25,0)+IF(G$3=Initiatives!$E$33,(1-Initiatives!$E$32)*Initiatives!$E$38*Initiatives!$E$25,0)+IF(G$3&gt;=Initiatives!$E$31,Initiatives!$E$29-Initiatives!$E$19*(Initiatives!$E$32+IF(G$3&gt;=Initiatives!$E$33,1-Initiatives!$E$32,0)),0))</f>
        <v>25129289.0013426</v>
      </c>
      <c r="H45" s="8" t="n">
        <f aca="false">IF(H$3&lt;=Initiatives!$E$45,Initiatives!$E$28/Initiatives!$E$45,0)+IF(Initiatives!$E$6="adoption",H38*Initiatives!$E$26+H40*Initiatives!$E$27+IF(H$3=Initiatives!$E$31,Initiatives!$E$39*Initiatives!$E$25,0)+IF(H$3&gt;=Initiatives!$E$31,Initiatives!$E$29,0),Initiatives!$E$42*Initiatives!$E$18*H41+IF(H$3=Initiatives!$E$31,Initiatives!$E$32*Initiatives!$E$38*Initiatives!$E$25,0)+IF(H$3=Initiatives!$E$33,(1-Initiatives!$E$32)*Initiatives!$E$38*Initiatives!$E$25,0)+IF(H$3&gt;=Initiatives!$E$31,Initiatives!$E$29-Initiatives!$E$19*(Initiatives!$E$32+IF(H$3&gt;=Initiatives!$E$33,1-Initiatives!$E$32,0)),0))</f>
        <v>24913696.6330735</v>
      </c>
      <c r="I45" s="8" t="n">
        <f aca="false">IF(I$3&lt;=Initiatives!$E$45,Initiatives!$E$28/Initiatives!$E$45,0)+IF(Initiatives!$E$6="adoption",I38*Initiatives!$E$26+I40*Initiatives!$E$27+IF(I$3=Initiatives!$E$31,Initiatives!$E$39*Initiatives!$E$25,0)+IF(I$3&gt;=Initiatives!$E$31,Initiatives!$E$29,0),Initiatives!$E$42*Initiatives!$E$18*I41+IF(I$3=Initiatives!$E$31,Initiatives!$E$32*Initiatives!$E$38*Initiatives!$E$25,0)+IF(I$3=Initiatives!$E$33,(1-Initiatives!$E$32)*Initiatives!$E$38*Initiatives!$E$25,0)+IF(I$3&gt;=Initiatives!$E$31,Initiatives!$E$29-Initiatives!$E$19*(Initiatives!$E$32+IF(I$3&gt;=Initiatives!$E$33,1-Initiatives!$E$32,0)),0))</f>
        <v>24701176.4560522</v>
      </c>
      <c r="J45" s="8" t="n">
        <f aca="false">IF(J$3&lt;=Initiatives!$E$45,Initiatives!$E$28/Initiatives!$E$45,0)+IF(Initiatives!$E$6="adoption",J38*Initiatives!$E$26+J40*Initiatives!$E$27+IF(J$3=Initiatives!$E$31,Initiatives!$E$39*Initiatives!$E$25,0)+IF(J$3&gt;=Initiatives!$E$31,Initiatives!$E$29,0),Initiatives!$E$42*Initiatives!$E$18*J41+IF(J$3=Initiatives!$E$31,Initiatives!$E$32*Initiatives!$E$38*Initiatives!$E$25,0)+IF(J$3=Initiatives!$E$33,(1-Initiatives!$E$32)*Initiatives!$E$38*Initiatives!$E$25,0)+IF(J$3&gt;=Initiatives!$E$31,Initiatives!$E$29-Initiatives!$E$19*(Initiatives!$E$32+IF(J$3&gt;=Initiatives!$E$33,1-Initiatives!$E$32,0)),0))</f>
        <v>24491684.6915534</v>
      </c>
      <c r="K45" s="8" t="n">
        <f aca="false">IF(K$3&lt;=Initiatives!$E$45,Initiatives!$E$28/Initiatives!$E$45,0)+IF(Initiatives!$E$6="adoption",K38*Initiatives!$E$26+K40*Initiatives!$E$27+IF(K$3=Initiatives!$E$31,Initiatives!$E$39*Initiatives!$E$25,0)+IF(K$3&gt;=Initiatives!$E$31,Initiatives!$E$29,0),Initiatives!$E$42*Initiatives!$E$18*K41+IF(K$3=Initiatives!$E$31,Initiatives!$E$32*Initiatives!$E$38*Initiatives!$E$25,0)+IF(K$3=Initiatives!$E$33,(1-Initiatives!$E$32)*Initiatives!$E$38*Initiatives!$E$25,0)+IF(K$3&gt;=Initiatives!$E$31,Initiatives!$E$29-Initiatives!$E$19*(Initiatives!$E$32+IF(K$3&gt;=Initiatives!$E$33,1-Initiatives!$E$32,0)),0))</f>
        <v>24285178.1846988</v>
      </c>
      <c r="L45" s="8" t="n">
        <f aca="false">IF(L$3&lt;=Initiatives!$E$45,Initiatives!$E$28/Initiatives!$E$45,0)+IF(Initiatives!$E$6="adoption",L38*Initiatives!$E$26+L40*Initiatives!$E$27+IF(L$3=Initiatives!$E$31,Initiatives!$E$39*Initiatives!$E$25,0)+IF(L$3&gt;=Initiatives!$E$31,Initiatives!$E$29,0),Initiatives!$E$42*Initiatives!$E$18*L41+IF(L$3=Initiatives!$E$31,Initiatives!$E$32*Initiatives!$E$38*Initiatives!$E$25,0)+IF(L$3=Initiatives!$E$33,(1-Initiatives!$E$32)*Initiatives!$E$38*Initiatives!$E$25,0)+IF(L$3&gt;=Initiatives!$E$31,Initiatives!$E$29-Initiatives!$E$19*(Initiatives!$E$32+IF(L$3&gt;=Initiatives!$E$33,1-Initiatives!$E$32,0)),0))</f>
        <v>24081614.3955668</v>
      </c>
      <c r="M45" s="8" t="n">
        <f aca="false">IF(M$3&lt;=Initiatives!$E$45,Initiatives!$E$28/Initiatives!$E$45,0)+IF(Initiatives!$E$6="adoption",M38*Initiatives!$E$26+M40*Initiatives!$E$27+IF(M$3=Initiatives!$E$31,Initiatives!$E$39*Initiatives!$E$25,0)+IF(M$3&gt;=Initiatives!$E$31,Initiatives!$E$29,0),Initiatives!$E$42*Initiatives!$E$18*M41+IF(M$3=Initiatives!$E$31,Initiatives!$E$32*Initiatives!$E$38*Initiatives!$E$25,0)+IF(M$3=Initiatives!$E$33,(1-Initiatives!$E$32)*Initiatives!$E$38*Initiatives!$E$25,0)+IF(M$3&gt;=Initiatives!$E$31,Initiatives!$E$29-Initiatives!$E$19*(Initiatives!$E$32+IF(M$3&gt;=Initiatives!$E$33,1-Initiatives!$E$32,0)),0))</f>
        <v>23880951.39043</v>
      </c>
      <c r="N45" s="8" t="n">
        <f aca="false">IF(N$3&lt;=Initiatives!$E$45,Initiatives!$E$28/Initiatives!$E$45,0)+IF(Initiatives!$E$6="adoption",N38*Initiatives!$E$26+N40*Initiatives!$E$27+IF(N$3=Initiatives!$E$31,Initiatives!$E$39*Initiatives!$E$25,0)+IF(N$3&gt;=Initiatives!$E$31,Initiatives!$E$29,0),Initiatives!$E$42*Initiatives!$E$18*N41+IF(N$3=Initiatives!$E$31,Initiatives!$E$32*Initiatives!$E$38*Initiatives!$E$25,0)+IF(N$3=Initiatives!$E$33,(1-Initiatives!$E$32)*Initiatives!$E$38*Initiatives!$E$25,0)+IF(N$3&gt;=Initiatives!$E$31,Initiatives!$E$29-Initiatives!$E$19*(Initiatives!$E$32+IF(N$3&gt;=Initiatives!$E$33,1-Initiatives!$E$32,0)),0))</f>
        <v>23683147.8331164</v>
      </c>
      <c r="O45" s="8" t="n">
        <f aca="false">IF(O$3&lt;=Initiatives!$E$45,Initiatives!$E$28/Initiatives!$E$45,0)+IF(Initiatives!$E$6="adoption",O38*Initiatives!$E$26+O40*Initiatives!$E$27+IF(O$3=Initiatives!$E$31,Initiatives!$E$39*Initiatives!$E$25,0)+IF(O$3&gt;=Initiatives!$E$31,Initiatives!$E$29,0),Initiatives!$E$42*Initiatives!$E$18*O41+IF(O$3=Initiatives!$E$31,Initiatives!$E$32*Initiatives!$E$38*Initiatives!$E$25,0)+IF(O$3=Initiatives!$E$33,(1-Initiatives!$E$32)*Initiatives!$E$38*Initiatives!$E$25,0)+IF(O$3&gt;=Initiatives!$E$31,Initiatives!$E$29-Initiatives!$E$19*(Initiatives!$E$32+IF(O$3&gt;=Initiatives!$E$33,1-Initiatives!$E$32,0)),0))</f>
        <v>23488162.9764945</v>
      </c>
      <c r="P45" s="8" t="n">
        <f aca="false">IF(P$3&lt;=Initiatives!$E$45,Initiatives!$E$28/Initiatives!$E$45,0)+IF(Initiatives!$E$6="adoption",P38*Initiatives!$E$26+P40*Initiatives!$E$27+IF(P$3=Initiatives!$E$31,Initiatives!$E$39*Initiatives!$E$25,0)+IF(P$3&gt;=Initiatives!$E$31,Initiatives!$E$29,0),Initiatives!$E$42*Initiatives!$E$18*P41+IF(P$3=Initiatives!$E$31,Initiatives!$E$32*Initiatives!$E$38*Initiatives!$E$25,0)+IF(P$3=Initiatives!$E$33,(1-Initiatives!$E$32)*Initiatives!$E$38*Initiatives!$E$25,0)+IF(P$3&gt;=Initiatives!$E$31,Initiatives!$E$29-Initiatives!$E$19*(Initiatives!$E$32+IF(P$3&gt;=Initiatives!$E$33,1-Initiatives!$E$32,0)),0))</f>
        <v>23295956.6540794</v>
      </c>
      <c r="Q45" s="8" t="n">
        <f aca="false">IF(Q$3&lt;=Initiatives!$E$45,Initiatives!$E$28/Initiatives!$E$45,0)+IF(Initiatives!$E$6="adoption",Q38*Initiatives!$E$26+Q40*Initiatives!$E$27+IF(Q$3=Initiatives!$E$31,Initiatives!$E$39*Initiatives!$E$25,0)+IF(Q$3&gt;=Initiatives!$E$31,Initiatives!$E$29,0),Initiatives!$E$42*Initiatives!$E$18*Q41+IF(Q$3=Initiatives!$E$31,Initiatives!$E$32*Initiatives!$E$38*Initiatives!$E$25,0)+IF(Q$3=Initiatives!$E$33,(1-Initiatives!$E$32)*Initiatives!$E$38*Initiatives!$E$25,0)+IF(Q$3&gt;=Initiatives!$E$31,Initiatives!$E$29-Initiatives!$E$19*(Initiatives!$E$32+IF(Q$3&gt;=Initiatives!$E$33,1-Initiatives!$E$32,0)),0))</f>
        <v>23106489.2717588</v>
      </c>
      <c r="R45" s="8" t="n">
        <f aca="false">IF(R$3&lt;=Initiatives!$E$45,Initiatives!$E$28/Initiatives!$E$45,0)+IF(Initiatives!$E$6="adoption",R38*Initiatives!$E$26+R40*Initiatives!$E$27+IF(R$3=Initiatives!$E$31,Initiatives!$E$39*Initiatives!$E$25,0)+IF(R$3&gt;=Initiatives!$E$31,Initiatives!$E$29,0),Initiatives!$E$42*Initiatives!$E$18*R41+IF(R$3=Initiatives!$E$31,Initiatives!$E$32*Initiatives!$E$38*Initiatives!$E$25,0)+IF(R$3=Initiatives!$E$33,(1-Initiatives!$E$32)*Initiatives!$E$38*Initiatives!$E$25,0)+IF(R$3&gt;=Initiatives!$E$31,Initiatives!$E$29-Initiatives!$E$19*(Initiatives!$E$32+IF(R$3&gt;=Initiatives!$E$33,1-Initiatives!$E$32,0)),0))</f>
        <v>22919721.7996362</v>
      </c>
      <c r="S45" s="8" t="n">
        <f aca="false">IF(S$3&lt;=Initiatives!$E$45,Initiatives!$E$28/Initiatives!$E$45,0)+IF(Initiatives!$E$6="adoption",S38*Initiatives!$E$26+S40*Initiatives!$E$27+IF(S$3=Initiatives!$E$31,Initiatives!$E$39*Initiatives!$E$25,0)+IF(S$3&gt;=Initiatives!$E$31,Initiatives!$E$29,0),Initiatives!$E$42*Initiatives!$E$18*S41+IF(S$3=Initiatives!$E$31,Initiatives!$E$32*Initiatives!$E$38*Initiatives!$E$25,0)+IF(S$3=Initiatives!$E$33,(1-Initiatives!$E$32)*Initiatives!$E$38*Initiatives!$E$25,0)+IF(S$3&gt;=Initiatives!$E$31,Initiatives!$E$29-Initiatives!$E$19*(Initiatives!$E$32+IF(S$3&gt;=Initiatives!$E$33,1-Initiatives!$E$32,0)),0))</f>
        <v>22735615.7639914</v>
      </c>
      <c r="T45" s="8" t="n">
        <f aca="false">IF(T$3&lt;=Initiatives!$E$45,Initiatives!$E$28/Initiatives!$E$45,0)+IF(Initiatives!$E$6="adoption",T38*Initiatives!$E$26+T40*Initiatives!$E$27+IF(T$3=Initiatives!$E$31,Initiatives!$E$39*Initiatives!$E$25,0)+IF(T$3&gt;=Initiatives!$E$31,Initiatives!$E$29,0),Initiatives!$E$42*Initiatives!$E$18*T41+IF(T$3=Initiatives!$E$31,Initiatives!$E$32*Initiatives!$E$38*Initiatives!$E$25,0)+IF(T$3=Initiatives!$E$33,(1-Initiatives!$E$32)*Initiatives!$E$38*Initiatives!$E$25,0)+IF(T$3&gt;=Initiatives!$E$31,Initiatives!$E$29-Initiatives!$E$19*(Initiatives!$E$32+IF(T$3&gt;=Initiatives!$E$33,1-Initiatives!$E$32,0)),0))</f>
        <v>22554133.2393545</v>
      </c>
      <c r="U45" s="8" t="n">
        <f aca="false">IF(U$3&lt;=Initiatives!$E$45,Initiatives!$E$28/Initiatives!$E$45,0)+IF(Initiatives!$E$6="adoption",U38*Initiatives!$E$26+U40*Initiatives!$E$27+IF(U$3=Initiatives!$E$31,Initiatives!$E$39*Initiatives!$E$25,0)+IF(U$3&gt;=Initiatives!$E$31,Initiatives!$E$29,0),Initiatives!$E$42*Initiatives!$E$18*U41+IF(U$3=Initiatives!$E$31,Initiatives!$E$32*Initiatives!$E$38*Initiatives!$E$25,0)+IF(U$3=Initiatives!$E$33,(1-Initiatives!$E$32)*Initiatives!$E$38*Initiatives!$E$25,0)+IF(U$3&gt;=Initiatives!$E$31,Initiatives!$E$29-Initiatives!$E$19*(Initiatives!$E$32+IF(U$3&gt;=Initiatives!$E$33,1-Initiatives!$E$32,0)),0))</f>
        <v>22375236.8406937</v>
      </c>
      <c r="V45" s="8" t="n">
        <f aca="false">IF(V$3&lt;=Initiatives!$E$45,Initiatives!$E$28/Initiatives!$E$45,0)+IF(Initiatives!$E$6="adoption",V38*Initiatives!$E$26+V40*Initiatives!$E$27+IF(V$3=Initiatives!$E$31,Initiatives!$E$39*Initiatives!$E$25,0)+IF(V$3&gt;=Initiatives!$E$31,Initiatives!$E$29,0),Initiatives!$E$42*Initiatives!$E$18*V41+IF(V$3=Initiatives!$E$31,Initiatives!$E$32*Initiatives!$E$38*Initiatives!$E$25,0)+IF(V$3=Initiatives!$E$33,(1-Initiatives!$E$32)*Initiatives!$E$38*Initiatives!$E$25,0)+IF(V$3&gt;=Initiatives!$E$31,Initiatives!$E$29-Initiatives!$E$19*(Initiatives!$E$32+IF(V$3&gt;=Initiatives!$E$33,1-Initiatives!$E$32,0)),0))</f>
        <v>22198889.7157138</v>
      </c>
      <c r="W45" s="8" t="n">
        <f aca="false">IF(W$3&lt;=Initiatives!$E$45,Initiatives!$E$28/Initiatives!$E$45,0)+IF(Initiatives!$E$6="adoption",W38*Initiatives!$E$26+W40*Initiatives!$E$27+IF(W$3=Initiatives!$E$31,Initiatives!$E$39*Initiatives!$E$25,0)+IF(W$3&gt;=Initiatives!$E$31,Initiatives!$E$29,0),Initiatives!$E$42*Initiatives!$E$18*W41+IF(W$3=Initiatives!$E$31,Initiatives!$E$32*Initiatives!$E$38*Initiatives!$E$25,0)+IF(W$3=Initiatives!$E$33,(1-Initiatives!$E$32)*Initiatives!$E$38*Initiatives!$E$25,0)+IF(W$3&gt;=Initiatives!$E$31,Initiatives!$E$29-Initiatives!$E$19*(Initiatives!$E$32+IF(W$3&gt;=Initiatives!$E$33,1-Initiatives!$E$32,0)),0))</f>
        <v>22025055.5372649</v>
      </c>
      <c r="X45" s="8" t="n">
        <f aca="false">IF(X$3&lt;=Initiatives!$E$45,Initiatives!$E$28/Initiatives!$E$45,0)+IF(Initiatives!$E$6="adoption",X38*Initiatives!$E$26+X40*Initiatives!$E$27+IF(X$3=Initiatives!$E$31,Initiatives!$E$39*Initiatives!$E$25,0)+IF(X$3&gt;=Initiatives!$E$31,Initiatives!$E$29,0),Initiatives!$E$42*Initiatives!$E$18*X41+IF(X$3=Initiatives!$E$31,Initiatives!$E$32*Initiatives!$E$38*Initiatives!$E$25,0)+IF(X$3=Initiatives!$E$33,(1-Initiatives!$E$32)*Initiatives!$E$38*Initiatives!$E$25,0)+IF(X$3&gt;=Initiatives!$E$31,Initiatives!$E$29-Initiatives!$E$19*(Initiatives!$E$32+IF(X$3&gt;=Initiatives!$E$33,1-Initiatives!$E$32,0)),0))</f>
        <v>21853698.4958589</v>
      </c>
      <c r="Y45" s="8" t="n">
        <f aca="false">IF(Y$3&lt;=Initiatives!$E$45,Initiatives!$E$28/Initiatives!$E$45,0)+IF(Initiatives!$E$6="adoption",Y38*Initiatives!$E$26+Y40*Initiatives!$E$27+IF(Y$3=Initiatives!$E$31,Initiatives!$E$39*Initiatives!$E$25,0)+IF(Y$3&gt;=Initiatives!$E$31,Initiatives!$E$29,0),Initiatives!$E$42*Initiatives!$E$18*Y41+IF(Y$3=Initiatives!$E$31,Initiatives!$E$32*Initiatives!$E$38*Initiatives!$E$25,0)+IF(Y$3=Initiatives!$E$33,(1-Initiatives!$E$32)*Initiatives!$E$38*Initiatives!$E$25,0)+IF(Y$3&gt;=Initiatives!$E$31,Initiatives!$E$29-Initiatives!$E$19*(Initiatives!$E$32+IF(Y$3&gt;=Initiatives!$E$33,1-Initiatives!$E$32,0)),0))</f>
        <v>21684783.2922929</v>
      </c>
      <c r="Z45" s="8" t="n">
        <f aca="false">IF(Z$3&lt;=Initiatives!$E$45,Initiatives!$E$28/Initiatives!$E$45,0)+IF(Initiatives!$E$6="adoption",Z38*Initiatives!$E$26+Z40*Initiatives!$E$27+IF(Z$3=Initiatives!$E$31,Initiatives!$E$39*Initiatives!$E$25,0)+IF(Z$3&gt;=Initiatives!$E$31,Initiatives!$E$29,0),Initiatives!$E$42*Initiatives!$E$18*Z41+IF(Z$3=Initiatives!$E$31,Initiatives!$E$32*Initiatives!$E$38*Initiatives!$E$25,0)+IF(Z$3=Initiatives!$E$33,(1-Initiatives!$E$32)*Initiatives!$E$38*Initiatives!$E$25,0)+IF(Z$3&gt;=Initiatives!$E$31,Initiatives!$E$29-Initiatives!$E$19*(Initiatives!$E$32+IF(Z$3&gt;=Initiatives!$E$33,1-Initiatives!$E$32,0)),0))</f>
        <v>21518275.1303777</v>
      </c>
      <c r="AA45" s="8" t="n">
        <f aca="false">IF(AA$3&lt;=Initiatives!$E$45,Initiatives!$E$28/Initiatives!$E$45,0)+IF(Initiatives!$E$6="adoption",AA38*Initiatives!$E$26+AA40*Initiatives!$E$27+IF(AA$3=Initiatives!$E$31,Initiatives!$E$39*Initiatives!$E$25,0)+IF(AA$3&gt;=Initiatives!$E$31,Initiatives!$E$29,0),Initiatives!$E$42*Initiatives!$E$18*AA41+IF(AA$3=Initiatives!$E$31,Initiatives!$E$32*Initiatives!$E$38*Initiatives!$E$25,0)+IF(AA$3=Initiatives!$E$33,(1-Initiatives!$E$32)*Initiatives!$E$38*Initiatives!$E$25,0)+IF(AA$3&gt;=Initiatives!$E$31,Initiatives!$E$29-Initiatives!$E$19*(Initiatives!$E$32+IF(AA$3&gt;=Initiatives!$E$33,1-Initiatives!$E$32,0)),0))</f>
        <v>21354139.7097698</v>
      </c>
      <c r="AB45" s="8" t="n">
        <f aca="false">IF(AB$3&lt;=Initiatives!$E$45,Initiatives!$E$28/Initiatives!$E$45,0)+IF(Initiatives!$E$6="adoption",AB38*Initiatives!$E$26+AB40*Initiatives!$E$27+IF(AB$3=Initiatives!$E$31,Initiatives!$E$39*Initiatives!$E$25,0)+IF(AB$3&gt;=Initiatives!$E$31,Initiatives!$E$29,0),Initiatives!$E$42*Initiatives!$E$18*AB41+IF(AB$3=Initiatives!$E$31,Initiatives!$E$32*Initiatives!$E$38*Initiatives!$E$25,0)+IF(AB$3=Initiatives!$E$33,(1-Initiatives!$E$32)*Initiatives!$E$38*Initiatives!$E$25,0)+IF(AB$3&gt;=Initiatives!$E$31,Initiatives!$E$29-Initiatives!$E$19*(Initiatives!$E$32+IF(AB$3&gt;=Initiatives!$E$33,1-Initiatives!$E$32,0)),0))</f>
        <v>21192343.2189056</v>
      </c>
      <c r="AC45" s="8" t="n">
        <f aca="false">IF(AC$3&lt;=Initiatives!$E$45,Initiatives!$E$28/Initiatives!$E$45,0)+IF(Initiatives!$E$6="adoption",AC38*Initiatives!$E$26+AC40*Initiatives!$E$27+IF(AC$3=Initiatives!$E$31,Initiatives!$E$39*Initiatives!$E$25,0)+IF(AC$3&gt;=Initiatives!$E$31,Initiatives!$E$29,0),Initiatives!$E$42*Initiatives!$E$18*AC41+IF(AC$3=Initiatives!$E$31,Initiatives!$E$32*Initiatives!$E$38*Initiatives!$E$25,0)+IF(AC$3=Initiatives!$E$33,(1-Initiatives!$E$32)*Initiatives!$E$38*Initiatives!$E$25,0)+IF(AC$3&gt;=Initiatives!$E$31,Initiatives!$E$29-Initiatives!$E$19*(Initiatives!$E$32+IF(AC$3&gt;=Initiatives!$E$33,1-Initiatives!$E$32,0)),0))</f>
        <v>21032852.3280362</v>
      </c>
      <c r="AD45" s="8" t="n">
        <f aca="false">IF(AD$3&lt;=Initiatives!$E$45,Initiatives!$E$28/Initiatives!$E$45,0)+IF(Initiatives!$E$6="adoption",AD38*Initiatives!$E$26+AD40*Initiatives!$E$27+IF(AD$3=Initiatives!$E$31,Initiatives!$E$39*Initiatives!$E$25,0)+IF(AD$3&gt;=Initiatives!$E$31,Initiatives!$E$29,0),Initiatives!$E$42*Initiatives!$E$18*AD41+IF(AD$3=Initiatives!$E$31,Initiatives!$E$32*Initiatives!$E$38*Initiatives!$E$25,0)+IF(AD$3=Initiatives!$E$33,(1-Initiatives!$E$32)*Initiatives!$E$38*Initiatives!$E$25,0)+IF(AD$3&gt;=Initiatives!$E$31,Initiatives!$E$29-Initiatives!$E$19*(Initiatives!$E$32+IF(AD$3&gt;=Initiatives!$E$33,1-Initiatives!$E$32,0)),0))</f>
        <v>20875634.1823617</v>
      </c>
      <c r="AE45" s="8" t="n">
        <f aca="false">IF(AE$3&lt;=Initiatives!$E$45,Initiatives!$E$28/Initiatives!$E$45,0)+IF(Initiatives!$E$6="adoption",AE38*Initiatives!$E$26+AE40*Initiatives!$E$27+IF(AE$3=Initiatives!$E$31,Initiatives!$E$39*Initiatives!$E$25,0)+IF(AE$3&gt;=Initiatives!$E$31,Initiatives!$E$29,0),Initiatives!$E$42*Initiatives!$E$18*AE41+IF(AE$3=Initiatives!$E$31,Initiatives!$E$32*Initiatives!$E$38*Initiatives!$E$25,0)+IF(AE$3=Initiatives!$E$33,(1-Initiatives!$E$32)*Initiatives!$E$38*Initiatives!$E$25,0)+IF(AE$3&gt;=Initiatives!$E$31,Initiatives!$E$29-Initiatives!$E$19*(Initiatives!$E$32+IF(AE$3&gt;=Initiatives!$E$33,1-Initiatives!$E$32,0)),0))</f>
        <v>20720656.3952631</v>
      </c>
      <c r="AF45" s="8" t="n">
        <f aca="false">IF(AF$3&lt;=Initiatives!$E$45,Initiatives!$E$28/Initiatives!$E$45,0)+IF(Initiatives!$E$6="adoption",AF38*Initiatives!$E$26+AF40*Initiatives!$E$27+IF(AF$3=Initiatives!$E$31,Initiatives!$E$39*Initiatives!$E$25,0)+IF(AF$3&gt;=Initiatives!$E$31,Initiatives!$E$29,0),Initiatives!$E$42*Initiatives!$E$18*AF41+IF(AF$3=Initiatives!$E$31,Initiatives!$E$32*Initiatives!$E$38*Initiatives!$E$25,0)+IF(AF$3=Initiatives!$E$33,(1-Initiatives!$E$32)*Initiatives!$E$38*Initiatives!$E$25,0)+IF(AF$3&gt;=Initiatives!$E$31,Initiatives!$E$29-Initiatives!$E$19*(Initiatives!$E$32+IF(AF$3&gt;=Initiatives!$E$33,1-Initiatives!$E$32,0)),0))</f>
        <v>20567887.0416306</v>
      </c>
      <c r="AG45" s="8" t="n">
        <f aca="false">IF(AG$3&lt;=Initiatives!$E$45,Initiatives!$E$28/Initiatives!$E$45,0)+IF(Initiatives!$E$6="adoption",AG38*Initiatives!$E$26+AG40*Initiatives!$E$27+IF(AG$3=Initiatives!$E$31,Initiatives!$E$39*Initiatives!$E$25,0)+IF(AG$3&gt;=Initiatives!$E$31,Initiatives!$E$29,0),Initiatives!$E$42*Initiatives!$E$18*AG41+IF(AG$3=Initiatives!$E$31,Initiatives!$E$32*Initiatives!$E$38*Initiatives!$E$25,0)+IF(AG$3=Initiatives!$E$33,(1-Initiatives!$E$32)*Initiatives!$E$38*Initiatives!$E$25,0)+IF(AG$3&gt;=Initiatives!$E$31,Initiatives!$E$29-Initiatives!$E$19*(Initiatives!$E$32+IF(AG$3&gt;=Initiatives!$E$33,1-Initiatives!$E$32,0)),0))</f>
        <v>20417294.6512873</v>
      </c>
      <c r="AH45" s="8" t="n">
        <f aca="false">IF(AH$3&lt;=Initiatives!$E$45,Initiatives!$E$28/Initiatives!$E$45,0)+IF(Initiatives!$E$6="adoption",AH38*Initiatives!$E$26+AH40*Initiatives!$E$27+IF(AH$3=Initiatives!$E$31,Initiatives!$E$39*Initiatives!$E$25,0)+IF(AH$3&gt;=Initiatives!$E$31,Initiatives!$E$29,0),Initiatives!$E$42*Initiatives!$E$18*AH41+IF(AH$3=Initiatives!$E$31,Initiatives!$E$32*Initiatives!$E$38*Initiatives!$E$25,0)+IF(AH$3=Initiatives!$E$33,(1-Initiatives!$E$32)*Initiatives!$E$38*Initiatives!$E$25,0)+IF(AH$3&gt;=Initiatives!$E$31,Initiatives!$E$29-Initiatives!$E$19*(Initiatives!$E$32+IF(AH$3&gt;=Initiatives!$E$33,1-Initiatives!$E$32,0)),0))</f>
        <v>20268848.2025065</v>
      </c>
      <c r="AI45" s="8" t="n">
        <f aca="false">IF(AI$3&lt;=Initiatives!$E$45,Initiatives!$E$28/Initiatives!$E$45,0)+IF(Initiatives!$E$6="adoption",AI38*Initiatives!$E$26+AI40*Initiatives!$E$27+IF(AI$3=Initiatives!$E$31,Initiatives!$E$39*Initiatives!$E$25,0)+IF(AI$3&gt;=Initiatives!$E$31,Initiatives!$E$29,0),Initiatives!$E$42*Initiatives!$E$18*AI41+IF(AI$3=Initiatives!$E$31,Initiatives!$E$32*Initiatives!$E$38*Initiatives!$E$25,0)+IF(AI$3=Initiatives!$E$33,(1-Initiatives!$E$32)*Initiatives!$E$38*Initiatives!$E$25,0)+IF(AI$3&gt;=Initiatives!$E$31,Initiatives!$E$29-Initiatives!$E$19*(Initiatives!$E$32+IF(AI$3&gt;=Initiatives!$E$33,1-Initiatives!$E$32,0)),0))</f>
        <v>20122517.1156208</v>
      </c>
      <c r="AJ45" s="8" t="n">
        <f aca="false">IF(AJ$3&lt;=Initiatives!$E$45,Initiatives!$E$28/Initiatives!$E$45,0)+IF(Initiatives!$E$6="adoption",AJ38*Initiatives!$E$26+AJ40*Initiatives!$E$27+IF(AJ$3=Initiatives!$E$31,Initiatives!$E$39*Initiatives!$E$25,0)+IF(AJ$3&gt;=Initiatives!$E$31,Initiatives!$E$29,0),Initiatives!$E$42*Initiatives!$E$18*AJ41+IF(AJ$3=Initiatives!$E$31,Initiatives!$E$32*Initiatives!$E$38*Initiatives!$E$25,0)+IF(AJ$3=Initiatives!$E$33,(1-Initiatives!$E$32)*Initiatives!$E$38*Initiatives!$E$25,0)+IF(AJ$3&gt;=Initiatives!$E$31,Initiatives!$E$29-Initiatives!$E$19*(Initiatives!$E$32+IF(AJ$3&gt;=Initiatives!$E$33,1-Initiatives!$E$32,0)),0))</f>
        <v>19978271.2467232</v>
      </c>
      <c r="AK45" s="8" t="n">
        <f aca="false">IF(AK$3&lt;=Initiatives!$E$45,Initiatives!$E$28/Initiatives!$E$45,0)+IF(Initiatives!$E$6="adoption",AK38*Initiatives!$E$26+AK40*Initiatives!$E$27+IF(AK$3=Initiatives!$E$31,Initiatives!$E$39*Initiatives!$E$25,0)+IF(AK$3&gt;=Initiatives!$E$31,Initiatives!$E$29,0),Initiatives!$E$42*Initiatives!$E$18*AK41+IF(AK$3=Initiatives!$E$31,Initiatives!$E$32*Initiatives!$E$38*Initiatives!$E$25,0)+IF(AK$3=Initiatives!$E$33,(1-Initiatives!$E$32)*Initiatives!$E$38*Initiatives!$E$25,0)+IF(AK$3&gt;=Initiatives!$E$31,Initiatives!$E$29-Initiatives!$E$19*(Initiatives!$E$32+IF(AK$3&gt;=Initiatives!$E$33,1-Initiatives!$E$32,0)),0))</f>
        <v>19836080.8814574</v>
      </c>
      <c r="AL45" s="8" t="n">
        <f aca="false">IF(AL$3&lt;=Initiatives!$E$45,Initiatives!$E$28/Initiatives!$E$45,0)+IF(Initiatives!$E$6="adoption",AL38*Initiatives!$E$26+AL40*Initiatives!$E$27+IF(AL$3=Initiatives!$E$31,Initiatives!$E$39*Initiatives!$E$25,0)+IF(AL$3&gt;=Initiatives!$E$31,Initiatives!$E$29,0),Initiatives!$E$42*Initiatives!$E$18*AL41+IF(AL$3=Initiatives!$E$31,Initiatives!$E$32*Initiatives!$E$38*Initiatives!$E$25,0)+IF(AL$3=Initiatives!$E$33,(1-Initiatives!$E$32)*Initiatives!$E$38*Initiatives!$E$25,0)+IF(AL$3&gt;=Initiatives!$E$31,Initiatives!$E$29-Initiatives!$E$19*(Initiatives!$E$32+IF(AL$3&gt;=Initiatives!$E$33,1-Initiatives!$E$32,0)),0))</f>
        <v>19695916.7288966</v>
      </c>
    </row>
    <row r="46" customFormat="false" ht="15" hidden="false" customHeight="false" outlineLevel="0" collapsed="false">
      <c r="A46" s="4" t="s">
        <v>189</v>
      </c>
      <c r="B46" s="4" t="s">
        <v>190</v>
      </c>
      <c r="C46" s="8" t="n">
        <f aca="false">C44*Initiatives!$E$30-C45</f>
        <v>-350000000</v>
      </c>
      <c r="D46" s="8" t="n">
        <f aca="false">D44*Initiatives!$E$30-D45</f>
        <v>58369400</v>
      </c>
      <c r="E46" s="8" t="n">
        <f aca="false">E44*Initiatives!$E$30-E45</f>
        <v>173225872.61</v>
      </c>
      <c r="F46" s="8" t="n">
        <f aca="false">F44*Initiatives!$E$30-F45</f>
        <v>171170538.296908</v>
      </c>
      <c r="G46" s="8" t="n">
        <f aca="false">G44*Initiatives!$E$30-G45</f>
        <v>169136157.982203</v>
      </c>
      <c r="H46" s="8" t="n">
        <f aca="false">H44*Initiatives!$E$30-H45</f>
        <v>167122558.089142</v>
      </c>
      <c r="I46" s="8" t="n">
        <f aca="false">I44*Initiatives!$E$30-I45</f>
        <v>165129565.639184</v>
      </c>
      <c r="J46" s="8" t="n">
        <f aca="false">J44*Initiatives!$E$30-J45</f>
        <v>163157008.271597</v>
      </c>
      <c r="K46" s="8" t="n">
        <f aca="false">K44*Initiatives!$E$30-K45</f>
        <v>161204714.262355</v>
      </c>
      <c r="L46" s="8" t="n">
        <f aca="false">L44*Initiatives!$E$30-L45</f>
        <v>159272512.542367</v>
      </c>
      <c r="M46" s="8" t="n">
        <f aca="false">M44*Initiatives!$E$30-M45</f>
        <v>157360232.715014</v>
      </c>
      <c r="N46" s="8" t="n">
        <f aca="false">N44*Initiatives!$E$30-N45</f>
        <v>155467705.073055</v>
      </c>
      <c r="O46" s="8" t="n">
        <f aca="false">O44*Initiatives!$E$30-O45</f>
        <v>153594760.614881</v>
      </c>
      <c r="P46" s="8" t="n">
        <f aca="false">P44*Initiatives!$E$30-P45</f>
        <v>151741231.060149</v>
      </c>
      <c r="Q46" s="8" t="n">
        <f aca="false">Q44*Initiatives!$E$30-Q45</f>
        <v>149906948.864811</v>
      </c>
      <c r="R46" s="8" t="n">
        <f aca="false">R44*Initiatives!$E$30-R45</f>
        <v>148091747.235548</v>
      </c>
      <c r="S46" s="8" t="n">
        <f aca="false">S44*Initiatives!$E$30-S45</f>
        <v>146295460.143621</v>
      </c>
      <c r="T46" s="8" t="n">
        <f aca="false">T44*Initiatives!$E$30-T45</f>
        <v>144517922.338162</v>
      </c>
      <c r="U46" s="8" t="n">
        <f aca="false">U44*Initiatives!$E$30-U45</f>
        <v>142758969.358906</v>
      </c>
      <c r="V46" s="8" t="n">
        <f aca="false">V44*Initiatives!$E$30-V45</f>
        <v>141018437.548394</v>
      </c>
      <c r="W46" s="8" t="n">
        <f aca="false">W44*Initiatives!$E$30-W45</f>
        <v>139296164.063639</v>
      </c>
      <c r="X46" s="8" t="n">
        <f aca="false">X44*Initiatives!$E$30-X45</f>
        <v>137591986.887287</v>
      </c>
      <c r="Y46" s="8" t="n">
        <f aca="false">Y44*Initiatives!$E$30-Y45</f>
        <v>135905744.838274</v>
      </c>
      <c r="Z46" s="8" t="n">
        <f aca="false">Z44*Initiatives!$E$30-Z45</f>
        <v>134237277.581998</v>
      </c>
      <c r="AA46" s="8" t="n">
        <f aca="false">AA44*Initiatives!$E$30-AA45</f>
        <v>132586425.640009</v>
      </c>
      <c r="AB46" s="8" t="n">
        <f aca="false">AB44*Initiatives!$E$30-AB45</f>
        <v>130953030.39924</v>
      </c>
      <c r="AC46" s="8" t="n">
        <f aca="false">AC44*Initiatives!$E$30-AC45</f>
        <v>129336934.120783</v>
      </c>
      <c r="AD46" s="8" t="n">
        <f aca="false">AD44*Initiatives!$E$30-AD45</f>
        <v>127737979.948223</v>
      </c>
      <c r="AE46" s="8" t="n">
        <f aca="false">AE44*Initiatives!$E$30-AE45</f>
        <v>126156011.915542</v>
      </c>
      <c r="AF46" s="8" t="n">
        <f aca="false">AF44*Initiatives!$E$30-AF45</f>
        <v>124590874.954603</v>
      </c>
      <c r="AG46" s="8" t="n">
        <f aca="false">AG44*Initiatives!$E$30-AG45</f>
        <v>123042414.902225</v>
      </c>
      <c r="AH46" s="8" t="n">
        <f aca="false">AH44*Initiatives!$E$30-AH45</f>
        <v>121510478.506857</v>
      </c>
      <c r="AI46" s="8" t="n">
        <f aca="false">AI44*Initiatives!$E$30-AI45</f>
        <v>119994913.434868</v>
      </c>
      <c r="AJ46" s="8" t="n">
        <f aca="false">AJ44*Initiatives!$E$30-AJ45</f>
        <v>118495568.276454</v>
      </c>
      <c r="AK46" s="8" t="n">
        <f aca="false">AK44*Initiatives!$E$30-AK45</f>
        <v>117012292.551177</v>
      </c>
      <c r="AL46" s="8" t="n">
        <f aca="false">AL44*Initiatives!$E$30-AL45</f>
        <v>115544936.713145</v>
      </c>
    </row>
    <row r="47" customFormat="false" ht="15" hidden="false" customHeight="false" outlineLevel="0" collapsed="false">
      <c r="A47" s="4" t="s">
        <v>191</v>
      </c>
      <c r="B47" s="4" t="s">
        <v>192</v>
      </c>
      <c r="C47" s="8" t="n">
        <f aca="false">C39-C43</f>
        <v>0</v>
      </c>
      <c r="D47" s="8" t="n">
        <f aca="false">D39-D43</f>
        <v>0</v>
      </c>
      <c r="E47" s="8" t="n">
        <f aca="false">E39-E43</f>
        <v>11.7612</v>
      </c>
      <c r="F47" s="8" t="n">
        <f aca="false">F39-F43</f>
        <v>34.9395849</v>
      </c>
      <c r="G47" s="8" t="n">
        <f aca="false">G39-G43</f>
        <v>57.437488085175</v>
      </c>
      <c r="H47" s="8" t="n">
        <f aca="false">H39-H43</f>
        <v>79.2698592659113</v>
      </c>
      <c r="I47" s="8" t="n">
        <f aca="false">I39-I43</f>
        <v>100.451356326533</v>
      </c>
      <c r="J47" s="8" t="n">
        <f aca="false">J39-J43</f>
        <v>120.996350665713</v>
      </c>
      <c r="K47" s="8" t="n">
        <f aca="false">K39-K43</f>
        <v>140.918932443057</v>
      </c>
      <c r="L47" s="8" t="n">
        <f aca="false">L39-L43</f>
        <v>160.23291573346</v>
      </c>
      <c r="M47" s="8" t="n">
        <f aca="false">M39-M43</f>
        <v>178.951843590808</v>
      </c>
      <c r="N47" s="8" t="n">
        <f aca="false">N39-N43</f>
        <v>197.088993022591</v>
      </c>
      <c r="O47" s="8" t="n">
        <f aca="false">O39-O43</f>
        <v>214.657379876927</v>
      </c>
      <c r="P47" s="8" t="n">
        <f aca="false">P39-P43</f>
        <v>231.669763643514</v>
      </c>
      <c r="Q47" s="8" t="n">
        <f aca="false">Q39-Q43</f>
        <v>248.138652169981</v>
      </c>
      <c r="R47" s="8" t="n">
        <f aca="false">R39-R43</f>
        <v>264.076306295069</v>
      </c>
      <c r="S47" s="8" t="n">
        <f aca="false">S39-S43</f>
        <v>279.494744400098</v>
      </c>
      <c r="T47" s="8" t="n">
        <f aca="false">T39-T43</f>
        <v>294.405746880083</v>
      </c>
      <c r="U47" s="8" t="n">
        <f aca="false">U39-U43</f>
        <v>308.820860535914</v>
      </c>
      <c r="V47" s="8" t="n">
        <f aca="false">V39-V43</f>
        <v>322.751402888916</v>
      </c>
      <c r="W47" s="8" t="n">
        <f aca="false">W39-W43</f>
        <v>336.208466419153</v>
      </c>
      <c r="X47" s="8" t="n">
        <f aca="false">X39-X43</f>
        <v>349.202922728763</v>
      </c>
      <c r="Y47" s="8" t="n">
        <f aca="false">Y39-Y43</f>
        <v>361.74542663162</v>
      </c>
      <c r="Z47" s="8" t="n">
        <f aca="false">Z39-Z43</f>
        <v>373.846420170585</v>
      </c>
      <c r="AA47" s="8" t="n">
        <f aca="false">AA39-AA43</f>
        <v>385.516136563593</v>
      </c>
      <c r="AB47" s="8" t="n">
        <f aca="false">AB39-AB43</f>
        <v>396.764604079793</v>
      </c>
      <c r="AC47" s="8" t="n">
        <f aca="false">AC39-AC43</f>
        <v>407.601649846955</v>
      </c>
      <c r="AD47" s="8" t="n">
        <f aca="false">AD39-AD43</f>
        <v>418.036903591305</v>
      </c>
      <c r="AE47" s="8" t="n">
        <f aca="false">AE39-AE43</f>
        <v>428.079801310978</v>
      </c>
      <c r="AF47" s="8" t="n">
        <f aca="false">AF39-AF43</f>
        <v>437.739588884208</v>
      </c>
      <c r="AG47" s="8" t="n">
        <f aca="false">AG39-AG43</f>
        <v>447.025325613391</v>
      </c>
      <c r="AH47" s="8" t="n">
        <f aca="false">AH39-AH43</f>
        <v>455.945887706121</v>
      </c>
      <c r="AI47" s="8" t="n">
        <f aca="false">AI39-AI43</f>
        <v>464.509971694289</v>
      </c>
      <c r="AJ47" s="8" t="n">
        <f aca="false">AJ39-AJ43</f>
        <v>472.726097792305</v>
      </c>
      <c r="AK47" s="8" t="n">
        <f aca="false">AK39-AK43</f>
        <v>480.602613195506</v>
      </c>
      <c r="AL47" s="8" t="n">
        <f aca="false">AL39-AL43</f>
        <v>488.147695319759</v>
      </c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customFormat="false" ht="15" hidden="false" customHeight="false" outlineLevel="0" collapsed="false">
      <c r="A49" s="13" t="s">
        <v>195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</row>
    <row r="50" customFormat="false" ht="15" hidden="false" customHeight="false" outlineLevel="0" collapsed="false">
      <c r="A50" s="4" t="s">
        <v>169</v>
      </c>
      <c r="B50" s="4" t="s">
        <v>170</v>
      </c>
      <c r="C50" s="18" t="n">
        <f aca="false">IF(Initiatives!$F$6="adoption",IF(C$3&lt;Initiatives!$F$31,0,MIN((C$3-Initiatives!$F$31+1)/Initiatives!$F$34,1)),0)</f>
        <v>0</v>
      </c>
      <c r="D50" s="18" t="n">
        <f aca="false">IF(Initiatives!$F$6="adoption",IF(D$3&lt;Initiatives!$F$31,0,MIN((D$3-Initiatives!$F$31+1)/Initiatives!$F$34,1)),0)</f>
        <v>0.333333333333333</v>
      </c>
      <c r="E50" s="18" t="n">
        <f aca="false">IF(Initiatives!$F$6="adoption",IF(E$3&lt;Initiatives!$F$31,0,MIN((E$3-Initiatives!$F$31+1)/Initiatives!$F$34,1)),0)</f>
        <v>0.666666666666667</v>
      </c>
      <c r="F50" s="18" t="n">
        <f aca="false">IF(Initiatives!$F$6="adoption",IF(F$3&lt;Initiatives!$F$31,0,MIN((F$3-Initiatives!$F$31+1)/Initiatives!$F$34,1)),0)</f>
        <v>1</v>
      </c>
      <c r="G50" s="18" t="n">
        <f aca="false">IF(Initiatives!$F$6="adoption",IF(G$3&lt;Initiatives!$F$31,0,MIN((G$3-Initiatives!$F$31+1)/Initiatives!$F$34,1)),0)</f>
        <v>1</v>
      </c>
      <c r="H50" s="18" t="n">
        <f aca="false">IF(Initiatives!$F$6="adoption",IF(H$3&lt;Initiatives!$F$31,0,MIN((H$3-Initiatives!$F$31+1)/Initiatives!$F$34,1)),0)</f>
        <v>1</v>
      </c>
      <c r="I50" s="18" t="n">
        <f aca="false">IF(Initiatives!$F$6="adoption",IF(I$3&lt;Initiatives!$F$31,0,MIN((I$3-Initiatives!$F$31+1)/Initiatives!$F$34,1)),0)</f>
        <v>1</v>
      </c>
      <c r="J50" s="18" t="n">
        <f aca="false">IF(Initiatives!$F$6="adoption",IF(J$3&lt;Initiatives!$F$31,0,MIN((J$3-Initiatives!$F$31+1)/Initiatives!$F$34,1)),0)</f>
        <v>1</v>
      </c>
      <c r="K50" s="18" t="n">
        <f aca="false">IF(Initiatives!$F$6="adoption",IF(K$3&lt;Initiatives!$F$31,0,MIN((K$3-Initiatives!$F$31+1)/Initiatives!$F$34,1)),0)</f>
        <v>1</v>
      </c>
      <c r="L50" s="18" t="n">
        <f aca="false">IF(Initiatives!$F$6="adoption",IF(L$3&lt;Initiatives!$F$31,0,MIN((L$3-Initiatives!$F$31+1)/Initiatives!$F$34,1)),0)</f>
        <v>1</v>
      </c>
      <c r="M50" s="18" t="n">
        <f aca="false">IF(Initiatives!$F$6="adoption",IF(M$3&lt;Initiatives!$F$31,0,MIN((M$3-Initiatives!$F$31+1)/Initiatives!$F$34,1)),0)</f>
        <v>1</v>
      </c>
      <c r="N50" s="18" t="n">
        <f aca="false">IF(Initiatives!$F$6="adoption",IF(N$3&lt;Initiatives!$F$31,0,MIN((N$3-Initiatives!$F$31+1)/Initiatives!$F$34,1)),0)</f>
        <v>1</v>
      </c>
      <c r="O50" s="18" t="n">
        <f aca="false">IF(Initiatives!$F$6="adoption",IF(O$3&lt;Initiatives!$F$31,0,MIN((O$3-Initiatives!$F$31+1)/Initiatives!$F$34,1)),0)</f>
        <v>1</v>
      </c>
      <c r="P50" s="18" t="n">
        <f aca="false">IF(Initiatives!$F$6="adoption",IF(P$3&lt;Initiatives!$F$31,0,MIN((P$3-Initiatives!$F$31+1)/Initiatives!$F$34,1)),0)</f>
        <v>1</v>
      </c>
      <c r="Q50" s="18" t="n">
        <f aca="false">IF(Initiatives!$F$6="adoption",IF(Q$3&lt;Initiatives!$F$31,0,MIN((Q$3-Initiatives!$F$31+1)/Initiatives!$F$34,1)),0)</f>
        <v>1</v>
      </c>
      <c r="R50" s="18" t="n">
        <f aca="false">IF(Initiatives!$F$6="adoption",IF(R$3&lt;Initiatives!$F$31,0,MIN((R$3-Initiatives!$F$31+1)/Initiatives!$F$34,1)),0)</f>
        <v>1</v>
      </c>
      <c r="S50" s="18" t="n">
        <f aca="false">IF(Initiatives!$F$6="adoption",IF(S$3&lt;Initiatives!$F$31,0,MIN((S$3-Initiatives!$F$31+1)/Initiatives!$F$34,1)),0)</f>
        <v>1</v>
      </c>
      <c r="T50" s="18" t="n">
        <f aca="false">IF(Initiatives!$F$6="adoption",IF(T$3&lt;Initiatives!$F$31,0,MIN((T$3-Initiatives!$F$31+1)/Initiatives!$F$34,1)),0)</f>
        <v>1</v>
      </c>
      <c r="U50" s="18" t="n">
        <f aca="false">IF(Initiatives!$F$6="adoption",IF(U$3&lt;Initiatives!$F$31,0,MIN((U$3-Initiatives!$F$31+1)/Initiatives!$F$34,1)),0)</f>
        <v>1</v>
      </c>
      <c r="V50" s="18" t="n">
        <f aca="false">IF(Initiatives!$F$6="adoption",IF(V$3&lt;Initiatives!$F$31,0,MIN((V$3-Initiatives!$F$31+1)/Initiatives!$F$34,1)),0)</f>
        <v>1</v>
      </c>
      <c r="W50" s="18" t="n">
        <f aca="false">IF(Initiatives!$F$6="adoption",IF(W$3&lt;Initiatives!$F$31,0,MIN((W$3-Initiatives!$F$31+1)/Initiatives!$F$34,1)),0)</f>
        <v>1</v>
      </c>
      <c r="X50" s="18" t="n">
        <f aca="false">IF(Initiatives!$F$6="adoption",IF(X$3&lt;Initiatives!$F$31,0,MIN((X$3-Initiatives!$F$31+1)/Initiatives!$F$34,1)),0)</f>
        <v>1</v>
      </c>
      <c r="Y50" s="18" t="n">
        <f aca="false">IF(Initiatives!$F$6="adoption",IF(Y$3&lt;Initiatives!$F$31,0,MIN((Y$3-Initiatives!$F$31+1)/Initiatives!$F$34,1)),0)</f>
        <v>1</v>
      </c>
      <c r="Z50" s="18" t="n">
        <f aca="false">IF(Initiatives!$F$6="adoption",IF(Z$3&lt;Initiatives!$F$31,0,MIN((Z$3-Initiatives!$F$31+1)/Initiatives!$F$34,1)),0)</f>
        <v>1</v>
      </c>
      <c r="AA50" s="18" t="n">
        <f aca="false">IF(Initiatives!$F$6="adoption",IF(AA$3&lt;Initiatives!$F$31,0,MIN((AA$3-Initiatives!$F$31+1)/Initiatives!$F$34,1)),0)</f>
        <v>1</v>
      </c>
      <c r="AB50" s="18" t="n">
        <f aca="false">IF(Initiatives!$F$6="adoption",IF(AB$3&lt;Initiatives!$F$31,0,MIN((AB$3-Initiatives!$F$31+1)/Initiatives!$F$34,1)),0)</f>
        <v>1</v>
      </c>
      <c r="AC50" s="18" t="n">
        <f aca="false">IF(Initiatives!$F$6="adoption",IF(AC$3&lt;Initiatives!$F$31,0,MIN((AC$3-Initiatives!$F$31+1)/Initiatives!$F$34,1)),0)</f>
        <v>1</v>
      </c>
      <c r="AD50" s="18" t="n">
        <f aca="false">IF(Initiatives!$F$6="adoption",IF(AD$3&lt;Initiatives!$F$31,0,MIN((AD$3-Initiatives!$F$31+1)/Initiatives!$F$34,1)),0)</f>
        <v>1</v>
      </c>
      <c r="AE50" s="18" t="n">
        <f aca="false">IF(Initiatives!$F$6="adoption",IF(AE$3&lt;Initiatives!$F$31,0,MIN((AE$3-Initiatives!$F$31+1)/Initiatives!$F$34,1)),0)</f>
        <v>1</v>
      </c>
      <c r="AF50" s="18" t="n">
        <f aca="false">IF(Initiatives!$F$6="adoption",IF(AF$3&lt;Initiatives!$F$31,0,MIN((AF$3-Initiatives!$F$31+1)/Initiatives!$F$34,1)),0)</f>
        <v>1</v>
      </c>
      <c r="AG50" s="18" t="n">
        <f aca="false">IF(Initiatives!$F$6="adoption",IF(AG$3&lt;Initiatives!$F$31,0,MIN((AG$3-Initiatives!$F$31+1)/Initiatives!$F$34,1)),0)</f>
        <v>1</v>
      </c>
      <c r="AH50" s="18" t="n">
        <f aca="false">IF(Initiatives!$F$6="adoption",IF(AH$3&lt;Initiatives!$F$31,0,MIN((AH$3-Initiatives!$F$31+1)/Initiatives!$F$34,1)),0)</f>
        <v>1</v>
      </c>
      <c r="AI50" s="18" t="n">
        <f aca="false">IF(Initiatives!$F$6="adoption",IF(AI$3&lt;Initiatives!$F$31,0,MIN((AI$3-Initiatives!$F$31+1)/Initiatives!$F$34,1)),0)</f>
        <v>1</v>
      </c>
      <c r="AJ50" s="18" t="n">
        <f aca="false">IF(Initiatives!$F$6="adoption",IF(AJ$3&lt;Initiatives!$F$31,0,MIN((AJ$3-Initiatives!$F$31+1)/Initiatives!$F$34,1)),0)</f>
        <v>1</v>
      </c>
      <c r="AK50" s="18" t="n">
        <f aca="false">IF(Initiatives!$F$6="adoption",IF(AK$3&lt;Initiatives!$F$31,0,MIN((AK$3-Initiatives!$F$31+1)/Initiatives!$F$34,1)),0)</f>
        <v>1</v>
      </c>
      <c r="AL50" s="18" t="n">
        <f aca="false">IF(Initiatives!$F$6="adoption",IF(AL$3&lt;Initiatives!$F$31,0,MIN((AL$3-Initiatives!$F$31+1)/Initiatives!$F$34,1)),0)</f>
        <v>1</v>
      </c>
    </row>
    <row r="51" customFormat="false" ht="15" hidden="false" customHeight="false" outlineLevel="0" collapsed="false">
      <c r="A51" s="4" t="s">
        <v>171</v>
      </c>
      <c r="B51" s="4" t="s">
        <v>172</v>
      </c>
      <c r="C51" s="8" t="n">
        <f aca="false">Initiatives!$F$40*C50</f>
        <v>0</v>
      </c>
      <c r="D51" s="8" t="n">
        <f aca="false">Initiatives!$F$40*D50</f>
        <v>8448</v>
      </c>
      <c r="E51" s="8" t="n">
        <f aca="false">Initiatives!$F$40*E50</f>
        <v>16896</v>
      </c>
      <c r="F51" s="8" t="n">
        <f aca="false">Initiatives!$F$40*F50</f>
        <v>25344</v>
      </c>
      <c r="G51" s="8" t="n">
        <f aca="false">Initiatives!$F$40*G50</f>
        <v>25344</v>
      </c>
      <c r="H51" s="8" t="n">
        <f aca="false">Initiatives!$F$40*H50</f>
        <v>25344</v>
      </c>
      <c r="I51" s="8" t="n">
        <f aca="false">Initiatives!$F$40*I50</f>
        <v>25344</v>
      </c>
      <c r="J51" s="8" t="n">
        <f aca="false">Initiatives!$F$40*J50</f>
        <v>25344</v>
      </c>
      <c r="K51" s="8" t="n">
        <f aca="false">Initiatives!$F$40*K50</f>
        <v>25344</v>
      </c>
      <c r="L51" s="8" t="n">
        <f aca="false">Initiatives!$F$40*L50</f>
        <v>25344</v>
      </c>
      <c r="M51" s="8" t="n">
        <f aca="false">Initiatives!$F$40*M50</f>
        <v>25344</v>
      </c>
      <c r="N51" s="8" t="n">
        <f aca="false">Initiatives!$F$40*N50</f>
        <v>25344</v>
      </c>
      <c r="O51" s="8" t="n">
        <f aca="false">Initiatives!$F$40*O50</f>
        <v>25344</v>
      </c>
      <c r="P51" s="8" t="n">
        <f aca="false">Initiatives!$F$40*P50</f>
        <v>25344</v>
      </c>
      <c r="Q51" s="8" t="n">
        <f aca="false">Initiatives!$F$40*Q50</f>
        <v>25344</v>
      </c>
      <c r="R51" s="8" t="n">
        <f aca="false">Initiatives!$F$40*R50</f>
        <v>25344</v>
      </c>
      <c r="S51" s="8" t="n">
        <f aca="false">Initiatives!$F$40*S50</f>
        <v>25344</v>
      </c>
      <c r="T51" s="8" t="n">
        <f aca="false">Initiatives!$F$40*T50</f>
        <v>25344</v>
      </c>
      <c r="U51" s="8" t="n">
        <f aca="false">Initiatives!$F$40*U50</f>
        <v>25344</v>
      </c>
      <c r="V51" s="8" t="n">
        <f aca="false">Initiatives!$F$40*V50</f>
        <v>25344</v>
      </c>
      <c r="W51" s="8" t="n">
        <f aca="false">Initiatives!$F$40*W50</f>
        <v>25344</v>
      </c>
      <c r="X51" s="8" t="n">
        <f aca="false">Initiatives!$F$40*X50</f>
        <v>25344</v>
      </c>
      <c r="Y51" s="8" t="n">
        <f aca="false">Initiatives!$F$40*Y50</f>
        <v>25344</v>
      </c>
      <c r="Z51" s="8" t="n">
        <f aca="false">Initiatives!$F$40*Z50</f>
        <v>25344</v>
      </c>
      <c r="AA51" s="8" t="n">
        <f aca="false">Initiatives!$F$40*AA50</f>
        <v>25344</v>
      </c>
      <c r="AB51" s="8" t="n">
        <f aca="false">Initiatives!$F$40*AB50</f>
        <v>25344</v>
      </c>
      <c r="AC51" s="8" t="n">
        <f aca="false">Initiatives!$F$40*AC50</f>
        <v>25344</v>
      </c>
      <c r="AD51" s="8" t="n">
        <f aca="false">Initiatives!$F$40*AD50</f>
        <v>25344</v>
      </c>
      <c r="AE51" s="8" t="n">
        <f aca="false">Initiatives!$F$40*AE50</f>
        <v>25344</v>
      </c>
      <c r="AF51" s="8" t="n">
        <f aca="false">Initiatives!$F$40*AF50</f>
        <v>25344</v>
      </c>
      <c r="AG51" s="8" t="n">
        <f aca="false">Initiatives!$F$40*AG50</f>
        <v>25344</v>
      </c>
      <c r="AH51" s="8" t="n">
        <f aca="false">Initiatives!$F$40*AH50</f>
        <v>25344</v>
      </c>
      <c r="AI51" s="8" t="n">
        <f aca="false">Initiatives!$F$40*AI50</f>
        <v>25344</v>
      </c>
      <c r="AJ51" s="8" t="n">
        <f aca="false">Initiatives!$F$40*AJ50</f>
        <v>25344</v>
      </c>
      <c r="AK51" s="8" t="n">
        <f aca="false">Initiatives!$F$40*AK50</f>
        <v>25344</v>
      </c>
      <c r="AL51" s="8" t="n">
        <f aca="false">Initiatives!$F$40*AL50</f>
        <v>25344</v>
      </c>
    </row>
    <row r="52" customFormat="false" ht="15" hidden="false" customHeight="false" outlineLevel="0" collapsed="false">
      <c r="A52" s="4" t="s">
        <v>173</v>
      </c>
      <c r="B52" s="4" t="s">
        <v>174</v>
      </c>
      <c r="C52" s="8" t="n">
        <f aca="false">MAX(C51-N(B51),0)</f>
        <v>0</v>
      </c>
      <c r="D52" s="8" t="n">
        <f aca="false">MAX(D51-N(C51),0)</f>
        <v>8448</v>
      </c>
      <c r="E52" s="8" t="n">
        <f aca="false">MAX(E51-N(D51),0)</f>
        <v>8448</v>
      </c>
      <c r="F52" s="8" t="n">
        <f aca="false">MAX(F51-N(E51),0)</f>
        <v>8448</v>
      </c>
      <c r="G52" s="8" t="n">
        <f aca="false">MAX(G51-N(F51),0)</f>
        <v>0</v>
      </c>
      <c r="H52" s="8" t="n">
        <f aca="false">MAX(H51-N(G51),0)</f>
        <v>0</v>
      </c>
      <c r="I52" s="8" t="n">
        <f aca="false">MAX(I51-N(H51),0)</f>
        <v>0</v>
      </c>
      <c r="J52" s="8" t="n">
        <f aca="false">MAX(J51-N(I51),0)</f>
        <v>0</v>
      </c>
      <c r="K52" s="8" t="n">
        <f aca="false">MAX(K51-N(J51),0)</f>
        <v>0</v>
      </c>
      <c r="L52" s="8" t="n">
        <f aca="false">MAX(L51-N(K51),0)</f>
        <v>0</v>
      </c>
      <c r="M52" s="8" t="n">
        <f aca="false">MAX(M51-N(L51),0)</f>
        <v>0</v>
      </c>
      <c r="N52" s="8" t="n">
        <f aca="false">MAX(N51-N(M51),0)</f>
        <v>0</v>
      </c>
      <c r="O52" s="8" t="n">
        <f aca="false">MAX(O51-N(N51),0)</f>
        <v>0</v>
      </c>
      <c r="P52" s="8" t="n">
        <f aca="false">MAX(P51-N(O51),0)</f>
        <v>0</v>
      </c>
      <c r="Q52" s="8" t="n">
        <f aca="false">MAX(Q51-N(P51),0)</f>
        <v>0</v>
      </c>
      <c r="R52" s="8" t="n">
        <f aca="false">MAX(R51-N(Q51),0)</f>
        <v>0</v>
      </c>
      <c r="S52" s="8" t="n">
        <f aca="false">MAX(S51-N(R51),0)</f>
        <v>0</v>
      </c>
      <c r="T52" s="8" t="n">
        <f aca="false">MAX(T51-N(S51),0)</f>
        <v>0</v>
      </c>
      <c r="U52" s="8" t="n">
        <f aca="false">MAX(U51-N(T51),0)</f>
        <v>0</v>
      </c>
      <c r="V52" s="8" t="n">
        <f aca="false">MAX(V51-N(U51),0)</f>
        <v>0</v>
      </c>
      <c r="W52" s="8" t="n">
        <f aca="false">MAX(W51-N(V51),0)</f>
        <v>0</v>
      </c>
      <c r="X52" s="8" t="n">
        <f aca="false">MAX(X51-N(W51),0)</f>
        <v>0</v>
      </c>
      <c r="Y52" s="8" t="n">
        <f aca="false">MAX(Y51-N(X51),0)</f>
        <v>0</v>
      </c>
      <c r="Z52" s="8" t="n">
        <f aca="false">MAX(Z51-N(Y51),0)</f>
        <v>0</v>
      </c>
      <c r="AA52" s="8" t="n">
        <f aca="false">MAX(AA51-N(Z51),0)</f>
        <v>0</v>
      </c>
      <c r="AB52" s="8" t="n">
        <f aca="false">MAX(AB51-N(AA51),0)</f>
        <v>0</v>
      </c>
      <c r="AC52" s="8" t="n">
        <f aca="false">MAX(AC51-N(AB51),0)</f>
        <v>0</v>
      </c>
      <c r="AD52" s="8" t="n">
        <f aca="false">MAX(AD51-N(AC51),0)</f>
        <v>0</v>
      </c>
      <c r="AE52" s="8" t="n">
        <f aca="false">MAX(AE51-N(AD51),0)</f>
        <v>0</v>
      </c>
      <c r="AF52" s="8" t="n">
        <f aca="false">MAX(AF51-N(AE51),0)</f>
        <v>0</v>
      </c>
      <c r="AG52" s="8" t="n">
        <f aca="false">MAX(AG51-N(AF51),0)</f>
        <v>0</v>
      </c>
      <c r="AH52" s="8" t="n">
        <f aca="false">MAX(AH51-N(AG51),0)</f>
        <v>0</v>
      </c>
      <c r="AI52" s="8" t="n">
        <f aca="false">MAX(AI51-N(AH51),0)</f>
        <v>0</v>
      </c>
      <c r="AJ52" s="8" t="n">
        <f aca="false">MAX(AJ51-N(AI51),0)</f>
        <v>0</v>
      </c>
      <c r="AK52" s="8" t="n">
        <f aca="false">MAX(AK51-N(AJ51),0)</f>
        <v>0</v>
      </c>
      <c r="AL52" s="8" t="n">
        <f aca="false">MAX(AL51-N(AK51),0)</f>
        <v>0</v>
      </c>
    </row>
    <row r="53" customFormat="false" ht="15" hidden="false" customHeight="false" outlineLevel="0" collapsed="false">
      <c r="A53" s="4" t="s">
        <v>175</v>
      </c>
      <c r="B53" s="4" t="s">
        <v>176</v>
      </c>
      <c r="C53" s="8" t="n">
        <f aca="false">IF(Initiatives!$F$6="adoption",N(B53)*(1-Inputs!$C$9)+N(B54)*Inputs!$C$9*Initiatives!$F$24,0)</f>
        <v>0</v>
      </c>
      <c r="D53" s="8" t="n">
        <f aca="false">IF(Initiatives!$F$6="adoption",N(C53)*(1-Inputs!$C$9)+N(C54)*Inputs!$C$9*Initiatives!$F$24,0)</f>
        <v>0</v>
      </c>
      <c r="E53" s="8" t="n">
        <f aca="false">IF(Initiatives!$F$6="adoption",N(D53)*(1-Inputs!$C$9)+N(D54)*Inputs!$C$9*Initiatives!$F$24,0)</f>
        <v>25.344</v>
      </c>
      <c r="F53" s="8" t="n">
        <f aca="false">IF(Initiatives!$F$6="adoption",N(E53)*(1-Inputs!$C$9)+N(E54)*Inputs!$C$9*Initiatives!$F$24,0)</f>
        <v>75.347712</v>
      </c>
      <c r="G53" s="8" t="n">
        <f aca="false">IF(Initiatives!$F$6="adoption",N(F53)*(1-Inputs!$C$9)+N(F54)*Inputs!$C$9*Initiatives!$F$24,0)</f>
        <v>149.340761856</v>
      </c>
      <c r="H53" s="8" t="n">
        <f aca="false">IF(Initiatives!$F$6="adoption",N(G53)*(1-Inputs!$C$9)+N(G54)*Inputs!$C$9*Initiatives!$F$24,0)</f>
        <v>221.322436777728</v>
      </c>
      <c r="I53" s="8" t="n">
        <f aca="false">IF(Initiatives!$F$6="adoption",N(H53)*(1-Inputs!$C$9)+N(H54)*Inputs!$C$9*Initiatives!$F$24,0)</f>
        <v>291.333725139435</v>
      </c>
      <c r="J53" s="8" t="n">
        <f aca="false">IF(Initiatives!$F$6="adoption",N(I53)*(1-Inputs!$C$9)+N(I54)*Inputs!$C$9*Initiatives!$F$24,0)</f>
        <v>359.414870676756</v>
      </c>
      <c r="K53" s="8" t="n">
        <f aca="false">IF(Initiatives!$F$6="adoption",N(J53)*(1-Inputs!$C$9)+N(J54)*Inputs!$C$9*Initiatives!$F$24,0)</f>
        <v>425.605385214045</v>
      </c>
      <c r="L53" s="8" t="n">
        <f aca="false">IF(Initiatives!$F$6="adoption",N(K53)*(1-Inputs!$C$9)+N(K54)*Inputs!$C$9*Initiatives!$F$24,0)</f>
        <v>489.944061182105</v>
      </c>
      <c r="M53" s="8" t="n">
        <f aca="false">IF(Initiatives!$F$6="adoption",N(L53)*(1-Inputs!$C$9)+N(L54)*Inputs!$C$9*Initiatives!$F$24,0)</f>
        <v>552.468983929688</v>
      </c>
      <c r="N53" s="8" t="n">
        <f aca="false">IF(Initiatives!$F$6="adoption",N(M53)*(1-Inputs!$C$9)+N(M54)*Inputs!$C$9*Initiatives!$F$24,0)</f>
        <v>613.217543832074</v>
      </c>
      <c r="O53" s="8" t="n">
        <f aca="false">IF(Initiatives!$F$6="adoption",N(N53)*(1-Inputs!$C$9)+N(N54)*Inputs!$C$9*Initiatives!$F$24,0)</f>
        <v>672.226448199989</v>
      </c>
      <c r="P53" s="8" t="n">
        <f aca="false">IF(Initiatives!$F$6="adoption",N(O53)*(1-Inputs!$C$9)+N(O54)*Inputs!$C$9*Initiatives!$F$24,0)</f>
        <v>729.53173299208</v>
      </c>
      <c r="Q53" s="8" t="n">
        <f aca="false">IF(Initiatives!$F$6="adoption",N(P53)*(1-Inputs!$C$9)+N(P54)*Inputs!$C$9*Initiatives!$F$24,0)</f>
        <v>785.168774334108</v>
      </c>
      <c r="R53" s="8" t="n">
        <f aca="false">IF(Initiatives!$F$6="adoption",N(Q53)*(1-Inputs!$C$9)+N(Q54)*Inputs!$C$9*Initiatives!$F$24,0)</f>
        <v>839.172299847963</v>
      </c>
      <c r="S53" s="8" t="n">
        <f aca="false">IF(Initiatives!$F$6="adoption",N(R53)*(1-Inputs!$C$9)+N(R54)*Inputs!$C$9*Initiatives!$F$24,0)</f>
        <v>891.576399793564</v>
      </c>
      <c r="T53" s="8" t="n">
        <f aca="false">IF(Initiatives!$F$6="adoption",N(S53)*(1-Inputs!$C$9)+N(S54)*Inputs!$C$9*Initiatives!$F$24,0)</f>
        <v>942.414538026661</v>
      </c>
      <c r="U53" s="8" t="n">
        <f aca="false">IF(Initiatives!$F$6="adoption",N(T53)*(1-Inputs!$C$9)+N(T54)*Inputs!$C$9*Initiatives!$F$24,0)</f>
        <v>991.719562775501</v>
      </c>
      <c r="V53" s="8" t="n">
        <f aca="false">IF(Initiatives!$F$6="adoption",N(U53)*(1-Inputs!$C$9)+N(U54)*Inputs!$C$9*Initiatives!$F$24,0)</f>
        <v>1039.52371723928</v>
      </c>
      <c r="W53" s="8" t="n">
        <f aca="false">IF(Initiatives!$F$6="adoption",N(V53)*(1-Inputs!$C$9)+N(V54)*Inputs!$C$9*Initiatives!$F$24,0)</f>
        <v>1085.85865001123</v>
      </c>
      <c r="X53" s="8" t="n">
        <f aca="false">IF(Initiatives!$F$6="adoption",N(W53)*(1-Inputs!$C$9)+N(W54)*Inputs!$C$9*Initiatives!$F$24,0)</f>
        <v>1130.75542532924</v>
      </c>
      <c r="Y53" s="8" t="n">
        <f aca="false">IF(Initiatives!$F$6="adoption",N(X53)*(1-Inputs!$C$9)+N(X54)*Inputs!$C$9*Initiatives!$F$24,0)</f>
        <v>1174.24453315666</v>
      </c>
      <c r="Z53" s="8" t="n">
        <f aca="false">IF(Initiatives!$F$6="adoption",N(Y53)*(1-Inputs!$C$9)+N(Y54)*Inputs!$C$9*Initiatives!$F$24,0)</f>
        <v>1216.35589909619</v>
      </c>
      <c r="AA53" s="8" t="n">
        <f aca="false">IF(Initiatives!$F$6="adoption",N(Z53)*(1-Inputs!$C$9)+N(Z54)*Inputs!$C$9*Initiatives!$F$24,0)</f>
        <v>1257.11889413937</v>
      </c>
      <c r="AB53" s="8" t="n">
        <f aca="false">IF(Initiatives!$F$6="adoption",N(AA53)*(1-Inputs!$C$9)+N(AA54)*Inputs!$C$9*Initiatives!$F$24,0)</f>
        <v>1296.56234425456</v>
      </c>
      <c r="AC53" s="8" t="n">
        <f aca="false">IF(Initiatives!$F$6="adoption",N(AB53)*(1-Inputs!$C$9)+N(AB54)*Inputs!$C$9*Initiatives!$F$24,0)</f>
        <v>1334.71453981568</v>
      </c>
      <c r="AD53" s="8" t="n">
        <f aca="false">IF(Initiatives!$F$6="adoption",N(AC53)*(1-Inputs!$C$9)+N(AC54)*Inputs!$C$9*Initiatives!$F$24,0)</f>
        <v>1371.6032448747</v>
      </c>
      <c r="AE53" s="8" t="n">
        <f aca="false">IF(Initiatives!$F$6="adoption",N(AD53)*(1-Inputs!$C$9)+N(AD54)*Inputs!$C$9*Initiatives!$F$24,0)</f>
        <v>1407.25570627995</v>
      </c>
      <c r="AF53" s="8" t="n">
        <f aca="false">IF(Initiatives!$F$6="adoption",N(AE53)*(1-Inputs!$C$9)+N(AE54)*Inputs!$C$9*Initiatives!$F$24,0)</f>
        <v>1441.69866264318</v>
      </c>
      <c r="AG53" s="8" t="n">
        <f aca="false">IF(Initiatives!$F$6="adoption",N(AF53)*(1-Inputs!$C$9)+N(AF54)*Inputs!$C$9*Initiatives!$F$24,0)</f>
        <v>1474.95835315747</v>
      </c>
      <c r="AH53" s="8" t="n">
        <f aca="false">IF(Initiatives!$F$6="adoption",N(AG53)*(1-Inputs!$C$9)+N(AG54)*Inputs!$C$9*Initiatives!$F$24,0)</f>
        <v>1507.06052626861</v>
      </c>
      <c r="AI53" s="8" t="n">
        <f aca="false">IF(Initiatives!$F$6="adoption",N(AH53)*(1-Inputs!$C$9)+N(AH54)*Inputs!$C$9*Initiatives!$F$24,0)</f>
        <v>1538.03044820217</v>
      </c>
      <c r="AJ53" s="8" t="n">
        <f aca="false">IF(Initiatives!$F$6="adoption",N(AI53)*(1-Inputs!$C$9)+N(AI54)*Inputs!$C$9*Initiatives!$F$24,0)</f>
        <v>1567.8929113488</v>
      </c>
      <c r="AK53" s="8" t="n">
        <f aca="false">IF(Initiatives!$F$6="adoption",N(AJ53)*(1-Inputs!$C$9)+N(AJ54)*Inputs!$C$9*Initiatives!$F$24,0)</f>
        <v>1596.6722425098</v>
      </c>
      <c r="AL53" s="8" t="n">
        <f aca="false">IF(Initiatives!$F$6="adoption",N(AK53)*(1-Inputs!$C$9)+N(AK54)*Inputs!$C$9*Initiatives!$F$24,0)</f>
        <v>1624.3923110054</v>
      </c>
    </row>
    <row r="54" customFormat="false" ht="15" hidden="false" customHeight="false" outlineLevel="0" collapsed="false">
      <c r="A54" s="4" t="s">
        <v>177</v>
      </c>
      <c r="B54" s="4" t="s">
        <v>178</v>
      </c>
      <c r="C54" s="8" t="n">
        <f aca="false">N(B54)*(1-Inputs!$C$9*(1-Initiatives!$F$24))+C52</f>
        <v>0</v>
      </c>
      <c r="D54" s="8" t="n">
        <f aca="false">N(C54)*(1-Inputs!$C$9*(1-Initiatives!$F$24))+D52</f>
        <v>8448</v>
      </c>
      <c r="E54" s="8" t="n">
        <f aca="false">N(D54)*(1-Inputs!$C$9*(1-Initiatives!$F$24))+E52</f>
        <v>16794.624</v>
      </c>
      <c r="F54" s="8" t="n">
        <f aca="false">N(E54)*(1-Inputs!$C$9*(1-Initiatives!$F$24))+F52</f>
        <v>25041.088512</v>
      </c>
      <c r="G54" s="8" t="n">
        <f aca="false">N(F54)*(1-Inputs!$C$9*(1-Initiatives!$F$24))+G52</f>
        <v>24740.595449856</v>
      </c>
      <c r="H54" s="8" t="n">
        <f aca="false">N(G54)*(1-Inputs!$C$9*(1-Initiatives!$F$24))+H52</f>
        <v>24443.7083044577</v>
      </c>
      <c r="I54" s="8" t="n">
        <f aca="false">N(H54)*(1-Inputs!$C$9*(1-Initiatives!$F$24))+I52</f>
        <v>24150.3838048042</v>
      </c>
      <c r="J54" s="8" t="n">
        <f aca="false">N(I54)*(1-Inputs!$C$9*(1-Initiatives!$F$24))+J52</f>
        <v>23860.5791991466</v>
      </c>
      <c r="K54" s="8" t="n">
        <f aca="false">N(J54)*(1-Inputs!$C$9*(1-Initiatives!$F$24))+K52</f>
        <v>23574.2522487568</v>
      </c>
      <c r="L54" s="8" t="n">
        <f aca="false">N(K54)*(1-Inputs!$C$9*(1-Initiatives!$F$24))+L52</f>
        <v>23291.3612217717</v>
      </c>
      <c r="M54" s="8" t="n">
        <f aca="false">N(L54)*(1-Inputs!$C$9*(1-Initiatives!$F$24))+M52</f>
        <v>23011.8648871105</v>
      </c>
      <c r="N54" s="8" t="n">
        <f aca="false">N(M54)*(1-Inputs!$C$9*(1-Initiatives!$F$24))+N52</f>
        <v>22735.7225084652</v>
      </c>
      <c r="O54" s="8" t="n">
        <f aca="false">N(N54)*(1-Inputs!$C$9*(1-Initiatives!$F$24))+O52</f>
        <v>22462.8938383636</v>
      </c>
      <c r="P54" s="8" t="n">
        <f aca="false">N(O54)*(1-Inputs!$C$9*(1-Initiatives!$F$24))+P52</f>
        <v>22193.3391123032</v>
      </c>
      <c r="Q54" s="8" t="n">
        <f aca="false">N(P54)*(1-Inputs!$C$9*(1-Initiatives!$F$24))+Q52</f>
        <v>21927.0190429556</v>
      </c>
      <c r="R54" s="8" t="n">
        <f aca="false">N(Q54)*(1-Inputs!$C$9*(1-Initiatives!$F$24))+R52</f>
        <v>21663.8948144401</v>
      </c>
      <c r="S54" s="8" t="n">
        <f aca="false">N(R54)*(1-Inputs!$C$9*(1-Initiatives!$F$24))+S52</f>
        <v>21403.9280766668</v>
      </c>
      <c r="T54" s="8" t="n">
        <f aca="false">N(S54)*(1-Inputs!$C$9*(1-Initiatives!$F$24))+T52</f>
        <v>21147.0809397468</v>
      </c>
      <c r="U54" s="8" t="n">
        <f aca="false">N(T54)*(1-Inputs!$C$9*(1-Initiatives!$F$24))+U52</f>
        <v>20893.3159684699</v>
      </c>
      <c r="V54" s="8" t="n">
        <f aca="false">N(U54)*(1-Inputs!$C$9*(1-Initiatives!$F$24))+V52</f>
        <v>20642.5961768482</v>
      </c>
      <c r="W54" s="8" t="n">
        <f aca="false">N(V54)*(1-Inputs!$C$9*(1-Initiatives!$F$24))+W52</f>
        <v>20394.885022726</v>
      </c>
      <c r="X54" s="8" t="n">
        <f aca="false">N(W54)*(1-Inputs!$C$9*(1-Initiatives!$F$24))+X52</f>
        <v>20150.1464024533</v>
      </c>
      <c r="Y54" s="8" t="n">
        <f aca="false">N(X54)*(1-Inputs!$C$9*(1-Initiatives!$F$24))+Y52</f>
        <v>19908.3446456239</v>
      </c>
      <c r="Z54" s="8" t="n">
        <f aca="false">N(Y54)*(1-Inputs!$C$9*(1-Initiatives!$F$24))+Z52</f>
        <v>19669.4445098764</v>
      </c>
      <c r="AA54" s="8" t="n">
        <f aca="false">N(Z54)*(1-Inputs!$C$9*(1-Initiatives!$F$24))+AA52</f>
        <v>19433.4111757579</v>
      </c>
      <c r="AB54" s="8" t="n">
        <f aca="false">N(AA54)*(1-Inputs!$C$9*(1-Initiatives!$F$24))+AB52</f>
        <v>19200.2102416488</v>
      </c>
      <c r="AC54" s="8" t="n">
        <f aca="false">N(AB54)*(1-Inputs!$C$9*(1-Initiatives!$F$24))+AC52</f>
        <v>18969.807718749</v>
      </c>
      <c r="AD54" s="8" t="n">
        <f aca="false">N(AC54)*(1-Inputs!$C$9*(1-Initiatives!$F$24))+AD52</f>
        <v>18742.170026124</v>
      </c>
      <c r="AE54" s="8" t="n">
        <f aca="false">N(AD54)*(1-Inputs!$C$9*(1-Initiatives!$F$24))+AE52</f>
        <v>18517.2639858105</v>
      </c>
      <c r="AF54" s="8" t="n">
        <f aca="false">N(AE54)*(1-Inputs!$C$9*(1-Initiatives!$F$24))+AF52</f>
        <v>18295.0568179808</v>
      </c>
      <c r="AG54" s="8" t="n">
        <f aca="false">N(AF54)*(1-Inputs!$C$9*(1-Initiatives!$F$24))+AG52</f>
        <v>18075.516136165</v>
      </c>
      <c r="AH54" s="8" t="n">
        <f aca="false">N(AG54)*(1-Inputs!$C$9*(1-Initiatives!$F$24))+AH52</f>
        <v>17858.609942531</v>
      </c>
      <c r="AI54" s="8" t="n">
        <f aca="false">N(AH54)*(1-Inputs!$C$9*(1-Initiatives!$F$24))+AI52</f>
        <v>17644.3066232207</v>
      </c>
      <c r="AJ54" s="8" t="n">
        <f aca="false">N(AI54)*(1-Inputs!$C$9*(1-Initiatives!$F$24))+AJ52</f>
        <v>17432.574943742</v>
      </c>
      <c r="AK54" s="8" t="n">
        <f aca="false">N(AJ54)*(1-Inputs!$C$9*(1-Initiatives!$F$24))+AK52</f>
        <v>17223.3840444171</v>
      </c>
      <c r="AL54" s="8" t="n">
        <f aca="false">N(AK54)*(1-Inputs!$C$9*(1-Initiatives!$F$24))+AL52</f>
        <v>17016.7034358841</v>
      </c>
    </row>
    <row r="55" customFormat="false" ht="15" hidden="false" customHeight="false" outlineLevel="0" collapsed="false">
      <c r="A55" s="4" t="s">
        <v>179</v>
      </c>
      <c r="B55" s="4" t="s">
        <v>180</v>
      </c>
      <c r="C55" s="8" t="n">
        <f aca="false">IF(Initiatives!$F$6="adoption",0,IF(C$3&gt;=Initiatives!$F$31,Initiatives!$F$32*(1-Inputs!$C$9)^(C$3-Initiatives!$F$31),0)+IF(C$3&gt;=Initiatives!$F$33,(1-Initiatives!$F$32)*(1-Inputs!$C$9)^(C$3-Initiatives!$F$33),0))</f>
        <v>0</v>
      </c>
      <c r="D55" s="8" t="n">
        <f aca="false">IF(Initiatives!$F$6="adoption",0,IF(D$3&gt;=Initiatives!$F$31,Initiatives!$F$32*(1-Inputs!$C$9)^(D$3-Initiatives!$F$31),0)+IF(D$3&gt;=Initiatives!$F$33,(1-Initiatives!$F$32)*(1-Inputs!$C$9)^(D$3-Initiatives!$F$33),0))</f>
        <v>0</v>
      </c>
      <c r="E55" s="8" t="n">
        <f aca="false">IF(Initiatives!$F$6="adoption",0,IF(E$3&gt;=Initiatives!$F$31,Initiatives!$F$32*(1-Inputs!$C$9)^(E$3-Initiatives!$F$31),0)+IF(E$3&gt;=Initiatives!$F$33,(1-Initiatives!$F$32)*(1-Inputs!$C$9)^(E$3-Initiatives!$F$33),0))</f>
        <v>0</v>
      </c>
      <c r="F55" s="8" t="n">
        <f aca="false">IF(Initiatives!$F$6="adoption",0,IF(F$3&gt;=Initiatives!$F$31,Initiatives!$F$32*(1-Inputs!$C$9)^(F$3-Initiatives!$F$31),0)+IF(F$3&gt;=Initiatives!$F$33,(1-Initiatives!$F$32)*(1-Inputs!$C$9)^(F$3-Initiatives!$F$33),0))</f>
        <v>0</v>
      </c>
      <c r="G55" s="8" t="n">
        <f aca="false">IF(Initiatives!$F$6="adoption",0,IF(G$3&gt;=Initiatives!$F$31,Initiatives!$F$32*(1-Inputs!$C$9)^(G$3-Initiatives!$F$31),0)+IF(G$3&gt;=Initiatives!$F$33,(1-Initiatives!$F$32)*(1-Inputs!$C$9)^(G$3-Initiatives!$F$33),0))</f>
        <v>0</v>
      </c>
      <c r="H55" s="8" t="n">
        <f aca="false">IF(Initiatives!$F$6="adoption",0,IF(H$3&gt;=Initiatives!$F$31,Initiatives!$F$32*(1-Inputs!$C$9)^(H$3-Initiatives!$F$31),0)+IF(H$3&gt;=Initiatives!$F$33,(1-Initiatives!$F$32)*(1-Inputs!$C$9)^(H$3-Initiatives!$F$33),0))</f>
        <v>0</v>
      </c>
      <c r="I55" s="8" t="n">
        <f aca="false">IF(Initiatives!$F$6="adoption",0,IF(I$3&gt;=Initiatives!$F$31,Initiatives!$F$32*(1-Inputs!$C$9)^(I$3-Initiatives!$F$31),0)+IF(I$3&gt;=Initiatives!$F$33,(1-Initiatives!$F$32)*(1-Inputs!$C$9)^(I$3-Initiatives!$F$33),0))</f>
        <v>0</v>
      </c>
      <c r="J55" s="8" t="n">
        <f aca="false">IF(Initiatives!$F$6="adoption",0,IF(J$3&gt;=Initiatives!$F$31,Initiatives!$F$32*(1-Inputs!$C$9)^(J$3-Initiatives!$F$31),0)+IF(J$3&gt;=Initiatives!$F$33,(1-Initiatives!$F$32)*(1-Inputs!$C$9)^(J$3-Initiatives!$F$33),0))</f>
        <v>0</v>
      </c>
      <c r="K55" s="8" t="n">
        <f aca="false">IF(Initiatives!$F$6="adoption",0,IF(K$3&gt;=Initiatives!$F$31,Initiatives!$F$32*(1-Inputs!$C$9)^(K$3-Initiatives!$F$31),0)+IF(K$3&gt;=Initiatives!$F$33,(1-Initiatives!$F$32)*(1-Inputs!$C$9)^(K$3-Initiatives!$F$33),0))</f>
        <v>0</v>
      </c>
      <c r="L55" s="8" t="n">
        <f aca="false">IF(Initiatives!$F$6="adoption",0,IF(L$3&gt;=Initiatives!$F$31,Initiatives!$F$32*(1-Inputs!$C$9)^(L$3-Initiatives!$F$31),0)+IF(L$3&gt;=Initiatives!$F$33,(1-Initiatives!$F$32)*(1-Inputs!$C$9)^(L$3-Initiatives!$F$33),0))</f>
        <v>0</v>
      </c>
      <c r="M55" s="8" t="n">
        <f aca="false">IF(Initiatives!$F$6="adoption",0,IF(M$3&gt;=Initiatives!$F$31,Initiatives!$F$32*(1-Inputs!$C$9)^(M$3-Initiatives!$F$31),0)+IF(M$3&gt;=Initiatives!$F$33,(1-Initiatives!$F$32)*(1-Inputs!$C$9)^(M$3-Initiatives!$F$33),0))</f>
        <v>0</v>
      </c>
      <c r="N55" s="8" t="n">
        <f aca="false">IF(Initiatives!$F$6="adoption",0,IF(N$3&gt;=Initiatives!$F$31,Initiatives!$F$32*(1-Inputs!$C$9)^(N$3-Initiatives!$F$31),0)+IF(N$3&gt;=Initiatives!$F$33,(1-Initiatives!$F$32)*(1-Inputs!$C$9)^(N$3-Initiatives!$F$33),0))</f>
        <v>0</v>
      </c>
      <c r="O55" s="8" t="n">
        <f aca="false">IF(Initiatives!$F$6="adoption",0,IF(O$3&gt;=Initiatives!$F$31,Initiatives!$F$32*(1-Inputs!$C$9)^(O$3-Initiatives!$F$31),0)+IF(O$3&gt;=Initiatives!$F$33,(1-Initiatives!$F$32)*(1-Inputs!$C$9)^(O$3-Initiatives!$F$33),0))</f>
        <v>0</v>
      </c>
      <c r="P55" s="8" t="n">
        <f aca="false">IF(Initiatives!$F$6="adoption",0,IF(P$3&gt;=Initiatives!$F$31,Initiatives!$F$32*(1-Inputs!$C$9)^(P$3-Initiatives!$F$31),0)+IF(P$3&gt;=Initiatives!$F$33,(1-Initiatives!$F$32)*(1-Inputs!$C$9)^(P$3-Initiatives!$F$33),0))</f>
        <v>0</v>
      </c>
      <c r="Q55" s="8" t="n">
        <f aca="false">IF(Initiatives!$F$6="adoption",0,IF(Q$3&gt;=Initiatives!$F$31,Initiatives!$F$32*(1-Inputs!$C$9)^(Q$3-Initiatives!$F$31),0)+IF(Q$3&gt;=Initiatives!$F$33,(1-Initiatives!$F$32)*(1-Inputs!$C$9)^(Q$3-Initiatives!$F$33),0))</f>
        <v>0</v>
      </c>
      <c r="R55" s="8" t="n">
        <f aca="false">IF(Initiatives!$F$6="adoption",0,IF(R$3&gt;=Initiatives!$F$31,Initiatives!$F$32*(1-Inputs!$C$9)^(R$3-Initiatives!$F$31),0)+IF(R$3&gt;=Initiatives!$F$33,(1-Initiatives!$F$32)*(1-Inputs!$C$9)^(R$3-Initiatives!$F$33),0))</f>
        <v>0</v>
      </c>
      <c r="S55" s="8" t="n">
        <f aca="false">IF(Initiatives!$F$6="adoption",0,IF(S$3&gt;=Initiatives!$F$31,Initiatives!$F$32*(1-Inputs!$C$9)^(S$3-Initiatives!$F$31),0)+IF(S$3&gt;=Initiatives!$F$33,(1-Initiatives!$F$32)*(1-Inputs!$C$9)^(S$3-Initiatives!$F$33),0))</f>
        <v>0</v>
      </c>
      <c r="T55" s="8" t="n">
        <f aca="false">IF(Initiatives!$F$6="adoption",0,IF(T$3&gt;=Initiatives!$F$31,Initiatives!$F$32*(1-Inputs!$C$9)^(T$3-Initiatives!$F$31),0)+IF(T$3&gt;=Initiatives!$F$33,(1-Initiatives!$F$32)*(1-Inputs!$C$9)^(T$3-Initiatives!$F$33),0))</f>
        <v>0</v>
      </c>
      <c r="U55" s="8" t="n">
        <f aca="false">IF(Initiatives!$F$6="adoption",0,IF(U$3&gt;=Initiatives!$F$31,Initiatives!$F$32*(1-Inputs!$C$9)^(U$3-Initiatives!$F$31),0)+IF(U$3&gt;=Initiatives!$F$33,(1-Initiatives!$F$32)*(1-Inputs!$C$9)^(U$3-Initiatives!$F$33),0))</f>
        <v>0</v>
      </c>
      <c r="V55" s="8" t="n">
        <f aca="false">IF(Initiatives!$F$6="adoption",0,IF(V$3&gt;=Initiatives!$F$31,Initiatives!$F$32*(1-Inputs!$C$9)^(V$3-Initiatives!$F$31),0)+IF(V$3&gt;=Initiatives!$F$33,(1-Initiatives!$F$32)*(1-Inputs!$C$9)^(V$3-Initiatives!$F$33),0))</f>
        <v>0</v>
      </c>
      <c r="W55" s="8" t="n">
        <f aca="false">IF(Initiatives!$F$6="adoption",0,IF(W$3&gt;=Initiatives!$F$31,Initiatives!$F$32*(1-Inputs!$C$9)^(W$3-Initiatives!$F$31),0)+IF(W$3&gt;=Initiatives!$F$33,(1-Initiatives!$F$32)*(1-Inputs!$C$9)^(W$3-Initiatives!$F$33),0))</f>
        <v>0</v>
      </c>
      <c r="X55" s="8" t="n">
        <f aca="false">IF(Initiatives!$F$6="adoption",0,IF(X$3&gt;=Initiatives!$F$31,Initiatives!$F$32*(1-Inputs!$C$9)^(X$3-Initiatives!$F$31),0)+IF(X$3&gt;=Initiatives!$F$33,(1-Initiatives!$F$32)*(1-Inputs!$C$9)^(X$3-Initiatives!$F$33),0))</f>
        <v>0</v>
      </c>
      <c r="Y55" s="8" t="n">
        <f aca="false">IF(Initiatives!$F$6="adoption",0,IF(Y$3&gt;=Initiatives!$F$31,Initiatives!$F$32*(1-Inputs!$C$9)^(Y$3-Initiatives!$F$31),0)+IF(Y$3&gt;=Initiatives!$F$33,(1-Initiatives!$F$32)*(1-Inputs!$C$9)^(Y$3-Initiatives!$F$33),0))</f>
        <v>0</v>
      </c>
      <c r="Z55" s="8" t="n">
        <f aca="false">IF(Initiatives!$F$6="adoption",0,IF(Z$3&gt;=Initiatives!$F$31,Initiatives!$F$32*(1-Inputs!$C$9)^(Z$3-Initiatives!$F$31),0)+IF(Z$3&gt;=Initiatives!$F$33,(1-Initiatives!$F$32)*(1-Inputs!$C$9)^(Z$3-Initiatives!$F$33),0))</f>
        <v>0</v>
      </c>
      <c r="AA55" s="8" t="n">
        <f aca="false">IF(Initiatives!$F$6="adoption",0,IF(AA$3&gt;=Initiatives!$F$31,Initiatives!$F$32*(1-Inputs!$C$9)^(AA$3-Initiatives!$F$31),0)+IF(AA$3&gt;=Initiatives!$F$33,(1-Initiatives!$F$32)*(1-Inputs!$C$9)^(AA$3-Initiatives!$F$33),0))</f>
        <v>0</v>
      </c>
      <c r="AB55" s="8" t="n">
        <f aca="false">IF(Initiatives!$F$6="adoption",0,IF(AB$3&gt;=Initiatives!$F$31,Initiatives!$F$32*(1-Inputs!$C$9)^(AB$3-Initiatives!$F$31),0)+IF(AB$3&gt;=Initiatives!$F$33,(1-Initiatives!$F$32)*(1-Inputs!$C$9)^(AB$3-Initiatives!$F$33),0))</f>
        <v>0</v>
      </c>
      <c r="AC55" s="8" t="n">
        <f aca="false">IF(Initiatives!$F$6="adoption",0,IF(AC$3&gt;=Initiatives!$F$31,Initiatives!$F$32*(1-Inputs!$C$9)^(AC$3-Initiatives!$F$31),0)+IF(AC$3&gt;=Initiatives!$F$33,(1-Initiatives!$F$32)*(1-Inputs!$C$9)^(AC$3-Initiatives!$F$33),0))</f>
        <v>0</v>
      </c>
      <c r="AD55" s="8" t="n">
        <f aca="false">IF(Initiatives!$F$6="adoption",0,IF(AD$3&gt;=Initiatives!$F$31,Initiatives!$F$32*(1-Inputs!$C$9)^(AD$3-Initiatives!$F$31),0)+IF(AD$3&gt;=Initiatives!$F$33,(1-Initiatives!$F$32)*(1-Inputs!$C$9)^(AD$3-Initiatives!$F$33),0))</f>
        <v>0</v>
      </c>
      <c r="AE55" s="8" t="n">
        <f aca="false">IF(Initiatives!$F$6="adoption",0,IF(AE$3&gt;=Initiatives!$F$31,Initiatives!$F$32*(1-Inputs!$C$9)^(AE$3-Initiatives!$F$31),0)+IF(AE$3&gt;=Initiatives!$F$33,(1-Initiatives!$F$32)*(1-Inputs!$C$9)^(AE$3-Initiatives!$F$33),0))</f>
        <v>0</v>
      </c>
      <c r="AF55" s="8" t="n">
        <f aca="false">IF(Initiatives!$F$6="adoption",0,IF(AF$3&gt;=Initiatives!$F$31,Initiatives!$F$32*(1-Inputs!$C$9)^(AF$3-Initiatives!$F$31),0)+IF(AF$3&gt;=Initiatives!$F$33,(1-Initiatives!$F$32)*(1-Inputs!$C$9)^(AF$3-Initiatives!$F$33),0))</f>
        <v>0</v>
      </c>
      <c r="AG55" s="8" t="n">
        <f aca="false">IF(Initiatives!$F$6="adoption",0,IF(AG$3&gt;=Initiatives!$F$31,Initiatives!$F$32*(1-Inputs!$C$9)^(AG$3-Initiatives!$F$31),0)+IF(AG$3&gt;=Initiatives!$F$33,(1-Initiatives!$F$32)*(1-Inputs!$C$9)^(AG$3-Initiatives!$F$33),0))</f>
        <v>0</v>
      </c>
      <c r="AH55" s="8" t="n">
        <f aca="false">IF(Initiatives!$F$6="adoption",0,IF(AH$3&gt;=Initiatives!$F$31,Initiatives!$F$32*(1-Inputs!$C$9)^(AH$3-Initiatives!$F$31),0)+IF(AH$3&gt;=Initiatives!$F$33,(1-Initiatives!$F$32)*(1-Inputs!$C$9)^(AH$3-Initiatives!$F$33),0))</f>
        <v>0</v>
      </c>
      <c r="AI55" s="8" t="n">
        <f aca="false">IF(Initiatives!$F$6="adoption",0,IF(AI$3&gt;=Initiatives!$F$31,Initiatives!$F$32*(1-Inputs!$C$9)^(AI$3-Initiatives!$F$31),0)+IF(AI$3&gt;=Initiatives!$F$33,(1-Initiatives!$F$32)*(1-Inputs!$C$9)^(AI$3-Initiatives!$F$33),0))</f>
        <v>0</v>
      </c>
      <c r="AJ55" s="8" t="n">
        <f aca="false">IF(Initiatives!$F$6="adoption",0,IF(AJ$3&gt;=Initiatives!$F$31,Initiatives!$F$32*(1-Inputs!$C$9)^(AJ$3-Initiatives!$F$31),0)+IF(AJ$3&gt;=Initiatives!$F$33,(1-Initiatives!$F$32)*(1-Inputs!$C$9)^(AJ$3-Initiatives!$F$33),0))</f>
        <v>0</v>
      </c>
      <c r="AK55" s="8" t="n">
        <f aca="false">IF(Initiatives!$F$6="adoption",0,IF(AK$3&gt;=Initiatives!$F$31,Initiatives!$F$32*(1-Inputs!$C$9)^(AK$3-Initiatives!$F$31),0)+IF(AK$3&gt;=Initiatives!$F$33,(1-Initiatives!$F$32)*(1-Inputs!$C$9)^(AK$3-Initiatives!$F$33),0))</f>
        <v>0</v>
      </c>
      <c r="AL55" s="8" t="n">
        <f aca="false">IF(Initiatives!$F$6="adoption",0,IF(AL$3&gt;=Initiatives!$F$31,Initiatives!$F$32*(1-Inputs!$C$9)^(AL$3-Initiatives!$F$31),0)+IF(AL$3&gt;=Initiatives!$F$33,(1-Initiatives!$F$32)*(1-Inputs!$C$9)^(AL$3-Initiatives!$F$33),0))</f>
        <v>0</v>
      </c>
    </row>
    <row r="56" customFormat="false" ht="15" hidden="false" customHeight="false" outlineLevel="0" collapsed="false">
      <c r="A56" s="4" t="s">
        <v>181</v>
      </c>
      <c r="B56" s="4" t="s">
        <v>182</v>
      </c>
      <c r="C56" s="8" t="n">
        <f aca="false">IF(Initiatives!$F$6="adoption",IF(AND(C$3&gt;=Initiatives!$F$31,C$3&lt;Initiatives!$F$31+3),Initiatives!$F$44/3,0),IF(AND(C$3&gt;=Initiatives!$F$31,C$3&lt;Initiatives!$F$31+2),Initiatives!$F$32*Initiatives!$F$44/2,0)+IF(AND(C$3&gt;=Initiatives!$F$33,C$3&lt;Initiatives!$F$33+2),(1-Initiatives!$F$32)*Initiatives!$F$44/2,0))</f>
        <v>0</v>
      </c>
      <c r="D56" s="8" t="n">
        <f aca="false">IF(Initiatives!$F$6="adoption",IF(AND(D$3&gt;=Initiatives!$F$31,D$3&lt;Initiatives!$F$31+3),Initiatives!$F$44/3,0),IF(AND(D$3&gt;=Initiatives!$F$31,D$3&lt;Initiatives!$F$31+2),Initiatives!$F$32*Initiatives!$F$44/2,0)+IF(AND(D$3&gt;=Initiatives!$F$33,D$3&lt;Initiatives!$F$33+2),(1-Initiatives!$F$32)*Initiatives!$F$44/2,0))</f>
        <v>0</v>
      </c>
      <c r="E56" s="8" t="n">
        <f aca="false">IF(Initiatives!$F$6="adoption",IF(AND(E$3&gt;=Initiatives!$F$31,E$3&lt;Initiatives!$F$31+3),Initiatives!$F$44/3,0),IF(AND(E$3&gt;=Initiatives!$F$31,E$3&lt;Initiatives!$F$31+2),Initiatives!$F$32*Initiatives!$F$44/2,0)+IF(AND(E$3&gt;=Initiatives!$F$33,E$3&lt;Initiatives!$F$33+2),(1-Initiatives!$F$32)*Initiatives!$F$44/2,0))</f>
        <v>0</v>
      </c>
      <c r="F56" s="8" t="n">
        <f aca="false">IF(Initiatives!$F$6="adoption",IF(AND(F$3&gt;=Initiatives!$F$31,F$3&lt;Initiatives!$F$31+3),Initiatives!$F$44/3,0),IF(AND(F$3&gt;=Initiatives!$F$31,F$3&lt;Initiatives!$F$31+2),Initiatives!$F$32*Initiatives!$F$44/2,0)+IF(AND(F$3&gt;=Initiatives!$F$33,F$3&lt;Initiatives!$F$33+2),(1-Initiatives!$F$32)*Initiatives!$F$44/2,0))</f>
        <v>0</v>
      </c>
      <c r="G56" s="8" t="n">
        <f aca="false">IF(Initiatives!$F$6="adoption",IF(AND(G$3&gt;=Initiatives!$F$31,G$3&lt;Initiatives!$F$31+3),Initiatives!$F$44/3,0),IF(AND(G$3&gt;=Initiatives!$F$31,G$3&lt;Initiatives!$F$31+2),Initiatives!$F$32*Initiatives!$F$44/2,0)+IF(AND(G$3&gt;=Initiatives!$F$33,G$3&lt;Initiatives!$F$33+2),(1-Initiatives!$F$32)*Initiatives!$F$44/2,0))</f>
        <v>0</v>
      </c>
      <c r="H56" s="8" t="n">
        <f aca="false">IF(Initiatives!$F$6="adoption",IF(AND(H$3&gt;=Initiatives!$F$31,H$3&lt;Initiatives!$F$31+3),Initiatives!$F$44/3,0),IF(AND(H$3&gt;=Initiatives!$F$31,H$3&lt;Initiatives!$F$31+2),Initiatives!$F$32*Initiatives!$F$44/2,0)+IF(AND(H$3&gt;=Initiatives!$F$33,H$3&lt;Initiatives!$F$33+2),(1-Initiatives!$F$32)*Initiatives!$F$44/2,0))</f>
        <v>0</v>
      </c>
      <c r="I56" s="8" t="n">
        <f aca="false">IF(Initiatives!$F$6="adoption",IF(AND(I$3&gt;=Initiatives!$F$31,I$3&lt;Initiatives!$F$31+3),Initiatives!$F$44/3,0),IF(AND(I$3&gt;=Initiatives!$F$31,I$3&lt;Initiatives!$F$31+2),Initiatives!$F$32*Initiatives!$F$44/2,0)+IF(AND(I$3&gt;=Initiatives!$F$33,I$3&lt;Initiatives!$F$33+2),(1-Initiatives!$F$32)*Initiatives!$F$44/2,0))</f>
        <v>0</v>
      </c>
      <c r="J56" s="8" t="n">
        <f aca="false">IF(Initiatives!$F$6="adoption",IF(AND(J$3&gt;=Initiatives!$F$31,J$3&lt;Initiatives!$F$31+3),Initiatives!$F$44/3,0),IF(AND(J$3&gt;=Initiatives!$F$31,J$3&lt;Initiatives!$F$31+2),Initiatives!$F$32*Initiatives!$F$44/2,0)+IF(AND(J$3&gt;=Initiatives!$F$33,J$3&lt;Initiatives!$F$33+2),(1-Initiatives!$F$32)*Initiatives!$F$44/2,0))</f>
        <v>0</v>
      </c>
      <c r="K56" s="8" t="n">
        <f aca="false">IF(Initiatives!$F$6="adoption",IF(AND(K$3&gt;=Initiatives!$F$31,K$3&lt;Initiatives!$F$31+3),Initiatives!$F$44/3,0),IF(AND(K$3&gt;=Initiatives!$F$31,K$3&lt;Initiatives!$F$31+2),Initiatives!$F$32*Initiatives!$F$44/2,0)+IF(AND(K$3&gt;=Initiatives!$F$33,K$3&lt;Initiatives!$F$33+2),(1-Initiatives!$F$32)*Initiatives!$F$44/2,0))</f>
        <v>0</v>
      </c>
      <c r="L56" s="8" t="n">
        <f aca="false">IF(Initiatives!$F$6="adoption",IF(AND(L$3&gt;=Initiatives!$F$31,L$3&lt;Initiatives!$F$31+3),Initiatives!$F$44/3,0),IF(AND(L$3&gt;=Initiatives!$F$31,L$3&lt;Initiatives!$F$31+2),Initiatives!$F$32*Initiatives!$F$44/2,0)+IF(AND(L$3&gt;=Initiatives!$F$33,L$3&lt;Initiatives!$F$33+2),(1-Initiatives!$F$32)*Initiatives!$F$44/2,0))</f>
        <v>0</v>
      </c>
      <c r="M56" s="8" t="n">
        <f aca="false">IF(Initiatives!$F$6="adoption",IF(AND(M$3&gt;=Initiatives!$F$31,M$3&lt;Initiatives!$F$31+3),Initiatives!$F$44/3,0),IF(AND(M$3&gt;=Initiatives!$F$31,M$3&lt;Initiatives!$F$31+2),Initiatives!$F$32*Initiatives!$F$44/2,0)+IF(AND(M$3&gt;=Initiatives!$F$33,M$3&lt;Initiatives!$F$33+2),(1-Initiatives!$F$32)*Initiatives!$F$44/2,0))</f>
        <v>0</v>
      </c>
      <c r="N56" s="8" t="n">
        <f aca="false">IF(Initiatives!$F$6="adoption",IF(AND(N$3&gt;=Initiatives!$F$31,N$3&lt;Initiatives!$F$31+3),Initiatives!$F$44/3,0),IF(AND(N$3&gt;=Initiatives!$F$31,N$3&lt;Initiatives!$F$31+2),Initiatives!$F$32*Initiatives!$F$44/2,0)+IF(AND(N$3&gt;=Initiatives!$F$33,N$3&lt;Initiatives!$F$33+2),(1-Initiatives!$F$32)*Initiatives!$F$44/2,0))</f>
        <v>0</v>
      </c>
      <c r="O56" s="8" t="n">
        <f aca="false">IF(Initiatives!$F$6="adoption",IF(AND(O$3&gt;=Initiatives!$F$31,O$3&lt;Initiatives!$F$31+3),Initiatives!$F$44/3,0),IF(AND(O$3&gt;=Initiatives!$F$31,O$3&lt;Initiatives!$F$31+2),Initiatives!$F$32*Initiatives!$F$44/2,0)+IF(AND(O$3&gt;=Initiatives!$F$33,O$3&lt;Initiatives!$F$33+2),(1-Initiatives!$F$32)*Initiatives!$F$44/2,0))</f>
        <v>0</v>
      </c>
      <c r="P56" s="8" t="n">
        <f aca="false">IF(Initiatives!$F$6="adoption",IF(AND(P$3&gt;=Initiatives!$F$31,P$3&lt;Initiatives!$F$31+3),Initiatives!$F$44/3,0),IF(AND(P$3&gt;=Initiatives!$F$31,P$3&lt;Initiatives!$F$31+2),Initiatives!$F$32*Initiatives!$F$44/2,0)+IF(AND(P$3&gt;=Initiatives!$F$33,P$3&lt;Initiatives!$F$33+2),(1-Initiatives!$F$32)*Initiatives!$F$44/2,0))</f>
        <v>0</v>
      </c>
      <c r="Q56" s="8" t="n">
        <f aca="false">IF(Initiatives!$F$6="adoption",IF(AND(Q$3&gt;=Initiatives!$F$31,Q$3&lt;Initiatives!$F$31+3),Initiatives!$F$44/3,0),IF(AND(Q$3&gt;=Initiatives!$F$31,Q$3&lt;Initiatives!$F$31+2),Initiatives!$F$32*Initiatives!$F$44/2,0)+IF(AND(Q$3&gt;=Initiatives!$F$33,Q$3&lt;Initiatives!$F$33+2),(1-Initiatives!$F$32)*Initiatives!$F$44/2,0))</f>
        <v>0</v>
      </c>
      <c r="R56" s="8" t="n">
        <f aca="false">IF(Initiatives!$F$6="adoption",IF(AND(R$3&gt;=Initiatives!$F$31,R$3&lt;Initiatives!$F$31+3),Initiatives!$F$44/3,0),IF(AND(R$3&gt;=Initiatives!$F$31,R$3&lt;Initiatives!$F$31+2),Initiatives!$F$32*Initiatives!$F$44/2,0)+IF(AND(R$3&gt;=Initiatives!$F$33,R$3&lt;Initiatives!$F$33+2),(1-Initiatives!$F$32)*Initiatives!$F$44/2,0))</f>
        <v>0</v>
      </c>
      <c r="S56" s="8" t="n">
        <f aca="false">IF(Initiatives!$F$6="adoption",IF(AND(S$3&gt;=Initiatives!$F$31,S$3&lt;Initiatives!$F$31+3),Initiatives!$F$44/3,0),IF(AND(S$3&gt;=Initiatives!$F$31,S$3&lt;Initiatives!$F$31+2),Initiatives!$F$32*Initiatives!$F$44/2,0)+IF(AND(S$3&gt;=Initiatives!$F$33,S$3&lt;Initiatives!$F$33+2),(1-Initiatives!$F$32)*Initiatives!$F$44/2,0))</f>
        <v>0</v>
      </c>
      <c r="T56" s="8" t="n">
        <f aca="false">IF(Initiatives!$F$6="adoption",IF(AND(T$3&gt;=Initiatives!$F$31,T$3&lt;Initiatives!$F$31+3),Initiatives!$F$44/3,0),IF(AND(T$3&gt;=Initiatives!$F$31,T$3&lt;Initiatives!$F$31+2),Initiatives!$F$32*Initiatives!$F$44/2,0)+IF(AND(T$3&gt;=Initiatives!$F$33,T$3&lt;Initiatives!$F$33+2),(1-Initiatives!$F$32)*Initiatives!$F$44/2,0))</f>
        <v>0</v>
      </c>
      <c r="U56" s="8" t="n">
        <f aca="false">IF(Initiatives!$F$6="adoption",IF(AND(U$3&gt;=Initiatives!$F$31,U$3&lt;Initiatives!$F$31+3),Initiatives!$F$44/3,0),IF(AND(U$3&gt;=Initiatives!$F$31,U$3&lt;Initiatives!$F$31+2),Initiatives!$F$32*Initiatives!$F$44/2,0)+IF(AND(U$3&gt;=Initiatives!$F$33,U$3&lt;Initiatives!$F$33+2),(1-Initiatives!$F$32)*Initiatives!$F$44/2,0))</f>
        <v>0</v>
      </c>
      <c r="V56" s="8" t="n">
        <f aca="false">IF(Initiatives!$F$6="adoption",IF(AND(V$3&gt;=Initiatives!$F$31,V$3&lt;Initiatives!$F$31+3),Initiatives!$F$44/3,0),IF(AND(V$3&gt;=Initiatives!$F$31,V$3&lt;Initiatives!$F$31+2),Initiatives!$F$32*Initiatives!$F$44/2,0)+IF(AND(V$3&gt;=Initiatives!$F$33,V$3&lt;Initiatives!$F$33+2),(1-Initiatives!$F$32)*Initiatives!$F$44/2,0))</f>
        <v>0</v>
      </c>
      <c r="W56" s="8" t="n">
        <f aca="false">IF(Initiatives!$F$6="adoption",IF(AND(W$3&gt;=Initiatives!$F$31,W$3&lt;Initiatives!$F$31+3),Initiatives!$F$44/3,0),IF(AND(W$3&gt;=Initiatives!$F$31,W$3&lt;Initiatives!$F$31+2),Initiatives!$F$32*Initiatives!$F$44/2,0)+IF(AND(W$3&gt;=Initiatives!$F$33,W$3&lt;Initiatives!$F$33+2),(1-Initiatives!$F$32)*Initiatives!$F$44/2,0))</f>
        <v>0</v>
      </c>
      <c r="X56" s="8" t="n">
        <f aca="false">IF(Initiatives!$F$6="adoption",IF(AND(X$3&gt;=Initiatives!$F$31,X$3&lt;Initiatives!$F$31+3),Initiatives!$F$44/3,0),IF(AND(X$3&gt;=Initiatives!$F$31,X$3&lt;Initiatives!$F$31+2),Initiatives!$F$32*Initiatives!$F$44/2,0)+IF(AND(X$3&gt;=Initiatives!$F$33,X$3&lt;Initiatives!$F$33+2),(1-Initiatives!$F$32)*Initiatives!$F$44/2,0))</f>
        <v>0</v>
      </c>
      <c r="Y56" s="8" t="n">
        <f aca="false">IF(Initiatives!$F$6="adoption",IF(AND(Y$3&gt;=Initiatives!$F$31,Y$3&lt;Initiatives!$F$31+3),Initiatives!$F$44/3,0),IF(AND(Y$3&gt;=Initiatives!$F$31,Y$3&lt;Initiatives!$F$31+2),Initiatives!$F$32*Initiatives!$F$44/2,0)+IF(AND(Y$3&gt;=Initiatives!$F$33,Y$3&lt;Initiatives!$F$33+2),(1-Initiatives!$F$32)*Initiatives!$F$44/2,0))</f>
        <v>0</v>
      </c>
      <c r="Z56" s="8" t="n">
        <f aca="false">IF(Initiatives!$F$6="adoption",IF(AND(Z$3&gt;=Initiatives!$F$31,Z$3&lt;Initiatives!$F$31+3),Initiatives!$F$44/3,0),IF(AND(Z$3&gt;=Initiatives!$F$31,Z$3&lt;Initiatives!$F$31+2),Initiatives!$F$32*Initiatives!$F$44/2,0)+IF(AND(Z$3&gt;=Initiatives!$F$33,Z$3&lt;Initiatives!$F$33+2),(1-Initiatives!$F$32)*Initiatives!$F$44/2,0))</f>
        <v>0</v>
      </c>
      <c r="AA56" s="8" t="n">
        <f aca="false">IF(Initiatives!$F$6="adoption",IF(AND(AA$3&gt;=Initiatives!$F$31,AA$3&lt;Initiatives!$F$31+3),Initiatives!$F$44/3,0),IF(AND(AA$3&gt;=Initiatives!$F$31,AA$3&lt;Initiatives!$F$31+2),Initiatives!$F$32*Initiatives!$F$44/2,0)+IF(AND(AA$3&gt;=Initiatives!$F$33,AA$3&lt;Initiatives!$F$33+2),(1-Initiatives!$F$32)*Initiatives!$F$44/2,0))</f>
        <v>0</v>
      </c>
      <c r="AB56" s="8" t="n">
        <f aca="false">IF(Initiatives!$F$6="adoption",IF(AND(AB$3&gt;=Initiatives!$F$31,AB$3&lt;Initiatives!$F$31+3),Initiatives!$F$44/3,0),IF(AND(AB$3&gt;=Initiatives!$F$31,AB$3&lt;Initiatives!$F$31+2),Initiatives!$F$32*Initiatives!$F$44/2,0)+IF(AND(AB$3&gt;=Initiatives!$F$33,AB$3&lt;Initiatives!$F$33+2),(1-Initiatives!$F$32)*Initiatives!$F$44/2,0))</f>
        <v>0</v>
      </c>
      <c r="AC56" s="8" t="n">
        <f aca="false">IF(Initiatives!$F$6="adoption",IF(AND(AC$3&gt;=Initiatives!$F$31,AC$3&lt;Initiatives!$F$31+3),Initiatives!$F$44/3,0),IF(AND(AC$3&gt;=Initiatives!$F$31,AC$3&lt;Initiatives!$F$31+2),Initiatives!$F$32*Initiatives!$F$44/2,0)+IF(AND(AC$3&gt;=Initiatives!$F$33,AC$3&lt;Initiatives!$F$33+2),(1-Initiatives!$F$32)*Initiatives!$F$44/2,0))</f>
        <v>0</v>
      </c>
      <c r="AD56" s="8" t="n">
        <f aca="false">IF(Initiatives!$F$6="adoption",IF(AND(AD$3&gt;=Initiatives!$F$31,AD$3&lt;Initiatives!$F$31+3),Initiatives!$F$44/3,0),IF(AND(AD$3&gt;=Initiatives!$F$31,AD$3&lt;Initiatives!$F$31+2),Initiatives!$F$32*Initiatives!$F$44/2,0)+IF(AND(AD$3&gt;=Initiatives!$F$33,AD$3&lt;Initiatives!$F$33+2),(1-Initiatives!$F$32)*Initiatives!$F$44/2,0))</f>
        <v>0</v>
      </c>
      <c r="AE56" s="8" t="n">
        <f aca="false">IF(Initiatives!$F$6="adoption",IF(AND(AE$3&gt;=Initiatives!$F$31,AE$3&lt;Initiatives!$F$31+3),Initiatives!$F$44/3,0),IF(AND(AE$3&gt;=Initiatives!$F$31,AE$3&lt;Initiatives!$F$31+2),Initiatives!$F$32*Initiatives!$F$44/2,0)+IF(AND(AE$3&gt;=Initiatives!$F$33,AE$3&lt;Initiatives!$F$33+2),(1-Initiatives!$F$32)*Initiatives!$F$44/2,0))</f>
        <v>0</v>
      </c>
      <c r="AF56" s="8" t="n">
        <f aca="false">IF(Initiatives!$F$6="adoption",IF(AND(AF$3&gt;=Initiatives!$F$31,AF$3&lt;Initiatives!$F$31+3),Initiatives!$F$44/3,0),IF(AND(AF$3&gt;=Initiatives!$F$31,AF$3&lt;Initiatives!$F$31+2),Initiatives!$F$32*Initiatives!$F$44/2,0)+IF(AND(AF$3&gt;=Initiatives!$F$33,AF$3&lt;Initiatives!$F$33+2),(1-Initiatives!$F$32)*Initiatives!$F$44/2,0))</f>
        <v>0</v>
      </c>
      <c r="AG56" s="8" t="n">
        <f aca="false">IF(Initiatives!$F$6="adoption",IF(AND(AG$3&gt;=Initiatives!$F$31,AG$3&lt;Initiatives!$F$31+3),Initiatives!$F$44/3,0),IF(AND(AG$3&gt;=Initiatives!$F$31,AG$3&lt;Initiatives!$F$31+2),Initiatives!$F$32*Initiatives!$F$44/2,0)+IF(AND(AG$3&gt;=Initiatives!$F$33,AG$3&lt;Initiatives!$F$33+2),(1-Initiatives!$F$32)*Initiatives!$F$44/2,0))</f>
        <v>0</v>
      </c>
      <c r="AH56" s="8" t="n">
        <f aca="false">IF(Initiatives!$F$6="adoption",IF(AND(AH$3&gt;=Initiatives!$F$31,AH$3&lt;Initiatives!$F$31+3),Initiatives!$F$44/3,0),IF(AND(AH$3&gt;=Initiatives!$F$31,AH$3&lt;Initiatives!$F$31+2),Initiatives!$F$32*Initiatives!$F$44/2,0)+IF(AND(AH$3&gt;=Initiatives!$F$33,AH$3&lt;Initiatives!$F$33+2),(1-Initiatives!$F$32)*Initiatives!$F$44/2,0))</f>
        <v>0</v>
      </c>
      <c r="AI56" s="8" t="n">
        <f aca="false">IF(Initiatives!$F$6="adoption",IF(AND(AI$3&gt;=Initiatives!$F$31,AI$3&lt;Initiatives!$F$31+3),Initiatives!$F$44/3,0),IF(AND(AI$3&gt;=Initiatives!$F$31,AI$3&lt;Initiatives!$F$31+2),Initiatives!$F$32*Initiatives!$F$44/2,0)+IF(AND(AI$3&gt;=Initiatives!$F$33,AI$3&lt;Initiatives!$F$33+2),(1-Initiatives!$F$32)*Initiatives!$F$44/2,0))</f>
        <v>0</v>
      </c>
      <c r="AJ56" s="8" t="n">
        <f aca="false">IF(Initiatives!$F$6="adoption",IF(AND(AJ$3&gt;=Initiatives!$F$31,AJ$3&lt;Initiatives!$F$31+3),Initiatives!$F$44/3,0),IF(AND(AJ$3&gt;=Initiatives!$F$31,AJ$3&lt;Initiatives!$F$31+2),Initiatives!$F$32*Initiatives!$F$44/2,0)+IF(AND(AJ$3&gt;=Initiatives!$F$33,AJ$3&lt;Initiatives!$F$33+2),(1-Initiatives!$F$32)*Initiatives!$F$44/2,0))</f>
        <v>0</v>
      </c>
      <c r="AK56" s="8" t="n">
        <f aca="false">IF(Initiatives!$F$6="adoption",IF(AND(AK$3&gt;=Initiatives!$F$31,AK$3&lt;Initiatives!$F$31+3),Initiatives!$F$44/3,0),IF(AND(AK$3&gt;=Initiatives!$F$31,AK$3&lt;Initiatives!$F$31+2),Initiatives!$F$32*Initiatives!$F$44/2,0)+IF(AND(AK$3&gt;=Initiatives!$F$33,AK$3&lt;Initiatives!$F$33+2),(1-Initiatives!$F$32)*Initiatives!$F$44/2,0))</f>
        <v>0</v>
      </c>
      <c r="AL56" s="8" t="n">
        <f aca="false">IF(Initiatives!$F$6="adoption",IF(AND(AL$3&gt;=Initiatives!$F$31,AL$3&lt;Initiatives!$F$31+3),Initiatives!$F$44/3,0),IF(AND(AL$3&gt;=Initiatives!$F$31,AL$3&lt;Initiatives!$F$31+2),Initiatives!$F$32*Initiatives!$F$44/2,0)+IF(AND(AL$3&gt;=Initiatives!$F$33,AL$3&lt;Initiatives!$F$33+2),(1-Initiatives!$F$32)*Initiatives!$F$44/2,0))</f>
        <v>0</v>
      </c>
    </row>
    <row r="57" customFormat="false" ht="15" hidden="false" customHeight="false" outlineLevel="0" collapsed="false">
      <c r="A57" s="4" t="s">
        <v>183</v>
      </c>
      <c r="B57" s="4" t="s">
        <v>184</v>
      </c>
      <c r="C57" s="8" t="n">
        <f aca="false">N(B57)*(1-Inputs!$C$9)+C56</f>
        <v>0</v>
      </c>
      <c r="D57" s="8" t="n">
        <f aca="false">N(C57)*(1-Inputs!$C$9)+D56</f>
        <v>0</v>
      </c>
      <c r="E57" s="8" t="n">
        <f aca="false">N(D57)*(1-Inputs!$C$9)+E56</f>
        <v>0</v>
      </c>
      <c r="F57" s="8" t="n">
        <f aca="false">N(E57)*(1-Inputs!$C$9)+F56</f>
        <v>0</v>
      </c>
      <c r="G57" s="8" t="n">
        <f aca="false">N(F57)*(1-Inputs!$C$9)+G56</f>
        <v>0</v>
      </c>
      <c r="H57" s="8" t="n">
        <f aca="false">N(G57)*(1-Inputs!$C$9)+H56</f>
        <v>0</v>
      </c>
      <c r="I57" s="8" t="n">
        <f aca="false">N(H57)*(1-Inputs!$C$9)+I56</f>
        <v>0</v>
      </c>
      <c r="J57" s="8" t="n">
        <f aca="false">N(I57)*(1-Inputs!$C$9)+J56</f>
        <v>0</v>
      </c>
      <c r="K57" s="8" t="n">
        <f aca="false">N(J57)*(1-Inputs!$C$9)+K56</f>
        <v>0</v>
      </c>
      <c r="L57" s="8" t="n">
        <f aca="false">N(K57)*(1-Inputs!$C$9)+L56</f>
        <v>0</v>
      </c>
      <c r="M57" s="8" t="n">
        <f aca="false">N(L57)*(1-Inputs!$C$9)+M56</f>
        <v>0</v>
      </c>
      <c r="N57" s="8" t="n">
        <f aca="false">N(M57)*(1-Inputs!$C$9)+N56</f>
        <v>0</v>
      </c>
      <c r="O57" s="8" t="n">
        <f aca="false">N(N57)*(1-Inputs!$C$9)+O56</f>
        <v>0</v>
      </c>
      <c r="P57" s="8" t="n">
        <f aca="false">N(O57)*(1-Inputs!$C$9)+P56</f>
        <v>0</v>
      </c>
      <c r="Q57" s="8" t="n">
        <f aca="false">N(P57)*(1-Inputs!$C$9)+Q56</f>
        <v>0</v>
      </c>
      <c r="R57" s="8" t="n">
        <f aca="false">N(Q57)*(1-Inputs!$C$9)+R56</f>
        <v>0</v>
      </c>
      <c r="S57" s="8" t="n">
        <f aca="false">N(R57)*(1-Inputs!$C$9)+S56</f>
        <v>0</v>
      </c>
      <c r="T57" s="8" t="n">
        <f aca="false">N(S57)*(1-Inputs!$C$9)+T56</f>
        <v>0</v>
      </c>
      <c r="U57" s="8" t="n">
        <f aca="false">N(T57)*(1-Inputs!$C$9)+U56</f>
        <v>0</v>
      </c>
      <c r="V57" s="8" t="n">
        <f aca="false">N(U57)*(1-Inputs!$C$9)+V56</f>
        <v>0</v>
      </c>
      <c r="W57" s="8" t="n">
        <f aca="false">N(V57)*(1-Inputs!$C$9)+W56</f>
        <v>0</v>
      </c>
      <c r="X57" s="8" t="n">
        <f aca="false">N(W57)*(1-Inputs!$C$9)+X56</f>
        <v>0</v>
      </c>
      <c r="Y57" s="8" t="n">
        <f aca="false">N(X57)*(1-Inputs!$C$9)+Y56</f>
        <v>0</v>
      </c>
      <c r="Z57" s="8" t="n">
        <f aca="false">N(Y57)*(1-Inputs!$C$9)+Z56</f>
        <v>0</v>
      </c>
      <c r="AA57" s="8" t="n">
        <f aca="false">N(Z57)*(1-Inputs!$C$9)+AA56</f>
        <v>0</v>
      </c>
      <c r="AB57" s="8" t="n">
        <f aca="false">N(AA57)*(1-Inputs!$C$9)+AB56</f>
        <v>0</v>
      </c>
      <c r="AC57" s="8" t="n">
        <f aca="false">N(AB57)*(1-Inputs!$C$9)+AC56</f>
        <v>0</v>
      </c>
      <c r="AD57" s="8" t="n">
        <f aca="false">N(AC57)*(1-Inputs!$C$9)+AD56</f>
        <v>0</v>
      </c>
      <c r="AE57" s="8" t="n">
        <f aca="false">N(AD57)*(1-Inputs!$C$9)+AE56</f>
        <v>0</v>
      </c>
      <c r="AF57" s="8" t="n">
        <f aca="false">N(AE57)*(1-Inputs!$C$9)+AF56</f>
        <v>0</v>
      </c>
      <c r="AG57" s="8" t="n">
        <f aca="false">N(AF57)*(1-Inputs!$C$9)+AG56</f>
        <v>0</v>
      </c>
      <c r="AH57" s="8" t="n">
        <f aca="false">N(AG57)*(1-Inputs!$C$9)+AH56</f>
        <v>0</v>
      </c>
      <c r="AI57" s="8" t="n">
        <f aca="false">N(AH57)*(1-Inputs!$C$9)+AI56</f>
        <v>0</v>
      </c>
      <c r="AJ57" s="8" t="n">
        <f aca="false">N(AI57)*(1-Inputs!$C$9)+AJ56</f>
        <v>0</v>
      </c>
      <c r="AK57" s="8" t="n">
        <f aca="false">N(AJ57)*(1-Inputs!$C$9)+AK56</f>
        <v>0</v>
      </c>
      <c r="AL57" s="8" t="n">
        <f aca="false">N(AK57)*(1-Inputs!$C$9)+AL56</f>
        <v>0</v>
      </c>
    </row>
    <row r="58" customFormat="false" ht="15" hidden="false" customHeight="false" outlineLevel="0" collapsed="false">
      <c r="A58" s="4" t="s">
        <v>185</v>
      </c>
      <c r="B58" s="4" t="s">
        <v>186</v>
      </c>
      <c r="C58" s="8" t="n">
        <f aca="false">IF(Initiatives!$F$6="adoption",C54*Initiatives!$F$23+C53*Initiatives!$F$8-C57*Initiatives!$F$8,(Initiatives!$F$42*Initiatives!$F$41+Initiatives!$F$38*Initiatives!$F$13*Initiatives!$F$14+Initiatives!$F$43*Initiatives!$F$16)*C55-C57*Initiatives!$F$8)</f>
        <v>0</v>
      </c>
      <c r="D58" s="8" t="n">
        <f aca="false">IF(Initiatives!$F$6="adoption",D54*Initiatives!$F$23+D53*Initiatives!$F$8-D57*Initiatives!$F$8,(Initiatives!$F$42*Initiatives!$F$41+Initiatives!$F$38*Initiatives!$F$13*Initiatives!$F$14+Initiatives!$F$43*Initiatives!$F$16)*D55-D57*Initiatives!$F$8)</f>
        <v>59136000</v>
      </c>
      <c r="E58" s="8" t="n">
        <f aca="false">IF(Initiatives!$F$6="adoption",E54*Initiatives!$F$23+E53*Initiatives!$F$8-E57*Initiatives!$F$8,(Initiatives!$F$42*Initiatives!$F$41+Initiatives!$F$38*Initiatives!$F$13*Initiatives!$F$14+Initiatives!$F$43*Initiatives!$F$16)*E55-E57*Initiatives!$F$8)</f>
        <v>117942528</v>
      </c>
      <c r="F58" s="8" t="n">
        <f aca="false">IF(Initiatives!$F$6="adoption",F54*Initiatives!$F$23+F53*Initiatives!$F$8-F57*Initiatives!$F$8,(Initiatives!$F$42*Initiatives!$F$41+Initiatives!$F$38*Initiatives!$F$13*Initiatives!$F$14+Initiatives!$F$43*Initiatives!$F$16)*F55-F57*Initiatives!$F$8)</f>
        <v>176417835.264</v>
      </c>
      <c r="G58" s="8" t="n">
        <f aca="false">IF(Initiatives!$F$6="adoption",G54*Initiatives!$F$23+G53*Initiatives!$F$8-G57*Initiatives!$F$8,(Initiatives!$F$42*Initiatives!$F$41+Initiatives!$F$38*Initiatives!$F$13*Initiatives!$F$14+Initiatives!$F$43*Initiatives!$F$16)*G55-G57*Initiatives!$F$8)</f>
        <v>175424279.576832</v>
      </c>
      <c r="H58" s="8" t="n">
        <f aca="false">IF(Initiatives!$F$6="adoption",H54*Initiatives!$F$23+H53*Initiatives!$F$8-H57*Initiatives!$F$8,(Initiatives!$F$42*Initiatives!$F$41+Initiatives!$F$38*Initiatives!$F$13*Initiatives!$F$14+Initiatives!$F$43*Initiatives!$F$16)*H55-H57*Initiatives!$F$8)</f>
        <v>174425794.68287</v>
      </c>
      <c r="I58" s="8" t="n">
        <f aca="false">IF(Initiatives!$F$6="adoption",I54*Initiatives!$F$23+I53*Initiatives!$F$8-I57*Initiatives!$F$8,(Initiatives!$F$42*Initiatives!$F$41+Initiatives!$F$38*Initiatives!$F$13*Initiatives!$F$14+Initiatives!$F$43*Initiatives!$F$16)*I55-I57*Initiatives!$F$8)</f>
        <v>173422692.510721</v>
      </c>
      <c r="J58" s="8" t="n">
        <f aca="false">IF(Initiatives!$F$6="adoption",J54*Initiatives!$F$23+J53*Initiatives!$F$8-J57*Initiatives!$F$8,(Initiatives!$F$42*Initiatives!$F$41+Initiatives!$F$38*Initiatives!$F$13*Initiatives!$F$14+Initiatives!$F$43*Initiatives!$F$16)*J55-J57*Initiatives!$F$8)</f>
        <v>172415277.454177</v>
      </c>
      <c r="K58" s="8" t="n">
        <f aca="false">IF(Initiatives!$F$6="adoption",K54*Initiatives!$F$23+K53*Initiatives!$F$8-K57*Initiatives!$F$8,(Initiatives!$F$42*Initiatives!$F$41+Initiatives!$F$38*Initiatives!$F$13*Initiatives!$F$14+Initiatives!$F$43*Initiatives!$F$16)*K55-K57*Initiatives!$F$8)</f>
        <v>171403846.519508</v>
      </c>
      <c r="L58" s="8" t="n">
        <f aca="false">IF(Initiatives!$F$6="adoption",L54*Initiatives!$F$23+L53*Initiatives!$F$8-L57*Initiatives!$F$8,(Initiatives!$F$42*Initiatives!$F$41+Initiatives!$F$38*Initiatives!$F$13*Initiatives!$F$14+Initiatives!$F$43*Initiatives!$F$16)*L55-L57*Initiatives!$F$8)</f>
        <v>170388689.470134</v>
      </c>
      <c r="M58" s="8" t="n">
        <f aca="false">IF(Initiatives!$F$6="adoption",M54*Initiatives!$F$23+M53*Initiatives!$F$8-M57*Initiatives!$F$8,(Initiatives!$F$42*Initiatives!$F$41+Initiatives!$F$38*Initiatives!$F$13*Initiatives!$F$14+Initiatives!$F$43*Initiatives!$F$16)*M55-M57*Initiatives!$F$8)</f>
        <v>169370088.968719</v>
      </c>
      <c r="N58" s="8" t="n">
        <f aca="false">IF(Initiatives!$F$6="adoption",N54*Initiatives!$F$23+N53*Initiatives!$F$8-N57*Initiatives!$F$8,(Initiatives!$F$42*Initiatives!$F$41+Initiatives!$F$38*Initiatives!$F$13*Initiatives!$F$14+Initiatives!$F$43*Initiatives!$F$16)*N55-N57*Initiatives!$F$8)</f>
        <v>168348320.716737</v>
      </c>
      <c r="O58" s="8" t="n">
        <f aca="false">IF(Initiatives!$F$6="adoption",O54*Initiatives!$F$23+O53*Initiatives!$F$8-O57*Initiatives!$F$8,(Initiatives!$F$42*Initiatives!$F$41+Initiatives!$F$38*Initiatives!$F$13*Initiatives!$F$14+Initiatives!$F$43*Initiatives!$F$16)*O55-O57*Initiatives!$F$8)</f>
        <v>167323653.591545</v>
      </c>
      <c r="P58" s="8" t="n">
        <f aca="false">IF(Initiatives!$F$6="adoption",P54*Initiatives!$F$23+P53*Initiatives!$F$8-P57*Initiatives!$F$8,(Initiatives!$F$42*Initiatives!$F$41+Initiatives!$F$38*Initiatives!$F$13*Initiatives!$F$14+Initiatives!$F$43*Initiatives!$F$16)*P55-P57*Initiatives!$F$8)</f>
        <v>166296349.781004</v>
      </c>
      <c r="Q58" s="8" t="n">
        <f aca="false">IF(Initiatives!$F$6="adoption",Q54*Initiatives!$F$23+Q53*Initiatives!$F$8-Q57*Initiatives!$F$8,(Initiatives!$F$42*Initiatives!$F$41+Initiatives!$F$38*Initiatives!$F$13*Initiatives!$F$14+Initiatives!$F$43*Initiatives!$F$16)*Q55-Q57*Initiatives!$F$8)</f>
        <v>165266664.915701</v>
      </c>
      <c r="R58" s="8" t="n">
        <f aca="false">IF(Initiatives!$F$6="adoption",R54*Initiatives!$F$23+R53*Initiatives!$F$8-R57*Initiatives!$F$8,(Initiatives!$F$42*Initiatives!$F$41+Initiatives!$F$38*Initiatives!$F$13*Initiatives!$F$14+Initiatives!$F$43*Initiatives!$F$16)*R55-R57*Initiatives!$F$8)</f>
        <v>164234848.1988</v>
      </c>
      <c r="S58" s="8" t="n">
        <f aca="false">IF(Initiatives!$F$6="adoption",S54*Initiatives!$F$23+S53*Initiatives!$F$8-S57*Initiatives!$F$8,(Initiatives!$F$42*Initiatives!$F$41+Initiatives!$F$38*Initiatives!$F$13*Initiatives!$F$14+Initiatives!$F$43*Initiatives!$F$16)*S55-S57*Initiatives!$F$8)</f>
        <v>163201142.533571</v>
      </c>
      <c r="T58" s="8" t="n">
        <f aca="false">IF(Initiatives!$F$6="adoption",T54*Initiatives!$F$23+T53*Initiatives!$F$8-T57*Initiatives!$F$8,(Initiatives!$F$42*Initiatives!$F$41+Initiatives!$F$38*Initiatives!$F$13*Initiatives!$F$14+Initiatives!$F$43*Initiatives!$F$16)*T55-T57*Initiatives!$F$8)</f>
        <v>162165784.648628</v>
      </c>
      <c r="U58" s="8" t="n">
        <f aca="false">IF(Initiatives!$F$6="adoption",U54*Initiatives!$F$23+U53*Initiatives!$F$8-U57*Initiatives!$F$8,(Initiatives!$F$42*Initiatives!$F$41+Initiatives!$F$38*Initiatives!$F$13*Initiatives!$F$14+Initiatives!$F$43*Initiatives!$F$16)*U55-U57*Initiatives!$F$8)</f>
        <v>161129005.220922</v>
      </c>
      <c r="V58" s="8" t="n">
        <f aca="false">IF(Initiatives!$F$6="adoption",V54*Initiatives!$F$23+V53*Initiatives!$F$8-V57*Initiatives!$F$8,(Initiatives!$F$42*Initiatives!$F$41+Initiatives!$F$38*Initiatives!$F$13*Initiatives!$F$14+Initiatives!$F$43*Initiatives!$F$16)*V55-V57*Initiatives!$F$8)</f>
        <v>160091028.996527</v>
      </c>
      <c r="W58" s="8" t="n">
        <f aca="false">IF(Initiatives!$F$6="adoption",W54*Initiatives!$F$23+W53*Initiatives!$F$8-W57*Initiatives!$F$8,(Initiatives!$F$42*Initiatives!$F$41+Initiatives!$F$38*Initiatives!$F$13*Initiatives!$F$14+Initiatives!$F$43*Initiatives!$F$16)*W55-W57*Initiatives!$F$8)</f>
        <v>159052074.909251</v>
      </c>
      <c r="X58" s="8" t="n">
        <f aca="false">IF(Initiatives!$F$6="adoption",X54*Initiatives!$F$23+X53*Initiatives!$F$8-X57*Initiatives!$F$8,(Initiatives!$F$42*Initiatives!$F$41+Initiatives!$F$38*Initiatives!$F$13*Initiatives!$F$14+Initiatives!$F$43*Initiatives!$F$16)*X55-X57*Initiatives!$F$8)</f>
        <v>158012356.197112</v>
      </c>
      <c r="Y58" s="8" t="n">
        <f aca="false">IF(Initiatives!$F$6="adoption",Y54*Initiatives!$F$23+Y53*Initiatives!$F$8-Y57*Initiatives!$F$8,(Initiatives!$F$42*Initiatives!$F$41+Initiatives!$F$38*Initiatives!$F$13*Initiatives!$F$14+Initiatives!$F$43*Initiatives!$F$16)*Y55-Y57*Initiatives!$F$8)</f>
        <v>156972080.516717</v>
      </c>
      <c r="Z58" s="8" t="n">
        <f aca="false">IF(Initiatives!$F$6="adoption",Z54*Initiatives!$F$23+Z53*Initiatives!$F$8-Z57*Initiatives!$F$8,(Initiatives!$F$42*Initiatives!$F$41+Initiatives!$F$38*Initiatives!$F$13*Initiatives!$F$14+Initiatives!$F$43*Initiatives!$F$16)*Z55-Z57*Initiatives!$F$8)</f>
        <v>155931450.055578</v>
      </c>
      <c r="AA58" s="8" t="n">
        <f aca="false">IF(Initiatives!$F$6="adoption",AA54*Initiatives!$F$23+AA53*Initiatives!$F$8-AA57*Initiatives!$F$8,(Initiatives!$F$42*Initiatives!$F$41+Initiatives!$F$38*Initiatives!$F$13*Initiatives!$F$14+Initiatives!$F$43*Initiatives!$F$16)*AA55-AA57*Initiatives!$F$8)</f>
        <v>154890661.642396</v>
      </c>
      <c r="AB58" s="8" t="n">
        <f aca="false">IF(Initiatives!$F$6="adoption",AB54*Initiatives!$F$23+AB53*Initiatives!$F$8-AB57*Initiatives!$F$8,(Initiatives!$F$42*Initiatives!$F$41+Initiatives!$F$38*Initiatives!$F$13*Initiatives!$F$14+Initiatives!$F$43*Initiatives!$F$16)*AB55-AB57*Initiatives!$F$8)</f>
        <v>153849906.85536</v>
      </c>
      <c r="AC58" s="8" t="n">
        <f aca="false">IF(Initiatives!$F$6="adoption",AC54*Initiatives!$F$23+AC53*Initiatives!$F$8-AC57*Initiatives!$F$8,(Initiatives!$F$42*Initiatives!$F$41+Initiatives!$F$38*Initiatives!$F$13*Initiatives!$F$14+Initiatives!$F$43*Initiatives!$F$16)*AC55-AC57*Initiatives!$F$8)</f>
        <v>152809372.128478</v>
      </c>
      <c r="AD58" s="8" t="n">
        <f aca="false">IF(Initiatives!$F$6="adoption",AD54*Initiatives!$F$23+AD53*Initiatives!$F$8-AD57*Initiatives!$F$8,(Initiatives!$F$42*Initiatives!$F$41+Initiatives!$F$38*Initiatives!$F$13*Initiatives!$F$14+Initiatives!$F$43*Initiatives!$F$16)*AD55-AD57*Initiatives!$F$8)</f>
        <v>151769238.855989</v>
      </c>
      <c r="AE58" s="8" t="n">
        <f aca="false">IF(Initiatives!$F$6="adoption",AE54*Initiatives!$F$23+AE53*Initiatives!$F$8-AE57*Initiatives!$F$8,(Initiatives!$F$42*Initiatives!$F$41+Initiatives!$F$38*Initiatives!$F$13*Initiatives!$F$14+Initiatives!$F$43*Initiatives!$F$16)*AE55-AE57*Initiatives!$F$8)</f>
        <v>150729683.494873</v>
      </c>
      <c r="AF58" s="8" t="n">
        <f aca="false">IF(Initiatives!$F$6="adoption",AF54*Initiatives!$F$23+AF53*Initiatives!$F$8-AF57*Initiatives!$F$8,(Initiatives!$F$42*Initiatives!$F$41+Initiatives!$F$38*Initiatives!$F$13*Initiatives!$F$14+Initiatives!$F$43*Initiatives!$F$16)*AF55-AF57*Initiatives!$F$8)</f>
        <v>149690877.665513</v>
      </c>
      <c r="AG58" s="8" t="n">
        <f aca="false">IF(Initiatives!$F$6="adoption",AG54*Initiatives!$F$23+AG53*Initiatives!$F$8-AG57*Initiatives!$F$8,(Initiatives!$F$42*Initiatives!$F$41+Initiatives!$F$38*Initiatives!$F$13*Initiatives!$F$14+Initiatives!$F$43*Initiatives!$F$16)*AG55-AG57*Initiatives!$F$8)</f>
        <v>148652988.250517</v>
      </c>
      <c r="AH58" s="8" t="n">
        <f aca="false">IF(Initiatives!$F$6="adoption",AH54*Initiatives!$F$23+AH53*Initiatives!$F$8-AH57*Initiatives!$F$8,(Initiatives!$F$42*Initiatives!$F$41+Initiatives!$F$38*Initiatives!$F$13*Initiatives!$F$14+Initiatives!$F$43*Initiatives!$F$16)*AH55-AH57*Initiatives!$F$8)</f>
        <v>147616177.491746</v>
      </c>
      <c r="AI58" s="8" t="n">
        <f aca="false">IF(Initiatives!$F$6="adoption",AI54*Initiatives!$F$23+AI53*Initiatives!$F$8-AI57*Initiatives!$F$8,(Initiatives!$F$42*Initiatives!$F$41+Initiatives!$F$38*Initiatives!$F$13*Initiatives!$F$14+Initiatives!$F$43*Initiatives!$F$16)*AI55-AI57*Initiatives!$F$8)</f>
        <v>146580603.085577</v>
      </c>
      <c r="AJ58" s="8" t="n">
        <f aca="false">IF(Initiatives!$F$6="adoption",AJ54*Initiatives!$F$23+AJ53*Initiatives!$F$8-AJ57*Initiatives!$F$8,(Initiatives!$F$42*Initiatives!$F$41+Initiatives!$F$38*Initiatives!$F$13*Initiatives!$F$14+Initiatives!$F$43*Initiatives!$F$16)*AJ55-AJ57*Initiatives!$F$8)</f>
        <v>145546418.276426</v>
      </c>
      <c r="AK58" s="8" t="n">
        <f aca="false">IF(Initiatives!$F$6="adoption",AK54*Initiatives!$F$23+AK53*Initiatives!$F$8-AK57*Initiatives!$F$8,(Initiatives!$F$42*Initiatives!$F$41+Initiatives!$F$38*Initiatives!$F$13*Initiatives!$F$14+Initiatives!$F$43*Initiatives!$F$16)*AK55-AK57*Initiatives!$F$8)</f>
        <v>144513771.948567</v>
      </c>
      <c r="AL58" s="8" t="n">
        <f aca="false">IF(Initiatives!$F$6="adoption",AL54*Initiatives!$F$23+AL53*Initiatives!$F$8-AL57*Initiatives!$F$8,(Initiatives!$F$42*Initiatives!$F$41+Initiatives!$F$38*Initiatives!$F$13*Initiatives!$F$14+Initiatives!$F$43*Initiatives!$F$16)*AL55-AL57*Initiatives!$F$8)</f>
        <v>143482808.71627</v>
      </c>
    </row>
    <row r="59" customFormat="false" ht="15" hidden="false" customHeight="false" outlineLevel="0" collapsed="false">
      <c r="A59" s="4" t="s">
        <v>187</v>
      </c>
      <c r="B59" s="4" t="s">
        <v>188</v>
      </c>
      <c r="C59" s="8" t="n">
        <f aca="false">IF(C$3&lt;=Initiatives!$F$45,Initiatives!$F$28/Initiatives!$F$45,0)+IF(Initiatives!$F$6="adoption",C52*Initiatives!$F$26+C54*Initiatives!$F$27+IF(C$3=Initiatives!$F$31,Initiatives!$F$39*Initiatives!$F$25,0)+IF(C$3&gt;=Initiatives!$F$31,Initiatives!$F$29,0),Initiatives!$F$42*Initiatives!$F$18*C55+IF(C$3=Initiatives!$F$31,Initiatives!$F$32*Initiatives!$F$38*Initiatives!$F$25,0)+IF(C$3=Initiatives!$F$33,(1-Initiatives!$F$32)*Initiatives!$F$38*Initiatives!$F$25,0)+IF(C$3&gt;=Initiatives!$F$31,Initiatives!$F$29-Initiatives!$F$19*(Initiatives!$F$32+IF(C$3&gt;=Initiatives!$F$33,1-Initiatives!$F$32,0)),0))</f>
        <v>150000000</v>
      </c>
      <c r="D59" s="8" t="n">
        <f aca="false">IF(D$3&lt;=Initiatives!$F$45,Initiatives!$F$28/Initiatives!$F$45,0)+IF(Initiatives!$F$6="adoption",D52*Initiatives!$F$26+D54*Initiatives!$F$27+IF(D$3=Initiatives!$F$31,Initiatives!$F$39*Initiatives!$F$25,0)+IF(D$3&gt;=Initiatives!$F$31,Initiatives!$F$29,0),Initiatives!$F$42*Initiatives!$F$18*D55+IF(D$3=Initiatives!$F$31,Initiatives!$F$32*Initiatives!$F$38*Initiatives!$F$25,0)+IF(D$3=Initiatives!$F$33,(1-Initiatives!$F$32)*Initiatives!$F$38*Initiatives!$F$25,0)+IF(D$3&gt;=Initiatives!$F$31,Initiatives!$F$29-Initiatives!$F$19*(Initiatives!$F$32+IF(D$3&gt;=Initiatives!$F$33,1-Initiatives!$F$32,0)),0))</f>
        <v>86032000</v>
      </c>
      <c r="E59" s="8" t="n">
        <f aca="false">IF(E$3&lt;=Initiatives!$F$45,Initiatives!$F$28/Initiatives!$F$45,0)+IF(Initiatives!$F$6="adoption",E52*Initiatives!$F$26+E54*Initiatives!$F$27+IF(E$3=Initiatives!$F$31,Initiatives!$F$39*Initiatives!$F$25,0)+IF(E$3&gt;=Initiatives!$F$31,Initiatives!$F$29,0),Initiatives!$F$42*Initiatives!$F$18*E55+IF(E$3=Initiatives!$F$31,Initiatives!$F$32*Initiatives!$F$38*Initiatives!$F$25,0)+IF(E$3=Initiatives!$F$33,(1-Initiatives!$F$32)*Initiatives!$F$38*Initiatives!$F$25,0)+IF(E$3&gt;=Initiatives!$F$31,Initiatives!$F$29-Initiatives!$F$19*(Initiatives!$F$32+IF(E$3&gt;=Initiatives!$F$33,1-Initiatives!$F$32,0)),0))</f>
        <v>60688000</v>
      </c>
      <c r="F59" s="8" t="n">
        <f aca="false">IF(F$3&lt;=Initiatives!$F$45,Initiatives!$F$28/Initiatives!$F$45,0)+IF(Initiatives!$F$6="adoption",F52*Initiatives!$F$26+F54*Initiatives!$F$27+IF(F$3=Initiatives!$F$31,Initiatives!$F$39*Initiatives!$F$25,0)+IF(F$3&gt;=Initiatives!$F$31,Initiatives!$F$29,0),Initiatives!$F$42*Initiatives!$F$18*F55+IF(F$3=Initiatives!$F$31,Initiatives!$F$32*Initiatives!$F$38*Initiatives!$F$25,0)+IF(F$3=Initiatives!$F$33,(1-Initiatives!$F$32)*Initiatives!$F$38*Initiatives!$F$25,0)+IF(F$3&gt;=Initiatives!$F$31,Initiatives!$F$29-Initiatives!$F$19*(Initiatives!$F$32+IF(F$3&gt;=Initiatives!$F$33,1-Initiatives!$F$32,0)),0))</f>
        <v>60688000</v>
      </c>
      <c r="G59" s="8" t="n">
        <f aca="false">IF(G$3&lt;=Initiatives!$F$45,Initiatives!$F$28/Initiatives!$F$45,0)+IF(Initiatives!$F$6="adoption",G52*Initiatives!$F$26+G54*Initiatives!$F$27+IF(G$3=Initiatives!$F$31,Initiatives!$F$39*Initiatives!$F$25,0)+IF(G$3&gt;=Initiatives!$F$31,Initiatives!$F$29,0),Initiatives!$F$42*Initiatives!$F$18*G55+IF(G$3=Initiatives!$F$31,Initiatives!$F$32*Initiatives!$F$38*Initiatives!$F$25,0)+IF(G$3=Initiatives!$F$33,(1-Initiatives!$F$32)*Initiatives!$F$38*Initiatives!$F$25,0)+IF(G$3&gt;=Initiatives!$F$31,Initiatives!$F$29-Initiatives!$F$19*(Initiatives!$F$32+IF(G$3&gt;=Initiatives!$F$33,1-Initiatives!$F$32,0)),0))</f>
        <v>10000000</v>
      </c>
      <c r="H59" s="8" t="n">
        <f aca="false">IF(H$3&lt;=Initiatives!$F$45,Initiatives!$F$28/Initiatives!$F$45,0)+IF(Initiatives!$F$6="adoption",H52*Initiatives!$F$26+H54*Initiatives!$F$27+IF(H$3=Initiatives!$F$31,Initiatives!$F$39*Initiatives!$F$25,0)+IF(H$3&gt;=Initiatives!$F$31,Initiatives!$F$29,0),Initiatives!$F$42*Initiatives!$F$18*H55+IF(H$3=Initiatives!$F$31,Initiatives!$F$32*Initiatives!$F$38*Initiatives!$F$25,0)+IF(H$3=Initiatives!$F$33,(1-Initiatives!$F$32)*Initiatives!$F$38*Initiatives!$F$25,0)+IF(H$3&gt;=Initiatives!$F$31,Initiatives!$F$29-Initiatives!$F$19*(Initiatives!$F$32+IF(H$3&gt;=Initiatives!$F$33,1-Initiatives!$F$32,0)),0))</f>
        <v>10000000</v>
      </c>
      <c r="I59" s="8" t="n">
        <f aca="false">IF(I$3&lt;=Initiatives!$F$45,Initiatives!$F$28/Initiatives!$F$45,0)+IF(Initiatives!$F$6="adoption",I52*Initiatives!$F$26+I54*Initiatives!$F$27+IF(I$3=Initiatives!$F$31,Initiatives!$F$39*Initiatives!$F$25,0)+IF(I$3&gt;=Initiatives!$F$31,Initiatives!$F$29,0),Initiatives!$F$42*Initiatives!$F$18*I55+IF(I$3=Initiatives!$F$31,Initiatives!$F$32*Initiatives!$F$38*Initiatives!$F$25,0)+IF(I$3=Initiatives!$F$33,(1-Initiatives!$F$32)*Initiatives!$F$38*Initiatives!$F$25,0)+IF(I$3&gt;=Initiatives!$F$31,Initiatives!$F$29-Initiatives!$F$19*(Initiatives!$F$32+IF(I$3&gt;=Initiatives!$F$33,1-Initiatives!$F$32,0)),0))</f>
        <v>10000000</v>
      </c>
      <c r="J59" s="8" t="n">
        <f aca="false">IF(J$3&lt;=Initiatives!$F$45,Initiatives!$F$28/Initiatives!$F$45,0)+IF(Initiatives!$F$6="adoption",J52*Initiatives!$F$26+J54*Initiatives!$F$27+IF(J$3=Initiatives!$F$31,Initiatives!$F$39*Initiatives!$F$25,0)+IF(J$3&gt;=Initiatives!$F$31,Initiatives!$F$29,0),Initiatives!$F$42*Initiatives!$F$18*J55+IF(J$3=Initiatives!$F$31,Initiatives!$F$32*Initiatives!$F$38*Initiatives!$F$25,0)+IF(J$3=Initiatives!$F$33,(1-Initiatives!$F$32)*Initiatives!$F$38*Initiatives!$F$25,0)+IF(J$3&gt;=Initiatives!$F$31,Initiatives!$F$29-Initiatives!$F$19*(Initiatives!$F$32+IF(J$3&gt;=Initiatives!$F$33,1-Initiatives!$F$32,0)),0))</f>
        <v>10000000</v>
      </c>
      <c r="K59" s="8" t="n">
        <f aca="false">IF(K$3&lt;=Initiatives!$F$45,Initiatives!$F$28/Initiatives!$F$45,0)+IF(Initiatives!$F$6="adoption",K52*Initiatives!$F$26+K54*Initiatives!$F$27+IF(K$3=Initiatives!$F$31,Initiatives!$F$39*Initiatives!$F$25,0)+IF(K$3&gt;=Initiatives!$F$31,Initiatives!$F$29,0),Initiatives!$F$42*Initiatives!$F$18*K55+IF(K$3=Initiatives!$F$31,Initiatives!$F$32*Initiatives!$F$38*Initiatives!$F$25,0)+IF(K$3=Initiatives!$F$33,(1-Initiatives!$F$32)*Initiatives!$F$38*Initiatives!$F$25,0)+IF(K$3&gt;=Initiatives!$F$31,Initiatives!$F$29-Initiatives!$F$19*(Initiatives!$F$32+IF(K$3&gt;=Initiatives!$F$33,1-Initiatives!$F$32,0)),0))</f>
        <v>10000000</v>
      </c>
      <c r="L59" s="8" t="n">
        <f aca="false">IF(L$3&lt;=Initiatives!$F$45,Initiatives!$F$28/Initiatives!$F$45,0)+IF(Initiatives!$F$6="adoption",L52*Initiatives!$F$26+L54*Initiatives!$F$27+IF(L$3=Initiatives!$F$31,Initiatives!$F$39*Initiatives!$F$25,0)+IF(L$3&gt;=Initiatives!$F$31,Initiatives!$F$29,0),Initiatives!$F$42*Initiatives!$F$18*L55+IF(L$3=Initiatives!$F$31,Initiatives!$F$32*Initiatives!$F$38*Initiatives!$F$25,0)+IF(L$3=Initiatives!$F$33,(1-Initiatives!$F$32)*Initiatives!$F$38*Initiatives!$F$25,0)+IF(L$3&gt;=Initiatives!$F$31,Initiatives!$F$29-Initiatives!$F$19*(Initiatives!$F$32+IF(L$3&gt;=Initiatives!$F$33,1-Initiatives!$F$32,0)),0))</f>
        <v>10000000</v>
      </c>
      <c r="M59" s="8" t="n">
        <f aca="false">IF(M$3&lt;=Initiatives!$F$45,Initiatives!$F$28/Initiatives!$F$45,0)+IF(Initiatives!$F$6="adoption",M52*Initiatives!$F$26+M54*Initiatives!$F$27+IF(M$3=Initiatives!$F$31,Initiatives!$F$39*Initiatives!$F$25,0)+IF(M$3&gt;=Initiatives!$F$31,Initiatives!$F$29,0),Initiatives!$F$42*Initiatives!$F$18*M55+IF(M$3=Initiatives!$F$31,Initiatives!$F$32*Initiatives!$F$38*Initiatives!$F$25,0)+IF(M$3=Initiatives!$F$33,(1-Initiatives!$F$32)*Initiatives!$F$38*Initiatives!$F$25,0)+IF(M$3&gt;=Initiatives!$F$31,Initiatives!$F$29-Initiatives!$F$19*(Initiatives!$F$32+IF(M$3&gt;=Initiatives!$F$33,1-Initiatives!$F$32,0)),0))</f>
        <v>10000000</v>
      </c>
      <c r="N59" s="8" t="n">
        <f aca="false">IF(N$3&lt;=Initiatives!$F$45,Initiatives!$F$28/Initiatives!$F$45,0)+IF(Initiatives!$F$6="adoption",N52*Initiatives!$F$26+N54*Initiatives!$F$27+IF(N$3=Initiatives!$F$31,Initiatives!$F$39*Initiatives!$F$25,0)+IF(N$3&gt;=Initiatives!$F$31,Initiatives!$F$29,0),Initiatives!$F$42*Initiatives!$F$18*N55+IF(N$3=Initiatives!$F$31,Initiatives!$F$32*Initiatives!$F$38*Initiatives!$F$25,0)+IF(N$3=Initiatives!$F$33,(1-Initiatives!$F$32)*Initiatives!$F$38*Initiatives!$F$25,0)+IF(N$3&gt;=Initiatives!$F$31,Initiatives!$F$29-Initiatives!$F$19*(Initiatives!$F$32+IF(N$3&gt;=Initiatives!$F$33,1-Initiatives!$F$32,0)),0))</f>
        <v>10000000</v>
      </c>
      <c r="O59" s="8" t="n">
        <f aca="false">IF(O$3&lt;=Initiatives!$F$45,Initiatives!$F$28/Initiatives!$F$45,0)+IF(Initiatives!$F$6="adoption",O52*Initiatives!$F$26+O54*Initiatives!$F$27+IF(O$3=Initiatives!$F$31,Initiatives!$F$39*Initiatives!$F$25,0)+IF(O$3&gt;=Initiatives!$F$31,Initiatives!$F$29,0),Initiatives!$F$42*Initiatives!$F$18*O55+IF(O$3=Initiatives!$F$31,Initiatives!$F$32*Initiatives!$F$38*Initiatives!$F$25,0)+IF(O$3=Initiatives!$F$33,(1-Initiatives!$F$32)*Initiatives!$F$38*Initiatives!$F$25,0)+IF(O$3&gt;=Initiatives!$F$31,Initiatives!$F$29-Initiatives!$F$19*(Initiatives!$F$32+IF(O$3&gt;=Initiatives!$F$33,1-Initiatives!$F$32,0)),0))</f>
        <v>10000000</v>
      </c>
      <c r="P59" s="8" t="n">
        <f aca="false">IF(P$3&lt;=Initiatives!$F$45,Initiatives!$F$28/Initiatives!$F$45,0)+IF(Initiatives!$F$6="adoption",P52*Initiatives!$F$26+P54*Initiatives!$F$27+IF(P$3=Initiatives!$F$31,Initiatives!$F$39*Initiatives!$F$25,0)+IF(P$3&gt;=Initiatives!$F$31,Initiatives!$F$29,0),Initiatives!$F$42*Initiatives!$F$18*P55+IF(P$3=Initiatives!$F$31,Initiatives!$F$32*Initiatives!$F$38*Initiatives!$F$25,0)+IF(P$3=Initiatives!$F$33,(1-Initiatives!$F$32)*Initiatives!$F$38*Initiatives!$F$25,0)+IF(P$3&gt;=Initiatives!$F$31,Initiatives!$F$29-Initiatives!$F$19*(Initiatives!$F$32+IF(P$3&gt;=Initiatives!$F$33,1-Initiatives!$F$32,0)),0))</f>
        <v>10000000</v>
      </c>
      <c r="Q59" s="8" t="n">
        <f aca="false">IF(Q$3&lt;=Initiatives!$F$45,Initiatives!$F$28/Initiatives!$F$45,0)+IF(Initiatives!$F$6="adoption",Q52*Initiatives!$F$26+Q54*Initiatives!$F$27+IF(Q$3=Initiatives!$F$31,Initiatives!$F$39*Initiatives!$F$25,0)+IF(Q$3&gt;=Initiatives!$F$31,Initiatives!$F$29,0),Initiatives!$F$42*Initiatives!$F$18*Q55+IF(Q$3=Initiatives!$F$31,Initiatives!$F$32*Initiatives!$F$38*Initiatives!$F$25,0)+IF(Q$3=Initiatives!$F$33,(1-Initiatives!$F$32)*Initiatives!$F$38*Initiatives!$F$25,0)+IF(Q$3&gt;=Initiatives!$F$31,Initiatives!$F$29-Initiatives!$F$19*(Initiatives!$F$32+IF(Q$3&gt;=Initiatives!$F$33,1-Initiatives!$F$32,0)),0))</f>
        <v>10000000</v>
      </c>
      <c r="R59" s="8" t="n">
        <f aca="false">IF(R$3&lt;=Initiatives!$F$45,Initiatives!$F$28/Initiatives!$F$45,0)+IF(Initiatives!$F$6="adoption",R52*Initiatives!$F$26+R54*Initiatives!$F$27+IF(R$3=Initiatives!$F$31,Initiatives!$F$39*Initiatives!$F$25,0)+IF(R$3&gt;=Initiatives!$F$31,Initiatives!$F$29,0),Initiatives!$F$42*Initiatives!$F$18*R55+IF(R$3=Initiatives!$F$31,Initiatives!$F$32*Initiatives!$F$38*Initiatives!$F$25,0)+IF(R$3=Initiatives!$F$33,(1-Initiatives!$F$32)*Initiatives!$F$38*Initiatives!$F$25,0)+IF(R$3&gt;=Initiatives!$F$31,Initiatives!$F$29-Initiatives!$F$19*(Initiatives!$F$32+IF(R$3&gt;=Initiatives!$F$33,1-Initiatives!$F$32,0)),0))</f>
        <v>10000000</v>
      </c>
      <c r="S59" s="8" t="n">
        <f aca="false">IF(S$3&lt;=Initiatives!$F$45,Initiatives!$F$28/Initiatives!$F$45,0)+IF(Initiatives!$F$6="adoption",S52*Initiatives!$F$26+S54*Initiatives!$F$27+IF(S$3=Initiatives!$F$31,Initiatives!$F$39*Initiatives!$F$25,0)+IF(S$3&gt;=Initiatives!$F$31,Initiatives!$F$29,0),Initiatives!$F$42*Initiatives!$F$18*S55+IF(S$3=Initiatives!$F$31,Initiatives!$F$32*Initiatives!$F$38*Initiatives!$F$25,0)+IF(S$3=Initiatives!$F$33,(1-Initiatives!$F$32)*Initiatives!$F$38*Initiatives!$F$25,0)+IF(S$3&gt;=Initiatives!$F$31,Initiatives!$F$29-Initiatives!$F$19*(Initiatives!$F$32+IF(S$3&gt;=Initiatives!$F$33,1-Initiatives!$F$32,0)),0))</f>
        <v>10000000</v>
      </c>
      <c r="T59" s="8" t="n">
        <f aca="false">IF(T$3&lt;=Initiatives!$F$45,Initiatives!$F$28/Initiatives!$F$45,0)+IF(Initiatives!$F$6="adoption",T52*Initiatives!$F$26+T54*Initiatives!$F$27+IF(T$3=Initiatives!$F$31,Initiatives!$F$39*Initiatives!$F$25,0)+IF(T$3&gt;=Initiatives!$F$31,Initiatives!$F$29,0),Initiatives!$F$42*Initiatives!$F$18*T55+IF(T$3=Initiatives!$F$31,Initiatives!$F$32*Initiatives!$F$38*Initiatives!$F$25,0)+IF(T$3=Initiatives!$F$33,(1-Initiatives!$F$32)*Initiatives!$F$38*Initiatives!$F$25,0)+IF(T$3&gt;=Initiatives!$F$31,Initiatives!$F$29-Initiatives!$F$19*(Initiatives!$F$32+IF(T$3&gt;=Initiatives!$F$33,1-Initiatives!$F$32,0)),0))</f>
        <v>10000000</v>
      </c>
      <c r="U59" s="8" t="n">
        <f aca="false">IF(U$3&lt;=Initiatives!$F$45,Initiatives!$F$28/Initiatives!$F$45,0)+IF(Initiatives!$F$6="adoption",U52*Initiatives!$F$26+U54*Initiatives!$F$27+IF(U$3=Initiatives!$F$31,Initiatives!$F$39*Initiatives!$F$25,0)+IF(U$3&gt;=Initiatives!$F$31,Initiatives!$F$29,0),Initiatives!$F$42*Initiatives!$F$18*U55+IF(U$3=Initiatives!$F$31,Initiatives!$F$32*Initiatives!$F$38*Initiatives!$F$25,0)+IF(U$3=Initiatives!$F$33,(1-Initiatives!$F$32)*Initiatives!$F$38*Initiatives!$F$25,0)+IF(U$3&gt;=Initiatives!$F$31,Initiatives!$F$29-Initiatives!$F$19*(Initiatives!$F$32+IF(U$3&gt;=Initiatives!$F$33,1-Initiatives!$F$32,0)),0))</f>
        <v>10000000</v>
      </c>
      <c r="V59" s="8" t="n">
        <f aca="false">IF(V$3&lt;=Initiatives!$F$45,Initiatives!$F$28/Initiatives!$F$45,0)+IF(Initiatives!$F$6="adoption",V52*Initiatives!$F$26+V54*Initiatives!$F$27+IF(V$3=Initiatives!$F$31,Initiatives!$F$39*Initiatives!$F$25,0)+IF(V$3&gt;=Initiatives!$F$31,Initiatives!$F$29,0),Initiatives!$F$42*Initiatives!$F$18*V55+IF(V$3=Initiatives!$F$31,Initiatives!$F$32*Initiatives!$F$38*Initiatives!$F$25,0)+IF(V$3=Initiatives!$F$33,(1-Initiatives!$F$32)*Initiatives!$F$38*Initiatives!$F$25,0)+IF(V$3&gt;=Initiatives!$F$31,Initiatives!$F$29-Initiatives!$F$19*(Initiatives!$F$32+IF(V$3&gt;=Initiatives!$F$33,1-Initiatives!$F$32,0)),0))</f>
        <v>10000000</v>
      </c>
      <c r="W59" s="8" t="n">
        <f aca="false">IF(W$3&lt;=Initiatives!$F$45,Initiatives!$F$28/Initiatives!$F$45,0)+IF(Initiatives!$F$6="adoption",W52*Initiatives!$F$26+W54*Initiatives!$F$27+IF(W$3=Initiatives!$F$31,Initiatives!$F$39*Initiatives!$F$25,0)+IF(W$3&gt;=Initiatives!$F$31,Initiatives!$F$29,0),Initiatives!$F$42*Initiatives!$F$18*W55+IF(W$3=Initiatives!$F$31,Initiatives!$F$32*Initiatives!$F$38*Initiatives!$F$25,0)+IF(W$3=Initiatives!$F$33,(1-Initiatives!$F$32)*Initiatives!$F$38*Initiatives!$F$25,0)+IF(W$3&gt;=Initiatives!$F$31,Initiatives!$F$29-Initiatives!$F$19*(Initiatives!$F$32+IF(W$3&gt;=Initiatives!$F$33,1-Initiatives!$F$32,0)),0))</f>
        <v>10000000</v>
      </c>
      <c r="X59" s="8" t="n">
        <f aca="false">IF(X$3&lt;=Initiatives!$F$45,Initiatives!$F$28/Initiatives!$F$45,0)+IF(Initiatives!$F$6="adoption",X52*Initiatives!$F$26+X54*Initiatives!$F$27+IF(X$3=Initiatives!$F$31,Initiatives!$F$39*Initiatives!$F$25,0)+IF(X$3&gt;=Initiatives!$F$31,Initiatives!$F$29,0),Initiatives!$F$42*Initiatives!$F$18*X55+IF(X$3=Initiatives!$F$31,Initiatives!$F$32*Initiatives!$F$38*Initiatives!$F$25,0)+IF(X$3=Initiatives!$F$33,(1-Initiatives!$F$32)*Initiatives!$F$38*Initiatives!$F$25,0)+IF(X$3&gt;=Initiatives!$F$31,Initiatives!$F$29-Initiatives!$F$19*(Initiatives!$F$32+IF(X$3&gt;=Initiatives!$F$33,1-Initiatives!$F$32,0)),0))</f>
        <v>10000000</v>
      </c>
      <c r="Y59" s="8" t="n">
        <f aca="false">IF(Y$3&lt;=Initiatives!$F$45,Initiatives!$F$28/Initiatives!$F$45,0)+IF(Initiatives!$F$6="adoption",Y52*Initiatives!$F$26+Y54*Initiatives!$F$27+IF(Y$3=Initiatives!$F$31,Initiatives!$F$39*Initiatives!$F$25,0)+IF(Y$3&gt;=Initiatives!$F$31,Initiatives!$F$29,0),Initiatives!$F$42*Initiatives!$F$18*Y55+IF(Y$3=Initiatives!$F$31,Initiatives!$F$32*Initiatives!$F$38*Initiatives!$F$25,0)+IF(Y$3=Initiatives!$F$33,(1-Initiatives!$F$32)*Initiatives!$F$38*Initiatives!$F$25,0)+IF(Y$3&gt;=Initiatives!$F$31,Initiatives!$F$29-Initiatives!$F$19*(Initiatives!$F$32+IF(Y$3&gt;=Initiatives!$F$33,1-Initiatives!$F$32,0)),0))</f>
        <v>10000000</v>
      </c>
      <c r="Z59" s="8" t="n">
        <f aca="false">IF(Z$3&lt;=Initiatives!$F$45,Initiatives!$F$28/Initiatives!$F$45,0)+IF(Initiatives!$F$6="adoption",Z52*Initiatives!$F$26+Z54*Initiatives!$F$27+IF(Z$3=Initiatives!$F$31,Initiatives!$F$39*Initiatives!$F$25,0)+IF(Z$3&gt;=Initiatives!$F$31,Initiatives!$F$29,0),Initiatives!$F$42*Initiatives!$F$18*Z55+IF(Z$3=Initiatives!$F$31,Initiatives!$F$32*Initiatives!$F$38*Initiatives!$F$25,0)+IF(Z$3=Initiatives!$F$33,(1-Initiatives!$F$32)*Initiatives!$F$38*Initiatives!$F$25,0)+IF(Z$3&gt;=Initiatives!$F$31,Initiatives!$F$29-Initiatives!$F$19*(Initiatives!$F$32+IF(Z$3&gt;=Initiatives!$F$33,1-Initiatives!$F$32,0)),0))</f>
        <v>10000000</v>
      </c>
      <c r="AA59" s="8" t="n">
        <f aca="false">IF(AA$3&lt;=Initiatives!$F$45,Initiatives!$F$28/Initiatives!$F$45,0)+IF(Initiatives!$F$6="adoption",AA52*Initiatives!$F$26+AA54*Initiatives!$F$27+IF(AA$3=Initiatives!$F$31,Initiatives!$F$39*Initiatives!$F$25,0)+IF(AA$3&gt;=Initiatives!$F$31,Initiatives!$F$29,0),Initiatives!$F$42*Initiatives!$F$18*AA55+IF(AA$3=Initiatives!$F$31,Initiatives!$F$32*Initiatives!$F$38*Initiatives!$F$25,0)+IF(AA$3=Initiatives!$F$33,(1-Initiatives!$F$32)*Initiatives!$F$38*Initiatives!$F$25,0)+IF(AA$3&gt;=Initiatives!$F$31,Initiatives!$F$29-Initiatives!$F$19*(Initiatives!$F$32+IF(AA$3&gt;=Initiatives!$F$33,1-Initiatives!$F$32,0)),0))</f>
        <v>10000000</v>
      </c>
      <c r="AB59" s="8" t="n">
        <f aca="false">IF(AB$3&lt;=Initiatives!$F$45,Initiatives!$F$28/Initiatives!$F$45,0)+IF(Initiatives!$F$6="adoption",AB52*Initiatives!$F$26+AB54*Initiatives!$F$27+IF(AB$3=Initiatives!$F$31,Initiatives!$F$39*Initiatives!$F$25,0)+IF(AB$3&gt;=Initiatives!$F$31,Initiatives!$F$29,0),Initiatives!$F$42*Initiatives!$F$18*AB55+IF(AB$3=Initiatives!$F$31,Initiatives!$F$32*Initiatives!$F$38*Initiatives!$F$25,0)+IF(AB$3=Initiatives!$F$33,(1-Initiatives!$F$32)*Initiatives!$F$38*Initiatives!$F$25,0)+IF(AB$3&gt;=Initiatives!$F$31,Initiatives!$F$29-Initiatives!$F$19*(Initiatives!$F$32+IF(AB$3&gt;=Initiatives!$F$33,1-Initiatives!$F$32,0)),0))</f>
        <v>10000000</v>
      </c>
      <c r="AC59" s="8" t="n">
        <f aca="false">IF(AC$3&lt;=Initiatives!$F$45,Initiatives!$F$28/Initiatives!$F$45,0)+IF(Initiatives!$F$6="adoption",AC52*Initiatives!$F$26+AC54*Initiatives!$F$27+IF(AC$3=Initiatives!$F$31,Initiatives!$F$39*Initiatives!$F$25,0)+IF(AC$3&gt;=Initiatives!$F$31,Initiatives!$F$29,0),Initiatives!$F$42*Initiatives!$F$18*AC55+IF(AC$3=Initiatives!$F$31,Initiatives!$F$32*Initiatives!$F$38*Initiatives!$F$25,0)+IF(AC$3=Initiatives!$F$33,(1-Initiatives!$F$32)*Initiatives!$F$38*Initiatives!$F$25,0)+IF(AC$3&gt;=Initiatives!$F$31,Initiatives!$F$29-Initiatives!$F$19*(Initiatives!$F$32+IF(AC$3&gt;=Initiatives!$F$33,1-Initiatives!$F$32,0)),0))</f>
        <v>10000000</v>
      </c>
      <c r="AD59" s="8" t="n">
        <f aca="false">IF(AD$3&lt;=Initiatives!$F$45,Initiatives!$F$28/Initiatives!$F$45,0)+IF(Initiatives!$F$6="adoption",AD52*Initiatives!$F$26+AD54*Initiatives!$F$27+IF(AD$3=Initiatives!$F$31,Initiatives!$F$39*Initiatives!$F$25,0)+IF(AD$3&gt;=Initiatives!$F$31,Initiatives!$F$29,0),Initiatives!$F$42*Initiatives!$F$18*AD55+IF(AD$3=Initiatives!$F$31,Initiatives!$F$32*Initiatives!$F$38*Initiatives!$F$25,0)+IF(AD$3=Initiatives!$F$33,(1-Initiatives!$F$32)*Initiatives!$F$38*Initiatives!$F$25,0)+IF(AD$3&gt;=Initiatives!$F$31,Initiatives!$F$29-Initiatives!$F$19*(Initiatives!$F$32+IF(AD$3&gt;=Initiatives!$F$33,1-Initiatives!$F$32,0)),0))</f>
        <v>10000000</v>
      </c>
      <c r="AE59" s="8" t="n">
        <f aca="false">IF(AE$3&lt;=Initiatives!$F$45,Initiatives!$F$28/Initiatives!$F$45,0)+IF(Initiatives!$F$6="adoption",AE52*Initiatives!$F$26+AE54*Initiatives!$F$27+IF(AE$3=Initiatives!$F$31,Initiatives!$F$39*Initiatives!$F$25,0)+IF(AE$3&gt;=Initiatives!$F$31,Initiatives!$F$29,0),Initiatives!$F$42*Initiatives!$F$18*AE55+IF(AE$3=Initiatives!$F$31,Initiatives!$F$32*Initiatives!$F$38*Initiatives!$F$25,0)+IF(AE$3=Initiatives!$F$33,(1-Initiatives!$F$32)*Initiatives!$F$38*Initiatives!$F$25,0)+IF(AE$3&gt;=Initiatives!$F$31,Initiatives!$F$29-Initiatives!$F$19*(Initiatives!$F$32+IF(AE$3&gt;=Initiatives!$F$33,1-Initiatives!$F$32,0)),0))</f>
        <v>10000000</v>
      </c>
      <c r="AF59" s="8" t="n">
        <f aca="false">IF(AF$3&lt;=Initiatives!$F$45,Initiatives!$F$28/Initiatives!$F$45,0)+IF(Initiatives!$F$6="adoption",AF52*Initiatives!$F$26+AF54*Initiatives!$F$27+IF(AF$3=Initiatives!$F$31,Initiatives!$F$39*Initiatives!$F$25,0)+IF(AF$3&gt;=Initiatives!$F$31,Initiatives!$F$29,0),Initiatives!$F$42*Initiatives!$F$18*AF55+IF(AF$3=Initiatives!$F$31,Initiatives!$F$32*Initiatives!$F$38*Initiatives!$F$25,0)+IF(AF$3=Initiatives!$F$33,(1-Initiatives!$F$32)*Initiatives!$F$38*Initiatives!$F$25,0)+IF(AF$3&gt;=Initiatives!$F$31,Initiatives!$F$29-Initiatives!$F$19*(Initiatives!$F$32+IF(AF$3&gt;=Initiatives!$F$33,1-Initiatives!$F$32,0)),0))</f>
        <v>10000000</v>
      </c>
      <c r="AG59" s="8" t="n">
        <f aca="false">IF(AG$3&lt;=Initiatives!$F$45,Initiatives!$F$28/Initiatives!$F$45,0)+IF(Initiatives!$F$6="adoption",AG52*Initiatives!$F$26+AG54*Initiatives!$F$27+IF(AG$3=Initiatives!$F$31,Initiatives!$F$39*Initiatives!$F$25,0)+IF(AG$3&gt;=Initiatives!$F$31,Initiatives!$F$29,0),Initiatives!$F$42*Initiatives!$F$18*AG55+IF(AG$3=Initiatives!$F$31,Initiatives!$F$32*Initiatives!$F$38*Initiatives!$F$25,0)+IF(AG$3=Initiatives!$F$33,(1-Initiatives!$F$32)*Initiatives!$F$38*Initiatives!$F$25,0)+IF(AG$3&gt;=Initiatives!$F$31,Initiatives!$F$29-Initiatives!$F$19*(Initiatives!$F$32+IF(AG$3&gt;=Initiatives!$F$33,1-Initiatives!$F$32,0)),0))</f>
        <v>10000000</v>
      </c>
      <c r="AH59" s="8" t="n">
        <f aca="false">IF(AH$3&lt;=Initiatives!$F$45,Initiatives!$F$28/Initiatives!$F$45,0)+IF(Initiatives!$F$6="adoption",AH52*Initiatives!$F$26+AH54*Initiatives!$F$27+IF(AH$3=Initiatives!$F$31,Initiatives!$F$39*Initiatives!$F$25,0)+IF(AH$3&gt;=Initiatives!$F$31,Initiatives!$F$29,0),Initiatives!$F$42*Initiatives!$F$18*AH55+IF(AH$3=Initiatives!$F$31,Initiatives!$F$32*Initiatives!$F$38*Initiatives!$F$25,0)+IF(AH$3=Initiatives!$F$33,(1-Initiatives!$F$32)*Initiatives!$F$38*Initiatives!$F$25,0)+IF(AH$3&gt;=Initiatives!$F$31,Initiatives!$F$29-Initiatives!$F$19*(Initiatives!$F$32+IF(AH$3&gt;=Initiatives!$F$33,1-Initiatives!$F$32,0)),0))</f>
        <v>10000000</v>
      </c>
      <c r="AI59" s="8" t="n">
        <f aca="false">IF(AI$3&lt;=Initiatives!$F$45,Initiatives!$F$28/Initiatives!$F$45,0)+IF(Initiatives!$F$6="adoption",AI52*Initiatives!$F$26+AI54*Initiatives!$F$27+IF(AI$3=Initiatives!$F$31,Initiatives!$F$39*Initiatives!$F$25,0)+IF(AI$3&gt;=Initiatives!$F$31,Initiatives!$F$29,0),Initiatives!$F$42*Initiatives!$F$18*AI55+IF(AI$3=Initiatives!$F$31,Initiatives!$F$32*Initiatives!$F$38*Initiatives!$F$25,0)+IF(AI$3=Initiatives!$F$33,(1-Initiatives!$F$32)*Initiatives!$F$38*Initiatives!$F$25,0)+IF(AI$3&gt;=Initiatives!$F$31,Initiatives!$F$29-Initiatives!$F$19*(Initiatives!$F$32+IF(AI$3&gt;=Initiatives!$F$33,1-Initiatives!$F$32,0)),0))</f>
        <v>10000000</v>
      </c>
      <c r="AJ59" s="8" t="n">
        <f aca="false">IF(AJ$3&lt;=Initiatives!$F$45,Initiatives!$F$28/Initiatives!$F$45,0)+IF(Initiatives!$F$6="adoption",AJ52*Initiatives!$F$26+AJ54*Initiatives!$F$27+IF(AJ$3=Initiatives!$F$31,Initiatives!$F$39*Initiatives!$F$25,0)+IF(AJ$3&gt;=Initiatives!$F$31,Initiatives!$F$29,0),Initiatives!$F$42*Initiatives!$F$18*AJ55+IF(AJ$3=Initiatives!$F$31,Initiatives!$F$32*Initiatives!$F$38*Initiatives!$F$25,0)+IF(AJ$3=Initiatives!$F$33,(1-Initiatives!$F$32)*Initiatives!$F$38*Initiatives!$F$25,0)+IF(AJ$3&gt;=Initiatives!$F$31,Initiatives!$F$29-Initiatives!$F$19*(Initiatives!$F$32+IF(AJ$3&gt;=Initiatives!$F$33,1-Initiatives!$F$32,0)),0))</f>
        <v>10000000</v>
      </c>
      <c r="AK59" s="8" t="n">
        <f aca="false">IF(AK$3&lt;=Initiatives!$F$45,Initiatives!$F$28/Initiatives!$F$45,0)+IF(Initiatives!$F$6="adoption",AK52*Initiatives!$F$26+AK54*Initiatives!$F$27+IF(AK$3=Initiatives!$F$31,Initiatives!$F$39*Initiatives!$F$25,0)+IF(AK$3&gt;=Initiatives!$F$31,Initiatives!$F$29,0),Initiatives!$F$42*Initiatives!$F$18*AK55+IF(AK$3=Initiatives!$F$31,Initiatives!$F$32*Initiatives!$F$38*Initiatives!$F$25,0)+IF(AK$3=Initiatives!$F$33,(1-Initiatives!$F$32)*Initiatives!$F$38*Initiatives!$F$25,0)+IF(AK$3&gt;=Initiatives!$F$31,Initiatives!$F$29-Initiatives!$F$19*(Initiatives!$F$32+IF(AK$3&gt;=Initiatives!$F$33,1-Initiatives!$F$32,0)),0))</f>
        <v>10000000</v>
      </c>
      <c r="AL59" s="8" t="n">
        <f aca="false">IF(AL$3&lt;=Initiatives!$F$45,Initiatives!$F$28/Initiatives!$F$45,0)+IF(Initiatives!$F$6="adoption",AL52*Initiatives!$F$26+AL54*Initiatives!$F$27+IF(AL$3=Initiatives!$F$31,Initiatives!$F$39*Initiatives!$F$25,0)+IF(AL$3&gt;=Initiatives!$F$31,Initiatives!$F$29,0),Initiatives!$F$42*Initiatives!$F$18*AL55+IF(AL$3=Initiatives!$F$31,Initiatives!$F$32*Initiatives!$F$38*Initiatives!$F$25,0)+IF(AL$3=Initiatives!$F$33,(1-Initiatives!$F$32)*Initiatives!$F$38*Initiatives!$F$25,0)+IF(AL$3&gt;=Initiatives!$F$31,Initiatives!$F$29-Initiatives!$F$19*(Initiatives!$F$32+IF(AL$3&gt;=Initiatives!$F$33,1-Initiatives!$F$32,0)),0))</f>
        <v>10000000</v>
      </c>
    </row>
    <row r="60" customFormat="false" ht="15" hidden="false" customHeight="false" outlineLevel="0" collapsed="false">
      <c r="A60" s="4" t="s">
        <v>189</v>
      </c>
      <c r="B60" s="4" t="s">
        <v>190</v>
      </c>
      <c r="C60" s="8" t="n">
        <f aca="false">C58*Initiatives!$F$30-C59</f>
        <v>-150000000</v>
      </c>
      <c r="D60" s="8" t="n">
        <f aca="false">D58*Initiatives!$F$30-D59</f>
        <v>-50550400</v>
      </c>
      <c r="E60" s="8" t="n">
        <f aca="false">E58*Initiatives!$F$30-E59</f>
        <v>10077516.8</v>
      </c>
      <c r="F60" s="8" t="n">
        <f aca="false">F58*Initiatives!$F$30-F59</f>
        <v>45162701.1584</v>
      </c>
      <c r="G60" s="8" t="n">
        <f aca="false">G58*Initiatives!$F$30-G59</f>
        <v>95254567.7460992</v>
      </c>
      <c r="H60" s="8" t="n">
        <f aca="false">H58*Initiatives!$F$30-H59</f>
        <v>94655476.809722</v>
      </c>
      <c r="I60" s="8" t="n">
        <f aca="false">I58*Initiatives!$F$30-I59</f>
        <v>94053615.5064327</v>
      </c>
      <c r="J60" s="8" t="n">
        <f aca="false">J58*Initiatives!$F$30-J59</f>
        <v>93449166.4725065</v>
      </c>
      <c r="K60" s="8" t="n">
        <f aca="false">K58*Initiatives!$F$30-K59</f>
        <v>92842307.9117051</v>
      </c>
      <c r="L60" s="8" t="n">
        <f aca="false">L58*Initiatives!$F$30-L59</f>
        <v>92233213.6820803</v>
      </c>
      <c r="M60" s="8" t="n">
        <f aca="false">M58*Initiatives!$F$30-M59</f>
        <v>91622053.3812312</v>
      </c>
      <c r="N60" s="8" t="n">
        <f aca="false">N58*Initiatives!$F$30-N59</f>
        <v>91008992.4300423</v>
      </c>
      <c r="O60" s="8" t="n">
        <f aca="false">O58*Initiatives!$F$30-O59</f>
        <v>90394192.1549269</v>
      </c>
      <c r="P60" s="8" t="n">
        <f aca="false">P58*Initiatives!$F$30-P59</f>
        <v>89777809.8686022</v>
      </c>
      <c r="Q60" s="8" t="n">
        <f aca="false">Q58*Initiatives!$F$30-Q59</f>
        <v>89159998.9494204</v>
      </c>
      <c r="R60" s="8" t="n">
        <f aca="false">R58*Initiatives!$F$30-R59</f>
        <v>88540908.9192801</v>
      </c>
      <c r="S60" s="8" t="n">
        <f aca="false">S58*Initiatives!$F$30-S59</f>
        <v>87920685.5201427</v>
      </c>
      <c r="T60" s="8" t="n">
        <f aca="false">T58*Initiatives!$F$30-T59</f>
        <v>87299470.7891766</v>
      </c>
      <c r="U60" s="8" t="n">
        <f aca="false">U58*Initiatives!$F$30-U59</f>
        <v>86677403.1325529</v>
      </c>
      <c r="V60" s="8" t="n">
        <f aca="false">V58*Initiatives!$F$30-V59</f>
        <v>86054617.397916</v>
      </c>
      <c r="W60" s="8" t="n">
        <f aca="false">W58*Initiatives!$F$30-W59</f>
        <v>85431244.9455505</v>
      </c>
      <c r="X60" s="8" t="n">
        <f aca="false">X58*Initiatives!$F$30-X59</f>
        <v>84807413.7182672</v>
      </c>
      <c r="Y60" s="8" t="n">
        <f aca="false">Y58*Initiatives!$F$30-Y59</f>
        <v>84183248.3100303</v>
      </c>
      <c r="Z60" s="8" t="n">
        <f aca="false">Z58*Initiatives!$F$30-Z59</f>
        <v>83558870.0333466</v>
      </c>
      <c r="AA60" s="8" t="n">
        <f aca="false">AA58*Initiatives!$F$30-AA59</f>
        <v>82934396.9854375</v>
      </c>
      <c r="AB60" s="8" t="n">
        <f aca="false">AB58*Initiatives!$F$30-AB59</f>
        <v>82309944.1132159</v>
      </c>
      <c r="AC60" s="8" t="n">
        <f aca="false">AC58*Initiatives!$F$30-AC59</f>
        <v>81685623.2770869</v>
      </c>
      <c r="AD60" s="8" t="n">
        <f aca="false">AD58*Initiatives!$F$30-AD59</f>
        <v>81061543.3135931</v>
      </c>
      <c r="AE60" s="8" t="n">
        <f aca="false">AE58*Initiatives!$F$30-AE59</f>
        <v>80437810.0969237</v>
      </c>
      <c r="AF60" s="8" t="n">
        <f aca="false">AF58*Initiatives!$F$30-AF59</f>
        <v>79814526.599308</v>
      </c>
      <c r="AG60" s="8" t="n">
        <f aca="false">AG58*Initiatives!$F$30-AG59</f>
        <v>79191792.9503104</v>
      </c>
      <c r="AH60" s="8" t="n">
        <f aca="false">AH58*Initiatives!$F$30-AH59</f>
        <v>78569706.4950479</v>
      </c>
      <c r="AI60" s="8" t="n">
        <f aca="false">AI58*Initiatives!$F$30-AI59</f>
        <v>77948361.8513464</v>
      </c>
      <c r="AJ60" s="8" t="n">
        <f aca="false">AJ58*Initiatives!$F$30-AJ59</f>
        <v>77327850.9658557</v>
      </c>
      <c r="AK60" s="8" t="n">
        <f aca="false">AK58*Initiatives!$F$30-AK59</f>
        <v>76708263.16914</v>
      </c>
      <c r="AL60" s="8" t="n">
        <f aca="false">AL58*Initiatives!$F$30-AL59</f>
        <v>76089685.2297619</v>
      </c>
    </row>
    <row r="61" customFormat="false" ht="15" hidden="false" customHeight="false" outlineLevel="0" collapsed="false">
      <c r="A61" s="4" t="s">
        <v>191</v>
      </c>
      <c r="B61" s="4" t="s">
        <v>192</v>
      </c>
      <c r="C61" s="8" t="n">
        <f aca="false">C53-C57</f>
        <v>0</v>
      </c>
      <c r="D61" s="8" t="n">
        <f aca="false">D53-D57</f>
        <v>0</v>
      </c>
      <c r="E61" s="8" t="n">
        <f aca="false">E53-E57</f>
        <v>25.344</v>
      </c>
      <c r="F61" s="8" t="n">
        <f aca="false">F53-F57</f>
        <v>75.347712</v>
      </c>
      <c r="G61" s="8" t="n">
        <f aca="false">G53-G57</f>
        <v>149.340761856</v>
      </c>
      <c r="H61" s="8" t="n">
        <f aca="false">H53-H57</f>
        <v>221.322436777728</v>
      </c>
      <c r="I61" s="8" t="n">
        <f aca="false">I53-I57</f>
        <v>291.333725139435</v>
      </c>
      <c r="J61" s="8" t="n">
        <f aca="false">J53-J57</f>
        <v>359.414870676756</v>
      </c>
      <c r="K61" s="8" t="n">
        <f aca="false">K53-K57</f>
        <v>425.605385214045</v>
      </c>
      <c r="L61" s="8" t="n">
        <f aca="false">L53-L57</f>
        <v>489.944061182105</v>
      </c>
      <c r="M61" s="8" t="n">
        <f aca="false">M53-M57</f>
        <v>552.468983929688</v>
      </c>
      <c r="N61" s="8" t="n">
        <f aca="false">N53-N57</f>
        <v>613.217543832074</v>
      </c>
      <c r="O61" s="8" t="n">
        <f aca="false">O53-O57</f>
        <v>672.226448199989</v>
      </c>
      <c r="P61" s="8" t="n">
        <f aca="false">P53-P57</f>
        <v>729.53173299208</v>
      </c>
      <c r="Q61" s="8" t="n">
        <f aca="false">Q53-Q57</f>
        <v>785.168774334108</v>
      </c>
      <c r="R61" s="8" t="n">
        <f aca="false">R53-R57</f>
        <v>839.172299847963</v>
      </c>
      <c r="S61" s="8" t="n">
        <f aca="false">S53-S57</f>
        <v>891.576399793564</v>
      </c>
      <c r="T61" s="8" t="n">
        <f aca="false">T53-T57</f>
        <v>942.414538026661</v>
      </c>
      <c r="U61" s="8" t="n">
        <f aca="false">U53-U57</f>
        <v>991.719562775501</v>
      </c>
      <c r="V61" s="8" t="n">
        <f aca="false">V53-V57</f>
        <v>1039.52371723928</v>
      </c>
      <c r="W61" s="8" t="n">
        <f aca="false">W53-W57</f>
        <v>1085.85865001123</v>
      </c>
      <c r="X61" s="8" t="n">
        <f aca="false">X53-X57</f>
        <v>1130.75542532924</v>
      </c>
      <c r="Y61" s="8" t="n">
        <f aca="false">Y53-Y57</f>
        <v>1174.24453315666</v>
      </c>
      <c r="Z61" s="8" t="n">
        <f aca="false">Z53-Z57</f>
        <v>1216.35589909619</v>
      </c>
      <c r="AA61" s="8" t="n">
        <f aca="false">AA53-AA57</f>
        <v>1257.11889413937</v>
      </c>
      <c r="AB61" s="8" t="n">
        <f aca="false">AB53-AB57</f>
        <v>1296.56234425456</v>
      </c>
      <c r="AC61" s="8" t="n">
        <f aca="false">AC53-AC57</f>
        <v>1334.71453981568</v>
      </c>
      <c r="AD61" s="8" t="n">
        <f aca="false">AD53-AD57</f>
        <v>1371.6032448747</v>
      </c>
      <c r="AE61" s="8" t="n">
        <f aca="false">AE53-AE57</f>
        <v>1407.25570627995</v>
      </c>
      <c r="AF61" s="8" t="n">
        <f aca="false">AF53-AF57</f>
        <v>1441.69866264318</v>
      </c>
      <c r="AG61" s="8" t="n">
        <f aca="false">AG53-AG57</f>
        <v>1474.95835315747</v>
      </c>
      <c r="AH61" s="8" t="n">
        <f aca="false">AH53-AH57</f>
        <v>1507.06052626861</v>
      </c>
      <c r="AI61" s="8" t="n">
        <f aca="false">AI53-AI57</f>
        <v>1538.03044820217</v>
      </c>
      <c r="AJ61" s="8" t="n">
        <f aca="false">AJ53-AJ57</f>
        <v>1567.8929113488</v>
      </c>
      <c r="AK61" s="8" t="n">
        <f aca="false">AK53-AK57</f>
        <v>1596.6722425098</v>
      </c>
      <c r="AL61" s="8" t="n">
        <f aca="false">AL53-AL57</f>
        <v>1624.3923110054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7" min="5" style="0" width="16"/>
  </cols>
  <sheetData>
    <row r="1" customFormat="false" ht="17.35" hidden="false" customHeight="false" outlineLevel="0" collapsed="false">
      <c r="A1" s="1" t="s">
        <v>196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</row>
    <row r="3" customFormat="false" ht="15" hidden="false" customHeight="false" outlineLevel="0" collapsed="false">
      <c r="A3" s="5" t="s">
        <v>12</v>
      </c>
      <c r="B3" s="5" t="s">
        <v>41</v>
      </c>
      <c r="C3" s="5" t="s">
        <v>13</v>
      </c>
      <c r="D3" s="5" t="s">
        <v>197</v>
      </c>
      <c r="E3" s="4"/>
      <c r="F3" s="4"/>
      <c r="G3" s="4"/>
    </row>
    <row r="4" customFormat="false" ht="15" hidden="false" customHeight="false" outlineLevel="0" collapsed="false">
      <c r="A4" s="4" t="s">
        <v>198</v>
      </c>
      <c r="B4" s="4" t="s">
        <v>199</v>
      </c>
      <c r="C4" s="7" t="n">
        <v>0.27</v>
      </c>
      <c r="D4" s="4" t="s">
        <v>200</v>
      </c>
      <c r="E4" s="4"/>
      <c r="F4" s="4"/>
      <c r="G4" s="4"/>
    </row>
    <row r="5" customFormat="false" ht="15" hidden="false" customHeight="false" outlineLevel="0" collapsed="false">
      <c r="A5" s="4" t="s">
        <v>201</v>
      </c>
      <c r="B5" s="4" t="s">
        <v>202</v>
      </c>
      <c r="C5" s="7" t="n">
        <v>0.5</v>
      </c>
      <c r="D5" s="4" t="s">
        <v>203</v>
      </c>
      <c r="E5" s="4"/>
      <c r="F5" s="4"/>
      <c r="G5" s="4"/>
    </row>
    <row r="6" customFormat="false" ht="15" hidden="false" customHeight="false" outlineLevel="0" collapsed="false">
      <c r="A6" s="4" t="s">
        <v>204</v>
      </c>
      <c r="B6" s="4" t="s">
        <v>205</v>
      </c>
      <c r="C6" s="7" t="n">
        <v>0.2</v>
      </c>
      <c r="D6" s="4" t="s">
        <v>200</v>
      </c>
      <c r="E6" s="4"/>
      <c r="F6" s="4"/>
      <c r="G6" s="4"/>
    </row>
    <row r="7" customFormat="false" ht="15" hidden="false" customHeight="false" outlineLevel="0" collapsed="false">
      <c r="A7" s="4" t="s">
        <v>206</v>
      </c>
      <c r="B7" s="4" t="s">
        <v>207</v>
      </c>
      <c r="C7" s="6" t="n">
        <v>150000</v>
      </c>
      <c r="D7" s="4" t="s">
        <v>208</v>
      </c>
      <c r="E7" s="4"/>
      <c r="F7" s="4"/>
      <c r="G7" s="4"/>
    </row>
    <row r="8" customFormat="false" ht="15" hidden="false" customHeight="false" outlineLevel="0" collapsed="false">
      <c r="A8" s="4" t="s">
        <v>209</v>
      </c>
      <c r="B8" s="4" t="s">
        <v>210</v>
      </c>
      <c r="C8" s="6" t="n">
        <v>5</v>
      </c>
      <c r="D8" s="4"/>
      <c r="E8" s="4"/>
      <c r="F8" s="4"/>
      <c r="G8" s="4"/>
    </row>
    <row r="9" customFormat="false" ht="15" hidden="false" customHeight="false" outlineLevel="0" collapsed="false">
      <c r="A9" s="4" t="s">
        <v>211</v>
      </c>
      <c r="B9" s="4" t="s">
        <v>212</v>
      </c>
      <c r="C9" s="6" t="n">
        <v>3</v>
      </c>
      <c r="D9" s="4"/>
      <c r="E9" s="4"/>
      <c r="F9" s="4"/>
      <c r="G9" s="4"/>
    </row>
    <row r="10" customFormat="false" ht="15" hidden="false" customHeight="false" outlineLevel="0" collapsed="false">
      <c r="A10" s="4" t="s">
        <v>213</v>
      </c>
      <c r="B10" s="4" t="s">
        <v>214</v>
      </c>
      <c r="C10" s="6" t="n">
        <v>11</v>
      </c>
      <c r="D10" s="4"/>
      <c r="E10" s="4"/>
      <c r="F10" s="4"/>
      <c r="G10" s="4"/>
    </row>
    <row r="11" customFormat="false" ht="15" hidden="false" customHeight="false" outlineLevel="0" collapsed="false">
      <c r="A11" s="4" t="s">
        <v>215</v>
      </c>
      <c r="B11" s="4" t="s">
        <v>216</v>
      </c>
      <c r="C11" s="6" t="n">
        <v>6</v>
      </c>
      <c r="D11" s="4"/>
      <c r="E11" s="4"/>
      <c r="F11" s="4"/>
      <c r="G11" s="4"/>
    </row>
    <row r="12" customFormat="false" ht="15" hidden="false" customHeight="false" outlineLevel="0" collapsed="false">
      <c r="A12" s="4" t="s">
        <v>217</v>
      </c>
      <c r="B12" s="4" t="s">
        <v>218</v>
      </c>
      <c r="C12" s="7" t="n">
        <v>0.85</v>
      </c>
      <c r="D12" s="4" t="s">
        <v>219</v>
      </c>
      <c r="E12" s="4"/>
      <c r="F12" s="4"/>
      <c r="G12" s="4"/>
    </row>
    <row r="13" customFormat="false" ht="15" hidden="false" customHeight="false" outlineLevel="0" collapsed="false">
      <c r="A13" s="4" t="s">
        <v>220</v>
      </c>
      <c r="B13" s="4" t="s">
        <v>221</v>
      </c>
      <c r="C13" s="10" t="n">
        <v>0.3</v>
      </c>
      <c r="D13" s="4" t="s">
        <v>222</v>
      </c>
      <c r="E13" s="4"/>
      <c r="F13" s="4"/>
      <c r="G13" s="4"/>
    </row>
    <row r="14" customFormat="false" ht="15" hidden="false" customHeight="false" outlineLevel="0" collapsed="false">
      <c r="A14" s="4" t="s">
        <v>223</v>
      </c>
      <c r="B14" s="4" t="s">
        <v>224</v>
      </c>
      <c r="C14" s="10" t="n">
        <v>0.515</v>
      </c>
      <c r="D14" s="4" t="s">
        <v>225</v>
      </c>
      <c r="E14" s="4"/>
      <c r="F14" s="4"/>
      <c r="G14" s="4"/>
    </row>
    <row r="15" customFormat="false" ht="15" hidden="false" customHeight="false" outlineLevel="0" collapsed="false">
      <c r="A15" s="4" t="s">
        <v>226</v>
      </c>
      <c r="B15" s="4" t="s">
        <v>227</v>
      </c>
      <c r="C15" s="7" t="n">
        <v>0.3</v>
      </c>
      <c r="D15" s="4" t="s">
        <v>228</v>
      </c>
      <c r="E15" s="4"/>
      <c r="F15" s="4"/>
      <c r="G15" s="4"/>
    </row>
    <row r="16" customFormat="false" ht="15" hidden="false" customHeight="false" outlineLevel="0" collapsed="false">
      <c r="A16" s="4" t="s">
        <v>229</v>
      </c>
      <c r="B16" s="4" t="s">
        <v>230</v>
      </c>
      <c r="C16" s="10" t="n">
        <v>0.3</v>
      </c>
      <c r="D16" s="4"/>
      <c r="E16" s="4"/>
      <c r="F16" s="4"/>
      <c r="G16" s="4"/>
    </row>
    <row r="17" customFormat="false" ht="15" hidden="false" customHeight="false" outlineLevel="0" collapsed="false">
      <c r="A17" s="4" t="s">
        <v>231</v>
      </c>
      <c r="B17" s="4" t="s">
        <v>232</v>
      </c>
      <c r="C17" s="6" t="n">
        <v>1800000000</v>
      </c>
      <c r="D17" s="4" t="s">
        <v>233</v>
      </c>
      <c r="E17" s="4"/>
      <c r="F17" s="4"/>
      <c r="G17" s="4"/>
    </row>
    <row r="18" customFormat="false" ht="15" hidden="false" customHeight="false" outlineLevel="0" collapsed="false">
      <c r="A18" s="4" t="s">
        <v>234</v>
      </c>
      <c r="B18" s="4" t="s">
        <v>235</v>
      </c>
      <c r="C18" s="6" t="n">
        <v>3000000000</v>
      </c>
      <c r="D18" s="4"/>
      <c r="E18" s="4"/>
      <c r="F18" s="4"/>
      <c r="G18" s="4"/>
    </row>
    <row r="19" customFormat="false" ht="15" hidden="false" customHeight="false" outlineLevel="0" collapsed="false">
      <c r="A19" s="4" t="s">
        <v>236</v>
      </c>
      <c r="B19" s="4" t="s">
        <v>237</v>
      </c>
      <c r="C19" s="6" t="n">
        <v>120000000</v>
      </c>
      <c r="D19" s="4"/>
      <c r="E19" s="4"/>
      <c r="F19" s="4"/>
      <c r="G19" s="4"/>
    </row>
    <row r="20" customFormat="false" ht="15" hidden="false" customHeight="false" outlineLevel="0" collapsed="false">
      <c r="A20" s="4" t="s">
        <v>238</v>
      </c>
      <c r="B20" s="4" t="s">
        <v>107</v>
      </c>
      <c r="C20" s="6" t="n">
        <v>250000000</v>
      </c>
      <c r="D20" s="4" t="s">
        <v>239</v>
      </c>
      <c r="E20" s="4"/>
      <c r="F20" s="4"/>
      <c r="G20" s="4"/>
    </row>
    <row r="21" customFormat="false" ht="15" hidden="false" customHeight="false" outlineLevel="0" collapsed="false">
      <c r="A21" s="4" t="s">
        <v>240</v>
      </c>
      <c r="B21" s="4" t="s">
        <v>241</v>
      </c>
      <c r="C21" s="6" t="n">
        <v>150000000</v>
      </c>
      <c r="D21" s="4"/>
      <c r="E21" s="4"/>
      <c r="F21" s="4"/>
      <c r="G21" s="4"/>
    </row>
    <row r="22" customFormat="false" ht="15" hidden="false" customHeight="false" outlineLevel="0" collapsed="false">
      <c r="A22" s="4" t="s">
        <v>242</v>
      </c>
      <c r="B22" s="4" t="s">
        <v>243</v>
      </c>
      <c r="C22" s="6" t="n">
        <v>1500000000</v>
      </c>
      <c r="D22" s="4"/>
      <c r="E22" s="4"/>
      <c r="F22" s="4"/>
      <c r="G22" s="4"/>
    </row>
    <row r="23" customFormat="false" ht="15" hidden="false" customHeight="false" outlineLevel="0" collapsed="false">
      <c r="A23" s="4" t="s">
        <v>244</v>
      </c>
      <c r="B23" s="4" t="s">
        <v>245</v>
      </c>
      <c r="C23" s="6" t="n">
        <v>250000000</v>
      </c>
      <c r="D23" s="4"/>
      <c r="E23" s="4"/>
      <c r="F23" s="4"/>
      <c r="G23" s="4"/>
    </row>
    <row r="24" customFormat="false" ht="15" hidden="false" customHeight="false" outlineLevel="0" collapsed="false">
      <c r="A24" s="4" t="s">
        <v>246</v>
      </c>
      <c r="B24" s="4" t="s">
        <v>247</v>
      </c>
      <c r="C24" s="19" t="n">
        <v>0.012</v>
      </c>
      <c r="D24" s="4" t="s">
        <v>248</v>
      </c>
      <c r="E24" s="4"/>
      <c r="F24" s="4"/>
      <c r="G24" s="4"/>
    </row>
    <row r="25" customFormat="false" ht="15" hidden="false" customHeight="false" outlineLevel="0" collapsed="false">
      <c r="A25" s="4" t="s">
        <v>249</v>
      </c>
      <c r="B25" s="4" t="s">
        <v>250</v>
      </c>
      <c r="C25" s="10" t="n">
        <v>0.15</v>
      </c>
      <c r="D25" s="4" t="s">
        <v>251</v>
      </c>
      <c r="E25" s="4"/>
      <c r="F25" s="4"/>
      <c r="G25" s="4"/>
    </row>
    <row r="26" customFormat="false" ht="15" hidden="false" customHeight="false" outlineLevel="0" collapsed="false">
      <c r="A26" s="4" t="s">
        <v>252</v>
      </c>
      <c r="B26" s="4" t="s">
        <v>253</v>
      </c>
      <c r="C26" s="10" t="n">
        <v>0.015</v>
      </c>
      <c r="D26" s="4" t="s">
        <v>254</v>
      </c>
      <c r="E26" s="4"/>
      <c r="F26" s="4"/>
      <c r="G26" s="4"/>
    </row>
    <row r="27" customFormat="false" ht="15" hidden="false" customHeight="false" outlineLevel="0" collapsed="false">
      <c r="A27" s="4" t="s">
        <v>255</v>
      </c>
      <c r="B27" s="4" t="s">
        <v>256</v>
      </c>
      <c r="C27" s="20" t="n">
        <v>0.004</v>
      </c>
      <c r="D27" s="4" t="s">
        <v>257</v>
      </c>
      <c r="E27" s="4"/>
      <c r="F27" s="4"/>
      <c r="G27" s="4"/>
    </row>
    <row r="28" customFormat="false" ht="15" hidden="false" customHeight="false" outlineLevel="0" collapsed="false">
      <c r="A28" s="4" t="s">
        <v>258</v>
      </c>
      <c r="B28" s="4" t="s">
        <v>259</v>
      </c>
      <c r="C28" s="6" t="n">
        <v>20000</v>
      </c>
      <c r="D28" s="4"/>
      <c r="E28" s="4"/>
      <c r="F28" s="4"/>
      <c r="G28" s="4"/>
    </row>
    <row r="29" customFormat="false" ht="15" hidden="false" customHeight="false" outlineLevel="0" collapsed="false">
      <c r="A29" s="4" t="s">
        <v>260</v>
      </c>
      <c r="B29" s="4" t="s">
        <v>261</v>
      </c>
      <c r="C29" s="10" t="n">
        <v>0.03</v>
      </c>
      <c r="D29" s="4" t="s">
        <v>262</v>
      </c>
      <c r="E29" s="4"/>
      <c r="F29" s="4"/>
      <c r="G29" s="4"/>
    </row>
    <row r="30" customFormat="false" ht="15" hidden="false" customHeight="false" outlineLevel="0" collapsed="false">
      <c r="A30" s="4" t="s">
        <v>263</v>
      </c>
      <c r="B30" s="4" t="s">
        <v>264</v>
      </c>
      <c r="C30" s="6" t="n">
        <v>9999</v>
      </c>
      <c r="D30" s="4"/>
      <c r="E30" s="4"/>
      <c r="F30" s="4"/>
      <c r="G30" s="4"/>
    </row>
    <row r="31" customFormat="false" ht="15" hidden="false" customHeight="false" outlineLevel="0" collapsed="false">
      <c r="A31" s="4" t="s">
        <v>265</v>
      </c>
      <c r="B31" s="4" t="s">
        <v>266</v>
      </c>
      <c r="C31" s="10" t="n">
        <v>0.25</v>
      </c>
      <c r="D31" s="4" t="s">
        <v>267</v>
      </c>
      <c r="E31" s="4"/>
      <c r="F31" s="4"/>
      <c r="G31" s="4"/>
    </row>
    <row r="32" customFormat="false" ht="15" hidden="false" customHeight="false" outlineLevel="0" collapsed="false">
      <c r="A32" s="4" t="s">
        <v>268</v>
      </c>
      <c r="B32" s="4" t="s">
        <v>269</v>
      </c>
      <c r="C32" s="20" t="n">
        <v>0.008</v>
      </c>
      <c r="D32" s="4"/>
      <c r="E32" s="4"/>
      <c r="F32" s="4"/>
      <c r="G32" s="4"/>
    </row>
    <row r="33" customFormat="false" ht="15" hidden="false" customHeight="false" outlineLevel="0" collapsed="false">
      <c r="A33" s="4" t="s">
        <v>270</v>
      </c>
      <c r="B33" s="4" t="s">
        <v>271</v>
      </c>
      <c r="C33" s="6" t="n">
        <v>50000000</v>
      </c>
      <c r="D33" s="4"/>
      <c r="E33" s="4"/>
      <c r="F33" s="4"/>
      <c r="G33" s="4"/>
    </row>
    <row r="34" customFormat="false" ht="15" hidden="false" customHeight="false" outlineLevel="0" collapsed="false">
      <c r="A34" s="4" t="s">
        <v>272</v>
      </c>
      <c r="B34" s="4" t="s">
        <v>109</v>
      </c>
      <c r="C34" s="10" t="n">
        <v>0.85</v>
      </c>
      <c r="D34" s="4"/>
      <c r="E34" s="4"/>
      <c r="F34" s="4"/>
      <c r="G34" s="4"/>
    </row>
    <row r="35" customFormat="false" ht="15" hidden="false" customHeight="false" outlineLevel="0" collapsed="false">
      <c r="A35" s="4" t="s">
        <v>273</v>
      </c>
      <c r="B35" s="4" t="s">
        <v>274</v>
      </c>
      <c r="C35" s="9" t="n">
        <v>22000</v>
      </c>
      <c r="D35" s="4" t="s">
        <v>275</v>
      </c>
      <c r="E35" s="4"/>
      <c r="F35" s="4"/>
      <c r="G35" s="4"/>
    </row>
    <row r="36" customFormat="false" ht="15" hidden="false" customHeight="false" outlineLevel="0" collapsed="false">
      <c r="A36" s="4" t="s">
        <v>276</v>
      </c>
      <c r="B36" s="4" t="s">
        <v>277</v>
      </c>
      <c r="C36" s="19" t="n">
        <v>0.015</v>
      </c>
      <c r="D36" s="4"/>
      <c r="E36" s="4"/>
      <c r="F36" s="4"/>
      <c r="G36" s="4"/>
    </row>
    <row r="37" customFormat="false" ht="15" hidden="false" customHeight="false" outlineLevel="0" collapsed="false">
      <c r="A37" s="4" t="s">
        <v>278</v>
      </c>
      <c r="B37" s="4" t="s">
        <v>279</v>
      </c>
      <c r="C37" s="20" t="n">
        <v>0.004</v>
      </c>
      <c r="D37" s="4"/>
      <c r="E37" s="4"/>
      <c r="F37" s="4"/>
      <c r="G37" s="4"/>
    </row>
    <row r="38" customFormat="false" ht="15" hidden="false" customHeight="false" outlineLevel="0" collapsed="false">
      <c r="A38" s="4" t="s">
        <v>280</v>
      </c>
      <c r="B38" s="4" t="s">
        <v>281</v>
      </c>
      <c r="C38" s="6" t="n">
        <v>12000</v>
      </c>
      <c r="D38" s="4"/>
      <c r="E38" s="4"/>
      <c r="F38" s="4"/>
      <c r="G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</row>
    <row r="40" customFormat="false" ht="15" hidden="false" customHeight="false" outlineLevel="0" collapsed="false">
      <c r="A40" s="3" t="s">
        <v>282</v>
      </c>
      <c r="B40" s="4"/>
      <c r="C40" s="4"/>
      <c r="D40" s="4"/>
      <c r="E40" s="4"/>
      <c r="F40" s="4"/>
      <c r="G40" s="4"/>
    </row>
    <row r="41" customFormat="false" ht="15" hidden="false" customHeight="false" outlineLevel="0" collapsed="false">
      <c r="A41" s="5" t="s">
        <v>283</v>
      </c>
      <c r="B41" s="5" t="s">
        <v>41</v>
      </c>
      <c r="C41" s="5" t="s">
        <v>284</v>
      </c>
      <c r="D41" s="5" t="s">
        <v>285</v>
      </c>
      <c r="E41" s="5" t="s">
        <v>286</v>
      </c>
      <c r="F41" s="5" t="s">
        <v>287</v>
      </c>
      <c r="G41" s="5" t="s">
        <v>288</v>
      </c>
    </row>
    <row r="42" customFormat="false" ht="15" hidden="false" customHeight="false" outlineLevel="0" collapsed="false">
      <c r="A42" s="21" t="s">
        <v>289</v>
      </c>
      <c r="B42" s="21" t="s">
        <v>290</v>
      </c>
      <c r="C42" s="7" t="n">
        <v>0.3</v>
      </c>
      <c r="D42" s="7" t="n">
        <v>0.8</v>
      </c>
      <c r="E42" s="6" t="n">
        <v>22000</v>
      </c>
      <c r="F42" s="10" t="n">
        <v>0.03</v>
      </c>
      <c r="G42" s="6" t="n">
        <v>1</v>
      </c>
    </row>
    <row r="43" customFormat="false" ht="15" hidden="false" customHeight="false" outlineLevel="0" collapsed="false">
      <c r="A43" s="21" t="s">
        <v>291</v>
      </c>
      <c r="B43" s="21" t="s">
        <v>292</v>
      </c>
      <c r="C43" s="7" t="n">
        <v>0.4</v>
      </c>
      <c r="D43" s="7" t="n">
        <v>0.17</v>
      </c>
      <c r="E43" s="6" t="n">
        <v>45000</v>
      </c>
      <c r="F43" s="10" t="n">
        <v>0.03</v>
      </c>
      <c r="G43" s="6" t="n">
        <v>2</v>
      </c>
    </row>
    <row r="44" customFormat="false" ht="15" hidden="false" customHeight="false" outlineLevel="0" collapsed="false">
      <c r="A44" s="21" t="s">
        <v>293</v>
      </c>
      <c r="B44" s="21" t="s">
        <v>294</v>
      </c>
      <c r="C44" s="7" t="n">
        <v>0.18</v>
      </c>
      <c r="D44" s="7" t="n">
        <v>0.02</v>
      </c>
      <c r="E44" s="6" t="n">
        <v>70000</v>
      </c>
      <c r="F44" s="10" t="n">
        <v>0.04</v>
      </c>
      <c r="G44" s="6" t="n">
        <v>3</v>
      </c>
    </row>
    <row r="45" customFormat="false" ht="15" hidden="false" customHeight="false" outlineLevel="0" collapsed="false">
      <c r="A45" s="21" t="s">
        <v>295</v>
      </c>
      <c r="B45" s="21" t="s">
        <v>296</v>
      </c>
      <c r="C45" s="7" t="n">
        <v>0.12</v>
      </c>
      <c r="D45" s="7" t="n">
        <v>0.01</v>
      </c>
      <c r="E45" s="6" t="n">
        <v>100000</v>
      </c>
      <c r="F45" s="10" t="n">
        <v>0.05</v>
      </c>
      <c r="G45" s="6" t="n">
        <v>5</v>
      </c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</row>
    <row r="47" customFormat="false" ht="15" hidden="false" customHeight="false" outlineLevel="0" collapsed="false">
      <c r="A47" s="4" t="s">
        <v>297</v>
      </c>
      <c r="B47" s="4" t="s">
        <v>298</v>
      </c>
      <c r="C47" s="8" t="n">
        <f aca="false">SUMPRODUCT(C42:C45,E42:E45)/(1+Inputs!$C$10)</f>
        <v>43928.5714285714</v>
      </c>
      <c r="D47" s="4"/>
      <c r="E47" s="4"/>
      <c r="F47" s="4"/>
      <c r="G47" s="4"/>
    </row>
    <row r="48" customFormat="false" ht="15" hidden="false" customHeight="false" outlineLevel="0" collapsed="false">
      <c r="A48" s="4" t="s">
        <v>299</v>
      </c>
      <c r="B48" s="4" t="s">
        <v>300</v>
      </c>
      <c r="C48" s="8" t="n">
        <f aca="false">SUMPRODUCT(C42:C45,E42:E45,F42:F45)</f>
        <v>1842</v>
      </c>
      <c r="D48" s="4"/>
      <c r="E48" s="4"/>
      <c r="F48" s="4"/>
      <c r="G48" s="4"/>
    </row>
    <row r="49" customFormat="false" ht="15" hidden="false" customHeight="false" outlineLevel="0" collapsed="false">
      <c r="A49" s="4" t="s">
        <v>301</v>
      </c>
      <c r="B49" s="4" t="s">
        <v>302</v>
      </c>
      <c r="C49" s="22" t="n">
        <f aca="false">C48/SUMPRODUCT(C42:C45,E42:E45)</f>
        <v>0.0374390243902439</v>
      </c>
      <c r="D49" s="4"/>
      <c r="E49" s="4"/>
      <c r="F49" s="4"/>
      <c r="G49" s="4"/>
    </row>
    <row r="50" customFormat="false" ht="15" hidden="false" customHeight="false" outlineLevel="0" collapsed="false">
      <c r="A50" s="4" t="s">
        <v>303</v>
      </c>
      <c r="B50" s="4" t="s">
        <v>304</v>
      </c>
      <c r="C50" s="18" t="n">
        <f aca="false">C42+C43</f>
        <v>0.7</v>
      </c>
      <c r="D50" s="4"/>
      <c r="E50" s="4"/>
      <c r="F50" s="4"/>
      <c r="G50" s="4"/>
    </row>
    <row r="51" customFormat="false" ht="15" hidden="false" customHeight="false" outlineLevel="0" collapsed="false">
      <c r="A51" s="4" t="s">
        <v>305</v>
      </c>
      <c r="B51" s="4" t="s">
        <v>306</v>
      </c>
      <c r="C51" s="8" t="n">
        <f aca="false">SUMPRODUCT(D42:D45,E42:E45,F42:F45)</f>
        <v>863.5</v>
      </c>
      <c r="D51" s="4"/>
      <c r="E51" s="4"/>
      <c r="F51" s="4"/>
      <c r="G51" s="4"/>
    </row>
    <row r="52" customFormat="false" ht="15" hidden="false" customHeight="false" outlineLevel="0" collapsed="false">
      <c r="A52" s="4" t="s">
        <v>307</v>
      </c>
      <c r="B52" s="4" t="s">
        <v>308</v>
      </c>
      <c r="C52" s="18" t="n">
        <f aca="false">D42+D43</f>
        <v>0.97</v>
      </c>
      <c r="D52" s="4"/>
      <c r="E52" s="4"/>
      <c r="F52" s="4"/>
      <c r="G52" s="4"/>
    </row>
    <row r="53" customFormat="false" ht="15" hidden="false" customHeight="false" outlineLevel="0" collapsed="false">
      <c r="A53" s="4" t="s">
        <v>309</v>
      </c>
      <c r="B53" s="4" t="s">
        <v>310</v>
      </c>
      <c r="C53" s="8" t="n">
        <f aca="false">Inputs!$C$4*Loyalty_Inputs!$C$4*Loyalty_Inputs!$C$5</f>
        <v>1485000</v>
      </c>
      <c r="D53" s="4"/>
      <c r="E53" s="4"/>
      <c r="F53" s="4"/>
      <c r="G53" s="4"/>
    </row>
    <row r="54" customFormat="false" ht="15" hidden="false" customHeight="false" outlineLevel="0" collapsed="false">
      <c r="A54" s="4" t="s">
        <v>311</v>
      </c>
      <c r="B54" s="4" t="s">
        <v>312</v>
      </c>
      <c r="C54" s="8" t="n">
        <f aca="false">Loyalty_Inputs!$C$30/(1+Inputs!$C$10)</f>
        <v>8927.67857142857</v>
      </c>
      <c r="D54" s="4"/>
      <c r="E54" s="4"/>
      <c r="F54" s="4"/>
      <c r="G54" s="4"/>
    </row>
    <row r="55" customFormat="false" ht="15" hidden="false" customHeight="false" outlineLevel="0" collapsed="false">
      <c r="A55" s="4" t="s">
        <v>313</v>
      </c>
      <c r="B55" s="4" t="s">
        <v>314</v>
      </c>
      <c r="C55" s="21" t="str">
        <f aca="false">IF(AND(ABS(SUM(C42:C45)-1)&lt;0.0001,ABS(SUM(D42:D45)-1)&lt;0.0001),"OK","ОШИБКА")</f>
        <v>OK</v>
      </c>
      <c r="D55" s="4"/>
      <c r="E55" s="4"/>
      <c r="F55" s="4"/>
      <c r="G5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315</v>
      </c>
      <c r="B1" s="4"/>
      <c r="C1" s="4"/>
      <c r="D1" s="4"/>
      <c r="E1" s="4"/>
    </row>
    <row r="2" customFormat="false" ht="15" hidden="false" customHeight="false" outlineLevel="0" collapsed="false">
      <c r="A2" s="4"/>
      <c r="B2" s="4"/>
      <c r="C2" s="4"/>
      <c r="D2" s="4"/>
      <c r="E2" s="4"/>
    </row>
    <row r="3" customFormat="false" ht="15" hidden="false" customHeight="false" outlineLevel="0" collapsed="false">
      <c r="A3" s="5" t="s">
        <v>41</v>
      </c>
      <c r="B3" s="5" t="s">
        <v>316</v>
      </c>
      <c r="C3" s="5" t="s">
        <v>317</v>
      </c>
      <c r="D3" s="5" t="s">
        <v>318</v>
      </c>
      <c r="E3" s="4"/>
    </row>
    <row r="4" customFormat="false" ht="15" hidden="false" customHeight="false" outlineLevel="0" collapsed="false">
      <c r="A4" s="21" t="s">
        <v>319</v>
      </c>
      <c r="B4" s="21" t="s">
        <v>320</v>
      </c>
      <c r="C4" s="9" t="n">
        <v>176900000</v>
      </c>
      <c r="D4" s="21" t="s">
        <v>321</v>
      </c>
      <c r="E4" s="4"/>
    </row>
    <row r="5" customFormat="false" ht="15" hidden="false" customHeight="false" outlineLevel="0" collapsed="false">
      <c r="A5" s="21" t="s">
        <v>322</v>
      </c>
      <c r="B5" s="21" t="s">
        <v>323</v>
      </c>
      <c r="C5" s="9" t="n">
        <v>146455000</v>
      </c>
      <c r="D5" s="21" t="s">
        <v>321</v>
      </c>
      <c r="E5" s="4"/>
    </row>
    <row r="6" customFormat="false" ht="15" hidden="false" customHeight="false" outlineLevel="0" collapsed="false">
      <c r="A6" s="21" t="s">
        <v>324</v>
      </c>
      <c r="B6" s="21" t="s">
        <v>325</v>
      </c>
      <c r="C6" s="9" t="n">
        <v>32000000</v>
      </c>
      <c r="D6" s="21" t="s">
        <v>326</v>
      </c>
      <c r="E6" s="4"/>
    </row>
    <row r="7" customFormat="false" ht="15" hidden="false" customHeight="false" outlineLevel="0" collapsed="false">
      <c r="A7" s="21" t="s">
        <v>327</v>
      </c>
      <c r="B7" s="21" t="s">
        <v>328</v>
      </c>
      <c r="C7" s="9" t="n">
        <v>50000000</v>
      </c>
      <c r="D7" s="21" t="s">
        <v>329</v>
      </c>
      <c r="E7" s="4"/>
    </row>
    <row r="8" customFormat="false" ht="15" hidden="false" customHeight="false" outlineLevel="0" collapsed="false">
      <c r="A8" s="21" t="s">
        <v>330</v>
      </c>
      <c r="B8" s="21" t="s">
        <v>331</v>
      </c>
      <c r="C8" s="9" t="n">
        <v>7000000</v>
      </c>
      <c r="D8" s="21" t="s">
        <v>332</v>
      </c>
      <c r="E8" s="4"/>
    </row>
    <row r="9" customFormat="false" ht="15" hidden="false" customHeight="false" outlineLevel="0" collapsed="false">
      <c r="A9" s="21" t="s">
        <v>333</v>
      </c>
      <c r="B9" s="21" t="s">
        <v>334</v>
      </c>
      <c r="C9" s="9" t="n">
        <v>12500000</v>
      </c>
      <c r="D9" s="21" t="s">
        <v>335</v>
      </c>
      <c r="E9" s="4"/>
    </row>
    <row r="10" customFormat="false" ht="15" hidden="false" customHeight="false" outlineLevel="0" collapsed="false">
      <c r="A10" s="21" t="s">
        <v>336</v>
      </c>
      <c r="B10" s="21" t="s">
        <v>337</v>
      </c>
      <c r="C10" s="9" t="n">
        <v>4500000</v>
      </c>
      <c r="D10" s="21" t="s">
        <v>332</v>
      </c>
      <c r="E10" s="4"/>
    </row>
    <row r="11" customFormat="false" ht="15" hidden="false" customHeight="false" outlineLevel="0" collapsed="false">
      <c r="A11" s="21" t="s">
        <v>338</v>
      </c>
      <c r="B11" s="21" t="s">
        <v>339</v>
      </c>
      <c r="C11" s="9" t="n">
        <v>3000000</v>
      </c>
      <c r="D11" s="21" t="s">
        <v>332</v>
      </c>
      <c r="E11" s="4"/>
    </row>
    <row r="12" customFormat="false" ht="15" hidden="false" customHeight="false" outlineLevel="0" collapsed="false">
      <c r="A12" s="21" t="s">
        <v>340</v>
      </c>
      <c r="B12" s="21" t="s">
        <v>341</v>
      </c>
      <c r="C12" s="9" t="n">
        <v>2000000</v>
      </c>
      <c r="D12" s="21" t="s">
        <v>342</v>
      </c>
      <c r="E12" s="4"/>
    </row>
    <row r="13" customFormat="false" ht="15" hidden="false" customHeight="false" outlineLevel="0" collapsed="false">
      <c r="A13" s="21" t="s">
        <v>343</v>
      </c>
      <c r="B13" s="21" t="s">
        <v>344</v>
      </c>
      <c r="C13" s="9" t="n">
        <v>700000</v>
      </c>
      <c r="D13" s="21" t="s">
        <v>332</v>
      </c>
      <c r="E13" s="4"/>
    </row>
    <row r="14" customFormat="false" ht="15" hidden="false" customHeight="false" outlineLevel="0" collapsed="false">
      <c r="A14" s="21" t="s">
        <v>345</v>
      </c>
      <c r="B14" s="21" t="s">
        <v>346</v>
      </c>
      <c r="C14" s="9" t="n">
        <v>1200000</v>
      </c>
      <c r="D14" s="21" t="s">
        <v>332</v>
      </c>
      <c r="E14" s="4"/>
    </row>
    <row r="15" customFormat="false" ht="15" hidden="false" customHeight="false" outlineLevel="0" collapsed="false">
      <c r="A15" s="21" t="s">
        <v>347</v>
      </c>
      <c r="B15" s="21" t="s">
        <v>348</v>
      </c>
      <c r="C15" s="9" t="n">
        <v>160000</v>
      </c>
      <c r="D15" s="21" t="s">
        <v>349</v>
      </c>
      <c r="E15" s="4"/>
    </row>
    <row r="16" customFormat="false" ht="15" hidden="false" customHeight="false" outlineLevel="0" collapsed="false">
      <c r="A16" s="21" t="s">
        <v>350</v>
      </c>
      <c r="B16" s="21" t="s">
        <v>351</v>
      </c>
      <c r="C16" s="9" t="n">
        <v>160000</v>
      </c>
      <c r="D16" s="21" t="s">
        <v>352</v>
      </c>
      <c r="E16" s="4"/>
    </row>
    <row r="17" customFormat="false" ht="15" hidden="false" customHeight="false" outlineLevel="0" collapsed="false">
      <c r="A17" s="21" t="s">
        <v>353</v>
      </c>
      <c r="B17" s="21" t="s">
        <v>354</v>
      </c>
      <c r="C17" s="9" t="n">
        <v>60000</v>
      </c>
      <c r="D17" s="21" t="s">
        <v>332</v>
      </c>
      <c r="E17" s="4"/>
    </row>
    <row r="18" customFormat="false" ht="15" hidden="false" customHeight="false" outlineLevel="0" collapsed="false">
      <c r="A18" s="21" t="s">
        <v>355</v>
      </c>
      <c r="B18" s="21" t="s">
        <v>356</v>
      </c>
      <c r="C18" s="9" t="n">
        <v>180000</v>
      </c>
      <c r="D18" s="21" t="s">
        <v>332</v>
      </c>
      <c r="E18" s="4"/>
    </row>
    <row r="19" customFormat="false" ht="15" hidden="false" customHeight="false" outlineLevel="0" collapsed="false">
      <c r="A19" s="21" t="s">
        <v>357</v>
      </c>
      <c r="B19" s="21" t="s">
        <v>358</v>
      </c>
      <c r="C19" s="9" t="n">
        <v>1200000</v>
      </c>
      <c r="D19" s="21" t="s">
        <v>359</v>
      </c>
      <c r="E19" s="4"/>
    </row>
    <row r="20" customFormat="false" ht="15" hidden="false" customHeight="false" outlineLevel="0" collapsed="false">
      <c r="A20" s="21" t="s">
        <v>360</v>
      </c>
      <c r="B20" s="21" t="s">
        <v>361</v>
      </c>
      <c r="C20" s="9" t="n">
        <v>1250</v>
      </c>
      <c r="D20" s="21" t="s">
        <v>362</v>
      </c>
      <c r="E20" s="4"/>
    </row>
    <row r="21" customFormat="false" ht="15" hidden="false" customHeight="false" outlineLevel="0" collapsed="false">
      <c r="A21" s="21" t="s">
        <v>363</v>
      </c>
      <c r="B21" s="21" t="s">
        <v>364</v>
      </c>
      <c r="C21" s="9" t="n">
        <v>100000</v>
      </c>
      <c r="D21" s="21" t="s">
        <v>365</v>
      </c>
      <c r="E21" s="4"/>
    </row>
    <row r="22" customFormat="false" ht="15" hidden="false" customHeight="false" outlineLevel="0" collapsed="false">
      <c r="A22" s="4"/>
      <c r="B22" s="4"/>
      <c r="C22" s="4"/>
      <c r="D22" s="4"/>
      <c r="E22" s="4"/>
    </row>
    <row r="23" customFormat="false" ht="15" hidden="false" customHeight="false" outlineLevel="0" collapsed="false">
      <c r="A23" s="3" t="s">
        <v>366</v>
      </c>
      <c r="B23" s="4"/>
      <c r="C23" s="4"/>
      <c r="D23" s="4"/>
      <c r="E23" s="4"/>
    </row>
    <row r="24" customFormat="false" ht="15" hidden="false" customHeight="false" outlineLevel="0" collapsed="false">
      <c r="A24" s="5" t="s">
        <v>41</v>
      </c>
      <c r="B24" s="5" t="s">
        <v>316</v>
      </c>
      <c r="C24" s="5" t="s">
        <v>367</v>
      </c>
      <c r="D24" s="5" t="s">
        <v>368</v>
      </c>
      <c r="E24" s="5" t="s">
        <v>369</v>
      </c>
    </row>
    <row r="25" customFormat="false" ht="15" hidden="false" customHeight="false" outlineLevel="0" collapsed="false">
      <c r="A25" s="21" t="s">
        <v>333</v>
      </c>
      <c r="B25" s="23" t="str">
        <f aca="false">INDEX($B$4:$B$21,MATCH(A25,$A$4:$A$21,0))</f>
        <v>iPhone 17 256 ГБ</v>
      </c>
      <c r="C25" s="6" t="n">
        <v>1</v>
      </c>
      <c r="D25" s="10" t="n">
        <v>0</v>
      </c>
      <c r="E25" s="8" t="n">
        <f aca="false">INDEX($C$4:$C$21,MATCH(A25,$A$4:$A$21,0))*C25*(1-D25)</f>
        <v>12500000</v>
      </c>
    </row>
    <row r="26" customFormat="false" ht="15" hidden="false" customHeight="false" outlineLevel="0" collapsed="false">
      <c r="A26" s="21" t="s">
        <v>338</v>
      </c>
      <c r="B26" s="23" t="str">
        <f aca="false">INDEX($B$4:$B$21,MATCH(A26,$A$4:$A$21,0))</f>
        <v>Планшет Samsung Galaxy Tab A9+</v>
      </c>
      <c r="C26" s="6" t="n">
        <v>2</v>
      </c>
      <c r="D26" s="10" t="n">
        <v>0</v>
      </c>
      <c r="E26" s="8" t="n">
        <f aca="false">INDEX($C$4:$C$21,MATCH(A26,$A$4:$A$21,0))*C26*(1-D26)</f>
        <v>6000000</v>
      </c>
    </row>
    <row r="27" customFormat="false" ht="15" hidden="false" customHeight="false" outlineLevel="0" collapsed="false">
      <c r="A27" s="21" t="s">
        <v>340</v>
      </c>
      <c r="B27" s="23" t="str">
        <f aca="false">INDEX($B$4:$B$21,MATCH(A27,$A$4:$A$21,0))</f>
        <v>AirPods 4</v>
      </c>
      <c r="C27" s="6" t="n">
        <v>5</v>
      </c>
      <c r="D27" s="10" t="n">
        <v>0</v>
      </c>
      <c r="E27" s="8" t="n">
        <f aca="false">INDEX($C$4:$C$21,MATCH(A27,$A$4:$A$21,0))*C27*(1-D27)</f>
        <v>10000000</v>
      </c>
    </row>
    <row r="28" customFormat="false" ht="15" hidden="false" customHeight="false" outlineLevel="0" collapsed="false">
      <c r="A28" s="21" t="s">
        <v>345</v>
      </c>
      <c r="B28" s="23" t="str">
        <f aca="false">INDEX($B$4:$B$21,MATCH(A28,$A$4:$A$21,0))</f>
        <v>2 билета на концерт</v>
      </c>
      <c r="C28" s="6" t="n">
        <v>10</v>
      </c>
      <c r="D28" s="10" t="n">
        <v>0.5</v>
      </c>
      <c r="E28" s="8" t="n">
        <f aca="false">INDEX($C$4:$C$21,MATCH(A28,$A$4:$A$21,0))*C28*(1-D28)</f>
        <v>6000000</v>
      </c>
    </row>
    <row r="29" customFormat="false" ht="15" hidden="false" customHeight="false" outlineLevel="0" collapsed="false">
      <c r="A29" s="21" t="s">
        <v>347</v>
      </c>
      <c r="B29" s="23" t="str">
        <f aca="false">INDEX($B$4:$B$21,MATCH(A29,$A$4:$A$21,0))</f>
        <v>2 билета в кино</v>
      </c>
      <c r="C29" s="6" t="n">
        <v>30</v>
      </c>
      <c r="D29" s="10" t="n">
        <v>0.5</v>
      </c>
      <c r="E29" s="8" t="n">
        <f aca="false">INDEX($C$4:$C$21,MATCH(A29,$A$4:$A$21,0))*C29*(1-D29)</f>
        <v>2400000</v>
      </c>
    </row>
    <row r="30" customFormat="false" ht="15" hidden="false" customHeight="false" outlineLevel="0" collapsed="false">
      <c r="A30" s="21" t="s">
        <v>336</v>
      </c>
      <c r="B30" s="23" t="str">
        <f aca="false">INDEX($B$4:$B$21,MATCH(A30,$A$4:$A$21,0))</f>
        <v>Samsung Galaxy A (A36/A56)</v>
      </c>
      <c r="C30" s="6" t="n">
        <v>1</v>
      </c>
      <c r="D30" s="10" t="n">
        <v>0</v>
      </c>
      <c r="E30" s="8" t="n">
        <f aca="false">INDEX($C$4:$C$21,MATCH(A30,$A$4:$A$21,0))*C30*(1-D30)</f>
        <v>4500000</v>
      </c>
    </row>
    <row r="31" customFormat="false" ht="15" hidden="false" customHeight="false" outlineLevel="0" collapsed="false">
      <c r="A31" s="21" t="s">
        <v>343</v>
      </c>
      <c r="B31" s="23" t="str">
        <f aca="false">INDEX($B$4:$B$21,MATCH(A31,$A$4:$A$21,0))</f>
        <v>Наушники JBL Tune</v>
      </c>
      <c r="C31" s="6" t="n">
        <v>5</v>
      </c>
      <c r="D31" s="10" t="n">
        <v>0</v>
      </c>
      <c r="E31" s="8" t="n">
        <f aca="false">INDEX($C$4:$C$21,MATCH(A31,$A$4:$A$21,0))*C31*(1-D31)</f>
        <v>3500000</v>
      </c>
    </row>
    <row r="32" customFormat="false" ht="15" hidden="false" customHeight="false" outlineLevel="0" collapsed="false">
      <c r="A32" s="21" t="s">
        <v>360</v>
      </c>
      <c r="B32" s="23" t="str">
        <f aca="false">INDEX($B$4:$B$21,MATCH(A32,$A$4:$A$21,0))</f>
        <v>5 ГБ интернета (себестоимость)</v>
      </c>
      <c r="C32" s="6" t="n">
        <v>1000</v>
      </c>
      <c r="D32" s="10" t="n">
        <v>0</v>
      </c>
      <c r="E32" s="8" t="n">
        <f aca="false">INDEX($C$4:$C$21,MATCH(A32,$A$4:$A$21,0))*C32*(1-D32)</f>
        <v>1250000</v>
      </c>
    </row>
    <row r="33" customFormat="false" ht="15" hidden="false" customHeight="false" outlineLevel="0" collapsed="false">
      <c r="A33" s="21" t="s">
        <v>363</v>
      </c>
      <c r="B33" s="23" t="str">
        <f aca="false">INDEX($B$4:$B$21,MATCH(A33,$A$4:$A$21,0))</f>
        <v>Ваучер партнёра (номинал 100 тыс.)</v>
      </c>
      <c r="C33" s="6" t="n">
        <v>300</v>
      </c>
      <c r="D33" s="10" t="n">
        <v>1</v>
      </c>
      <c r="E33" s="8" t="n">
        <f aca="false">INDEX($C$4:$C$21,MATCH(A33,$A$4:$A$21,0))*C33*(1-D33)</f>
        <v>0</v>
      </c>
    </row>
    <row r="34" customFormat="false" ht="15" hidden="false" customHeight="false" outlineLevel="0" collapsed="false">
      <c r="A34" s="4"/>
      <c r="B34" s="3" t="s">
        <v>370</v>
      </c>
      <c r="C34" s="24" t="n">
        <f aca="false">SUM(C25:C33)</f>
        <v>1354</v>
      </c>
      <c r="D34" s="4"/>
      <c r="E34" s="24" t="n">
        <f aca="false">SUM(E25:E33)</f>
        <v>46150000</v>
      </c>
    </row>
    <row r="35" customFormat="false" ht="15" hidden="false" customHeight="false" outlineLevel="0" collapsed="false">
      <c r="A35" s="4"/>
      <c r="B35" s="4" t="s">
        <v>371</v>
      </c>
      <c r="C35" s="4"/>
      <c r="D35" s="4"/>
      <c r="E35" s="24" t="n">
        <f aca="false">E34*52/12</f>
        <v>199983333.333333</v>
      </c>
    </row>
    <row r="36" customFormat="false" ht="15" hidden="false" customHeight="false" outlineLevel="0" collapsed="false">
      <c r="A36" s="4"/>
      <c r="B36" s="4"/>
      <c r="C36" s="4"/>
      <c r="D36" s="4"/>
      <c r="E36" s="4"/>
    </row>
    <row r="37" customFormat="false" ht="15" hidden="false" customHeight="false" outlineLevel="0" collapsed="false">
      <c r="A37" s="3" t="s">
        <v>372</v>
      </c>
      <c r="B37" s="4"/>
      <c r="C37" s="4"/>
      <c r="D37" s="4"/>
      <c r="E37" s="4"/>
    </row>
    <row r="38" customFormat="false" ht="15" hidden="false" customHeight="false" outlineLevel="0" collapsed="false">
      <c r="A38" s="5" t="s">
        <v>41</v>
      </c>
      <c r="B38" s="5" t="s">
        <v>316</v>
      </c>
      <c r="C38" s="5" t="s">
        <v>367</v>
      </c>
      <c r="D38" s="5" t="s">
        <v>368</v>
      </c>
      <c r="E38" s="5" t="s">
        <v>369</v>
      </c>
    </row>
    <row r="39" customFormat="false" ht="15" hidden="false" customHeight="false" outlineLevel="0" collapsed="false">
      <c r="A39" s="21" t="s">
        <v>347</v>
      </c>
      <c r="B39" s="23" t="str">
        <f aca="false">INDEX($B$4:$B$21,MATCH(A39,$A$4:$A$21,0))</f>
        <v>2 билета в кино</v>
      </c>
      <c r="C39" s="6" t="n">
        <v>500</v>
      </c>
      <c r="D39" s="10" t="n">
        <v>0.5</v>
      </c>
      <c r="E39" s="8" t="n">
        <f aca="false">INDEX($C$4:$C$21,MATCH(A39,$A$4:$A$21,0))*C39*(1-D39)</f>
        <v>40000000</v>
      </c>
    </row>
    <row r="40" customFormat="false" ht="15" hidden="false" customHeight="false" outlineLevel="0" collapsed="false">
      <c r="A40" s="21" t="s">
        <v>350</v>
      </c>
      <c r="B40" s="23" t="str">
        <f aca="false">INDEX($B$4:$B$21,MATCH(A40,$A$4:$A$21,0))</f>
        <v>Худи с принтом (мерч)</v>
      </c>
      <c r="C40" s="6" t="n">
        <v>100</v>
      </c>
      <c r="D40" s="10" t="n">
        <v>0</v>
      </c>
      <c r="E40" s="8" t="n">
        <f aca="false">INDEX($C$4:$C$21,MATCH(A40,$A$4:$A$21,0))*C40*(1-D40)</f>
        <v>16000000</v>
      </c>
    </row>
    <row r="41" customFormat="false" ht="15" hidden="false" customHeight="false" outlineLevel="0" collapsed="false">
      <c r="A41" s="21" t="s">
        <v>353</v>
      </c>
      <c r="B41" s="23" t="str">
        <f aca="false">INDEX($B$4:$B$21,MATCH(A41,$A$4:$A$21,0))</f>
        <v>Кепка / шоппер</v>
      </c>
      <c r="C41" s="6" t="n">
        <v>60</v>
      </c>
      <c r="D41" s="10" t="n">
        <v>0</v>
      </c>
      <c r="E41" s="8" t="n">
        <f aca="false">INDEX($C$4:$C$21,MATCH(A41,$A$4:$A$21,0))*C41*(1-D41)</f>
        <v>3600000</v>
      </c>
    </row>
    <row r="42" customFormat="false" ht="15" hidden="false" customHeight="false" outlineLevel="0" collapsed="false">
      <c r="A42" s="21" t="s">
        <v>355</v>
      </c>
      <c r="B42" s="23" t="str">
        <f aca="false">INDEX($B$4:$B$21,MATCH(A42,$A$4:$A$21,0))</f>
        <v>Power bank 10 000 мА·ч</v>
      </c>
      <c r="C42" s="6" t="n">
        <v>40</v>
      </c>
      <c r="D42" s="10" t="n">
        <v>0</v>
      </c>
      <c r="E42" s="8" t="n">
        <f aca="false">INDEX($C$4:$C$21,MATCH(A42,$A$4:$A$21,0))*C42*(1-D42)</f>
        <v>7200000</v>
      </c>
    </row>
    <row r="43" customFormat="false" ht="15" hidden="false" customHeight="false" outlineLevel="0" collapsed="false">
      <c r="A43" s="21" t="s">
        <v>343</v>
      </c>
      <c r="B43" s="23" t="str">
        <f aca="false">INDEX($B$4:$B$21,MATCH(A43,$A$4:$A$21,0))</f>
        <v>Наушники JBL Tune</v>
      </c>
      <c r="C43" s="6" t="n">
        <v>20</v>
      </c>
      <c r="D43" s="10" t="n">
        <v>0</v>
      </c>
      <c r="E43" s="8" t="n">
        <f aca="false">INDEX($C$4:$C$21,MATCH(A43,$A$4:$A$21,0))*C43*(1-D43)</f>
        <v>14000000</v>
      </c>
    </row>
    <row r="44" customFormat="false" ht="15" hidden="false" customHeight="false" outlineLevel="0" collapsed="false">
      <c r="A44" s="21" t="s">
        <v>336</v>
      </c>
      <c r="B44" s="23" t="str">
        <f aca="false">INDEX($B$4:$B$21,MATCH(A44,$A$4:$A$21,0))</f>
        <v>Samsung Galaxy A (A36/A56)</v>
      </c>
      <c r="C44" s="6" t="n">
        <v>2</v>
      </c>
      <c r="D44" s="10" t="n">
        <v>0</v>
      </c>
      <c r="E44" s="8" t="n">
        <f aca="false">INDEX($C$4:$C$21,MATCH(A44,$A$4:$A$21,0))*C44*(1-D44)</f>
        <v>9000000</v>
      </c>
    </row>
    <row r="45" customFormat="false" ht="15" hidden="false" customHeight="false" outlineLevel="0" collapsed="false">
      <c r="A45" s="4"/>
      <c r="B45" s="3" t="s">
        <v>370</v>
      </c>
      <c r="C45" s="24" t="n">
        <f aca="false">SUM(C39:C44)</f>
        <v>722</v>
      </c>
      <c r="D45" s="4"/>
      <c r="E45" s="24" t="n">
        <f aca="false">SUM(E39:E44)</f>
        <v>89800000</v>
      </c>
    </row>
    <row r="46" customFormat="false" ht="15" hidden="false" customHeight="false" outlineLevel="0" collapsed="false">
      <c r="A46" s="4"/>
      <c r="B46" s="4" t="s">
        <v>371</v>
      </c>
      <c r="C46" s="4"/>
      <c r="D46" s="4"/>
      <c r="E46" s="24" t="n">
        <f aca="false">E45*52/12</f>
        <v>389133333.333333</v>
      </c>
    </row>
    <row r="47" customFormat="false" ht="15" hidden="false" customHeight="false" outlineLevel="0" collapsed="false">
      <c r="A47" s="4"/>
      <c r="B47" s="4"/>
      <c r="C47" s="4"/>
      <c r="D47" s="4"/>
      <c r="E47" s="4"/>
    </row>
    <row r="48" customFormat="false" ht="15" hidden="false" customHeight="false" outlineLevel="0" collapsed="false">
      <c r="A48" s="3" t="s">
        <v>373</v>
      </c>
      <c r="B48" s="4"/>
      <c r="C48" s="4"/>
      <c r="D48" s="4"/>
      <c r="E48" s="4"/>
    </row>
    <row r="49" customFormat="false" ht="15" hidden="false" customHeight="false" outlineLevel="0" collapsed="false">
      <c r="A49" s="5" t="s">
        <v>165</v>
      </c>
      <c r="B49" s="5" t="s">
        <v>316</v>
      </c>
      <c r="C49" s="5" t="s">
        <v>374</v>
      </c>
      <c r="D49" s="4"/>
      <c r="E49" s="4"/>
    </row>
    <row r="50" customFormat="false" ht="15" hidden="false" customHeight="false" outlineLevel="0" collapsed="false">
      <c r="A50" s="21" t="s">
        <v>375</v>
      </c>
      <c r="B50" s="21" t="s">
        <v>320</v>
      </c>
      <c r="C50" s="8" t="n">
        <f aca="false">INDEX($C$4:$C$21,MATCH("car_onix",$A$4:$A$21,0))</f>
        <v>176900000</v>
      </c>
      <c r="D50" s="4"/>
      <c r="E50" s="4"/>
    </row>
    <row r="51" customFormat="false" ht="15" hidden="false" customHeight="false" outlineLevel="0" collapsed="false">
      <c r="A51" s="21" t="s">
        <v>376</v>
      </c>
      <c r="B51" s="21" t="s">
        <v>325</v>
      </c>
      <c r="C51" s="8" t="n">
        <f aca="false">INDEX($C$4:$C$21,MATCH("trip_turkey2",$A$4:$A$21,0))</f>
        <v>32000000</v>
      </c>
      <c r="D51" s="4"/>
      <c r="E51" s="4"/>
    </row>
    <row r="52" customFormat="false" ht="15" hidden="false" customHeight="false" outlineLevel="0" collapsed="false">
      <c r="A52" s="21" t="s">
        <v>377</v>
      </c>
      <c r="B52" s="21" t="s">
        <v>328</v>
      </c>
      <c r="C52" s="8" t="n">
        <f aca="false">INDEX($C$4:$C$21,MATCH("umrah2",$A$4:$A$21,0))</f>
        <v>50000000</v>
      </c>
      <c r="D52" s="4"/>
      <c r="E52" s="4"/>
    </row>
    <row r="53" customFormat="false" ht="15" hidden="false" customHeight="false" outlineLevel="0" collapsed="false">
      <c r="A53" s="21" t="s">
        <v>378</v>
      </c>
      <c r="B53" s="21" t="s">
        <v>320</v>
      </c>
      <c r="C53" s="8" t="n">
        <f aca="false">INDEX($C$4:$C$21,MATCH("car_onix",$A$4:$A$21,0))</f>
        <v>176900000</v>
      </c>
      <c r="D53" s="4"/>
      <c r="E53" s="4"/>
    </row>
    <row r="54" customFormat="false" ht="15" hidden="false" customHeight="false" outlineLevel="0" collapsed="false">
      <c r="A54" s="21" t="s">
        <v>379</v>
      </c>
      <c r="B54" s="21" t="s">
        <v>325</v>
      </c>
      <c r="C54" s="8" t="n">
        <f aca="false">INDEX($C$4:$C$21,MATCH("trip_turkey2",$A$4:$A$21,0))</f>
        <v>32000000</v>
      </c>
      <c r="D54" s="4"/>
      <c r="E54" s="4"/>
    </row>
    <row r="55" customFormat="false" ht="15" hidden="false" customHeight="false" outlineLevel="0" collapsed="false">
      <c r="A55" s="21" t="s">
        <v>380</v>
      </c>
      <c r="B55" s="21" t="s">
        <v>381</v>
      </c>
      <c r="C55" s="8" t="n">
        <f aca="false">5*INDEX($C$4:$C$21,MATCH("iphone17",$A$4:$A$21,0))</f>
        <v>62500000</v>
      </c>
      <c r="D55" s="4"/>
      <c r="E55" s="4"/>
    </row>
    <row r="56" customFormat="false" ht="15" hidden="false" customHeight="false" outlineLevel="0" collapsed="false">
      <c r="A56" s="21" t="s">
        <v>382</v>
      </c>
      <c r="B56" s="21" t="s">
        <v>320</v>
      </c>
      <c r="C56" s="8" t="n">
        <f aca="false">INDEX($C$4:$C$21,MATCH("car_onix",$A$4:$A$21,0))</f>
        <v>176900000</v>
      </c>
      <c r="D56" s="4"/>
      <c r="E56" s="4"/>
    </row>
    <row r="57" customFormat="false" ht="15" hidden="false" customHeight="false" outlineLevel="0" collapsed="false">
      <c r="A57" s="21" t="s">
        <v>383</v>
      </c>
      <c r="B57" s="21" t="s">
        <v>325</v>
      </c>
      <c r="C57" s="8" t="n">
        <f aca="false">INDEX($C$4:$C$21,MATCH("trip_turkey2",$A$4:$A$21,0))</f>
        <v>32000000</v>
      </c>
      <c r="D57" s="4"/>
      <c r="E57" s="4"/>
    </row>
    <row r="58" customFormat="false" ht="15" hidden="false" customHeight="false" outlineLevel="0" collapsed="false">
      <c r="A58" s="21" t="s">
        <v>384</v>
      </c>
      <c r="B58" s="21" t="s">
        <v>385</v>
      </c>
      <c r="C58" s="8" t="n">
        <f aca="false">10*INDEX($C$4:$C$21,MATCH("free_year",$A$4:$A$21,0))</f>
        <v>12000000</v>
      </c>
      <c r="D58" s="4"/>
      <c r="E58" s="4"/>
    </row>
    <row r="59" customFormat="false" ht="15" hidden="false" customHeight="false" outlineLevel="0" collapsed="false">
      <c r="A59" s="21" t="s">
        <v>386</v>
      </c>
      <c r="B59" s="21" t="s">
        <v>320</v>
      </c>
      <c r="C59" s="8" t="n">
        <f aca="false">INDEX($C$4:$C$21,MATCH("car_onix",$A$4:$A$21,0))</f>
        <v>176900000</v>
      </c>
      <c r="D59" s="4"/>
      <c r="E59" s="4"/>
    </row>
    <row r="60" customFormat="false" ht="15" hidden="false" customHeight="false" outlineLevel="0" collapsed="false">
      <c r="A60" s="21" t="s">
        <v>387</v>
      </c>
      <c r="B60" s="21" t="s">
        <v>325</v>
      </c>
      <c r="C60" s="8" t="n">
        <f aca="false">INDEX($C$4:$C$21,MATCH("trip_turkey2",$A$4:$A$21,0))</f>
        <v>32000000</v>
      </c>
      <c r="D60" s="4"/>
      <c r="E60" s="4"/>
    </row>
    <row r="61" customFormat="false" ht="15" hidden="false" customHeight="false" outlineLevel="0" collapsed="false">
      <c r="A61" s="21" t="s">
        <v>388</v>
      </c>
      <c r="B61" s="21" t="s">
        <v>328</v>
      </c>
      <c r="C61" s="8" t="n">
        <f aca="false">INDEX($C$4:$C$21,MATCH("umrah2",$A$4:$A$21,0))</f>
        <v>50000000</v>
      </c>
      <c r="D61" s="4"/>
      <c r="E61" s="4"/>
    </row>
    <row r="62" customFormat="false" ht="15" hidden="false" customHeight="false" outlineLevel="0" collapsed="false">
      <c r="A62" s="4"/>
      <c r="B62" s="3" t="s">
        <v>389</v>
      </c>
      <c r="C62" s="24" t="n">
        <f aca="false">SUM(C50:C61)</f>
        <v>1010100000</v>
      </c>
      <c r="D62" s="4"/>
      <c r="E62" s="4"/>
    </row>
    <row r="63" customFormat="false" ht="15" hidden="false" customHeight="false" outlineLevel="0" collapsed="false">
      <c r="A63" s="4"/>
      <c r="B63" s="4" t="s">
        <v>390</v>
      </c>
      <c r="C63" s="10" t="n">
        <v>0.1</v>
      </c>
      <c r="D63" s="4"/>
      <c r="E63" s="4"/>
    </row>
    <row r="64" customFormat="false" ht="15" hidden="false" customHeight="false" outlineLevel="0" collapsed="false">
      <c r="A64" s="4"/>
      <c r="B64" s="3" t="s">
        <v>391</v>
      </c>
      <c r="C64" s="24" t="n">
        <f aca="false">C62/12*(1+C63)</f>
        <v>92592500</v>
      </c>
      <c r="D64" s="4"/>
      <c r="E6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392</v>
      </c>
      <c r="B1" s="4"/>
      <c r="C1" s="4"/>
      <c r="D1" s="4"/>
      <c r="E1" s="4"/>
    </row>
    <row r="2" customFormat="false" ht="15" hidden="false" customHeight="false" outlineLevel="0" collapsed="false">
      <c r="A2" s="4"/>
      <c r="B2" s="4"/>
      <c r="C2" s="4"/>
      <c r="D2" s="4"/>
      <c r="E2" s="4"/>
    </row>
    <row r="3" customFormat="false" ht="15" hidden="false" customHeight="false" outlineLevel="0" collapsed="false">
      <c r="A3" s="5" t="s">
        <v>316</v>
      </c>
      <c r="B3" s="5" t="s">
        <v>393</v>
      </c>
      <c r="C3" s="5" t="s">
        <v>394</v>
      </c>
      <c r="D3" s="5" t="s">
        <v>395</v>
      </c>
      <c r="E3" s="5" t="s">
        <v>197</v>
      </c>
    </row>
    <row r="4" customFormat="false" ht="15" hidden="false" customHeight="false" outlineLevel="0" collapsed="false">
      <c r="A4" s="21" t="s">
        <v>396</v>
      </c>
      <c r="B4" s="10" t="n">
        <v>0.5</v>
      </c>
      <c r="C4" s="25" t="n">
        <v>23</v>
      </c>
      <c r="D4" s="26" t="n">
        <f aca="false">B4*C4</f>
        <v>11.5</v>
      </c>
      <c r="E4" s="21" t="s">
        <v>397</v>
      </c>
    </row>
    <row r="5" customFormat="false" ht="15" hidden="false" customHeight="false" outlineLevel="0" collapsed="false">
      <c r="A5" s="21" t="s">
        <v>398</v>
      </c>
      <c r="B5" s="10" t="n">
        <v>0.25</v>
      </c>
      <c r="C5" s="25" t="n">
        <v>150</v>
      </c>
      <c r="D5" s="26" t="n">
        <f aca="false">B5*C5</f>
        <v>37.5</v>
      </c>
      <c r="E5" s="21" t="s">
        <v>399</v>
      </c>
    </row>
    <row r="6" customFormat="false" ht="15" hidden="false" customHeight="false" outlineLevel="0" collapsed="false">
      <c r="A6" s="21" t="s">
        <v>400</v>
      </c>
      <c r="B6" s="10" t="n">
        <v>0.07</v>
      </c>
      <c r="C6" s="25" t="n">
        <v>40</v>
      </c>
      <c r="D6" s="26" t="n">
        <f aca="false">B6*C6</f>
        <v>2.8</v>
      </c>
      <c r="E6" s="21"/>
    </row>
    <row r="7" customFormat="false" ht="15" hidden="false" customHeight="false" outlineLevel="0" collapsed="false">
      <c r="A7" s="21" t="s">
        <v>401</v>
      </c>
      <c r="B7" s="10" t="n">
        <v>0.14</v>
      </c>
      <c r="C7" s="25" t="n">
        <v>5</v>
      </c>
      <c r="D7" s="26" t="n">
        <f aca="false">B7*C7</f>
        <v>0.7</v>
      </c>
      <c r="E7" s="21" t="s">
        <v>402</v>
      </c>
    </row>
    <row r="8" customFormat="false" ht="15" hidden="false" customHeight="false" outlineLevel="0" collapsed="false">
      <c r="A8" s="21" t="s">
        <v>403</v>
      </c>
      <c r="B8" s="10" t="n">
        <v>0.02</v>
      </c>
      <c r="C8" s="25" t="n">
        <v>0</v>
      </c>
      <c r="D8" s="26" t="n">
        <f aca="false">B8*C8</f>
        <v>0</v>
      </c>
      <c r="E8" s="21" t="s">
        <v>404</v>
      </c>
    </row>
    <row r="9" customFormat="false" ht="15" hidden="false" customHeight="false" outlineLevel="0" collapsed="false">
      <c r="A9" s="21" t="s">
        <v>405</v>
      </c>
      <c r="B9" s="10" t="n">
        <v>0.02</v>
      </c>
      <c r="C9" s="25" t="n">
        <v>0</v>
      </c>
      <c r="D9" s="26" t="n">
        <f aca="false">B9*C9</f>
        <v>0</v>
      </c>
      <c r="E9" s="21" t="s">
        <v>406</v>
      </c>
    </row>
    <row r="10" customFormat="false" ht="15" hidden="false" customHeight="false" outlineLevel="0" collapsed="false">
      <c r="A10" s="3" t="s">
        <v>407</v>
      </c>
      <c r="B10" s="27" t="n">
        <f aca="false">SUM(B4:B9)</f>
        <v>1</v>
      </c>
      <c r="C10" s="4"/>
      <c r="D10" s="28" t="n">
        <f aca="false">SUM(D4:D9)</f>
        <v>52.5</v>
      </c>
      <c r="E10" s="4"/>
    </row>
    <row r="11" customFormat="false" ht="15" hidden="false" customHeight="false" outlineLevel="0" collapsed="false">
      <c r="A11" s="4" t="s">
        <v>408</v>
      </c>
      <c r="B11" s="21" t="str">
        <f aca="false">IF(ABS(B10-1)&lt;0.0001,"OK","ОШИБКА")</f>
        <v>OK</v>
      </c>
      <c r="C11" s="4"/>
      <c r="D11" s="4"/>
      <c r="E11" s="4"/>
    </row>
    <row r="12" customFormat="false" ht="15" hidden="false" customHeight="false" outlineLevel="0" collapsed="false">
      <c r="A12" s="4"/>
      <c r="B12" s="4"/>
      <c r="C12" s="4"/>
      <c r="D12" s="4"/>
      <c r="E12" s="4"/>
    </row>
    <row r="13" customFormat="false" ht="15" hidden="false" customHeight="false" outlineLevel="0" collapsed="false">
      <c r="A13" s="3" t="s">
        <v>409</v>
      </c>
      <c r="B13" s="4"/>
      <c r="C13" s="4"/>
      <c r="D13" s="4"/>
      <c r="E13" s="4"/>
    </row>
    <row r="14" customFormat="false" ht="15" hidden="false" customHeight="false" outlineLevel="0" collapsed="false">
      <c r="A14" s="4" t="s">
        <v>410</v>
      </c>
      <c r="B14" s="4"/>
      <c r="C14" s="8" t="n">
        <f aca="false">Loyalty_Inputs!$C$53</f>
        <v>1485000</v>
      </c>
      <c r="D14" s="4"/>
      <c r="E14" s="4"/>
    </row>
    <row r="15" customFormat="false" ht="15" hidden="false" customHeight="false" outlineLevel="0" collapsed="false">
      <c r="A15" s="4" t="s">
        <v>411</v>
      </c>
      <c r="B15" s="4"/>
      <c r="C15" s="8" t="n">
        <f aca="false">C14*Loyalty_Inputs!$C$15*7</f>
        <v>3118500</v>
      </c>
      <c r="D15" s="4"/>
      <c r="E15" s="4"/>
    </row>
    <row r="16" customFormat="false" ht="15" hidden="false" customHeight="false" outlineLevel="0" collapsed="false">
      <c r="A16" s="4" t="s">
        <v>412</v>
      </c>
      <c r="B16" s="4"/>
      <c r="C16" s="8" t="n">
        <f aca="false">C15*Daily_Drops!$D$10</f>
        <v>163721250</v>
      </c>
      <c r="D16" s="4"/>
      <c r="E16" s="4"/>
    </row>
    <row r="17" customFormat="false" ht="15" hidden="false" customHeight="false" outlineLevel="0" collapsed="false">
      <c r="A17" s="4" t="s">
        <v>413</v>
      </c>
      <c r="B17" s="4"/>
      <c r="C17" s="8" t="n">
        <f aca="false">Prizes!$E$45</f>
        <v>89800000</v>
      </c>
      <c r="D17" s="4"/>
      <c r="E17" s="4"/>
    </row>
    <row r="18" customFormat="false" ht="15" hidden="false" customHeight="false" outlineLevel="0" collapsed="false">
      <c r="A18" s="4" t="s">
        <v>414</v>
      </c>
      <c r="B18" s="4"/>
      <c r="C18" s="8" t="n">
        <f aca="false">C16+C17</f>
        <v>253521250</v>
      </c>
      <c r="D18" s="4"/>
      <c r="E18" s="4"/>
    </row>
    <row r="19" customFormat="false" ht="15" hidden="false" customHeight="false" outlineLevel="0" collapsed="false">
      <c r="A19" s="4" t="s">
        <v>415</v>
      </c>
      <c r="B19" s="4"/>
      <c r="C19" s="26" t="n">
        <f aca="false">C18/C15</f>
        <v>81.2958954625621</v>
      </c>
      <c r="D19" s="4"/>
      <c r="E19" s="4"/>
    </row>
    <row r="20" customFormat="false" ht="15" hidden="false" customHeight="false" outlineLevel="0" collapsed="false">
      <c r="A20" s="4" t="s">
        <v>416</v>
      </c>
      <c r="B20" s="4"/>
      <c r="C20" s="26" t="n">
        <f aca="false">Loyalty_Inputs!$C$47*Loyalty_Inputs!$C$32*Loyalty_Inputs!$C$34/(Loyalty_Inputs!$C$15*30)*(Loyalty_Inputs!$C$15/0.3)</f>
        <v>33.1904761904762</v>
      </c>
      <c r="D20" s="4"/>
      <c r="E2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38" min="3" style="0" width="15"/>
  </cols>
  <sheetData>
    <row r="1" customFormat="false" ht="17.35" hidden="false" customHeight="false" outlineLevel="0" collapsed="false">
      <c r="A1" s="1" t="s">
        <v>417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customFormat="false" ht="15" hidden="false" customHeight="false" outlineLevel="0" collapsed="false">
      <c r="A3" s="5" t="s">
        <v>165</v>
      </c>
      <c r="B3" s="5"/>
      <c r="C3" s="5" t="n">
        <v>1</v>
      </c>
      <c r="D3" s="5" t="n">
        <v>2</v>
      </c>
      <c r="E3" s="5" t="n">
        <v>3</v>
      </c>
      <c r="F3" s="5" t="n">
        <v>4</v>
      </c>
      <c r="G3" s="5" t="n">
        <v>5</v>
      </c>
      <c r="H3" s="5" t="n">
        <v>6</v>
      </c>
      <c r="I3" s="5" t="n">
        <v>7</v>
      </c>
      <c r="J3" s="5" t="n">
        <v>8</v>
      </c>
      <c r="K3" s="5" t="n">
        <v>9</v>
      </c>
      <c r="L3" s="5" t="n">
        <v>10</v>
      </c>
      <c r="M3" s="5" t="n">
        <v>11</v>
      </c>
      <c r="N3" s="5" t="n">
        <v>12</v>
      </c>
      <c r="O3" s="5" t="n">
        <v>13</v>
      </c>
      <c r="P3" s="5" t="n">
        <v>14</v>
      </c>
      <c r="Q3" s="5" t="n">
        <v>15</v>
      </c>
      <c r="R3" s="5" t="n">
        <v>16</v>
      </c>
      <c r="S3" s="5" t="n">
        <v>17</v>
      </c>
      <c r="T3" s="5" t="n">
        <v>18</v>
      </c>
      <c r="U3" s="5" t="n">
        <v>19</v>
      </c>
      <c r="V3" s="5" t="n">
        <v>20</v>
      </c>
      <c r="W3" s="5" t="n">
        <v>21</v>
      </c>
      <c r="X3" s="5" t="n">
        <v>22</v>
      </c>
      <c r="Y3" s="5" t="n">
        <v>23</v>
      </c>
      <c r="Z3" s="5" t="n">
        <v>24</v>
      </c>
      <c r="AA3" s="5" t="n">
        <v>25</v>
      </c>
      <c r="AB3" s="5" t="n">
        <v>26</v>
      </c>
      <c r="AC3" s="5" t="n">
        <v>27</v>
      </c>
      <c r="AD3" s="5" t="n">
        <v>28</v>
      </c>
      <c r="AE3" s="5" t="n">
        <v>29</v>
      </c>
      <c r="AF3" s="5" t="n">
        <v>30</v>
      </c>
      <c r="AG3" s="5" t="n">
        <v>31</v>
      </c>
      <c r="AH3" s="5" t="n">
        <v>32</v>
      </c>
      <c r="AI3" s="5" t="n">
        <v>33</v>
      </c>
      <c r="AJ3" s="5" t="n">
        <v>34</v>
      </c>
      <c r="AK3" s="5" t="n">
        <v>35</v>
      </c>
      <c r="AL3" s="5" t="n">
        <v>36</v>
      </c>
    </row>
    <row r="4" customFormat="false" ht="15" hidden="false" customHeight="false" outlineLevel="0" collapsed="false">
      <c r="A4" s="2" t="s">
        <v>418</v>
      </c>
      <c r="B4" s="4" t="s">
        <v>419</v>
      </c>
      <c r="C4" s="8" t="n">
        <f aca="false">IF(C$3&lt;Loyalty_Inputs!$C$8,0,IF(C$3&lt;Loyalty_Inputs!$C$10,Loyalty_Inputs!$C$7,MAX(Loyalty_Inputs!$C$7,Loyalty_Inputs!$C$53*MIN((C$3-Loyalty_Inputs!$C$10+1)/Loyalty_Inputs!$C$11,1))))</f>
        <v>0</v>
      </c>
      <c r="D4" s="8" t="n">
        <f aca="false">IF(D$3&lt;Loyalty_Inputs!$C$8,0,IF(D$3&lt;Loyalty_Inputs!$C$10,Loyalty_Inputs!$C$7,MAX(Loyalty_Inputs!$C$7,Loyalty_Inputs!$C$53*MIN((D$3-Loyalty_Inputs!$C$10+1)/Loyalty_Inputs!$C$11,1))))</f>
        <v>0</v>
      </c>
      <c r="E4" s="8" t="n">
        <f aca="false">IF(E$3&lt;Loyalty_Inputs!$C$8,0,IF(E$3&lt;Loyalty_Inputs!$C$10,Loyalty_Inputs!$C$7,MAX(Loyalty_Inputs!$C$7,Loyalty_Inputs!$C$53*MIN((E$3-Loyalty_Inputs!$C$10+1)/Loyalty_Inputs!$C$11,1))))</f>
        <v>0</v>
      </c>
      <c r="F4" s="8" t="n">
        <f aca="false">IF(F$3&lt;Loyalty_Inputs!$C$8,0,IF(F$3&lt;Loyalty_Inputs!$C$10,Loyalty_Inputs!$C$7,MAX(Loyalty_Inputs!$C$7,Loyalty_Inputs!$C$53*MIN((F$3-Loyalty_Inputs!$C$10+1)/Loyalty_Inputs!$C$11,1))))</f>
        <v>0</v>
      </c>
      <c r="G4" s="8" t="n">
        <f aca="false">IF(G$3&lt;Loyalty_Inputs!$C$8,0,IF(G$3&lt;Loyalty_Inputs!$C$10,Loyalty_Inputs!$C$7,MAX(Loyalty_Inputs!$C$7,Loyalty_Inputs!$C$53*MIN((G$3-Loyalty_Inputs!$C$10+1)/Loyalty_Inputs!$C$11,1))))</f>
        <v>150000</v>
      </c>
      <c r="H4" s="8" t="n">
        <f aca="false">IF(H$3&lt;Loyalty_Inputs!$C$8,0,IF(H$3&lt;Loyalty_Inputs!$C$10,Loyalty_Inputs!$C$7,MAX(Loyalty_Inputs!$C$7,Loyalty_Inputs!$C$53*MIN((H$3-Loyalty_Inputs!$C$10+1)/Loyalty_Inputs!$C$11,1))))</f>
        <v>150000</v>
      </c>
      <c r="I4" s="8" t="n">
        <f aca="false">IF(I$3&lt;Loyalty_Inputs!$C$8,0,IF(I$3&lt;Loyalty_Inputs!$C$10,Loyalty_Inputs!$C$7,MAX(Loyalty_Inputs!$C$7,Loyalty_Inputs!$C$53*MIN((I$3-Loyalty_Inputs!$C$10+1)/Loyalty_Inputs!$C$11,1))))</f>
        <v>150000</v>
      </c>
      <c r="J4" s="8" t="n">
        <f aca="false">IF(J$3&lt;Loyalty_Inputs!$C$8,0,IF(J$3&lt;Loyalty_Inputs!$C$10,Loyalty_Inputs!$C$7,MAX(Loyalty_Inputs!$C$7,Loyalty_Inputs!$C$53*MIN((J$3-Loyalty_Inputs!$C$10+1)/Loyalty_Inputs!$C$11,1))))</f>
        <v>150000</v>
      </c>
      <c r="K4" s="8" t="n">
        <f aca="false">IF(K$3&lt;Loyalty_Inputs!$C$8,0,IF(K$3&lt;Loyalty_Inputs!$C$10,Loyalty_Inputs!$C$7,MAX(Loyalty_Inputs!$C$7,Loyalty_Inputs!$C$53*MIN((K$3-Loyalty_Inputs!$C$10+1)/Loyalty_Inputs!$C$11,1))))</f>
        <v>150000</v>
      </c>
      <c r="L4" s="8" t="n">
        <f aca="false">IF(L$3&lt;Loyalty_Inputs!$C$8,0,IF(L$3&lt;Loyalty_Inputs!$C$10,Loyalty_Inputs!$C$7,MAX(Loyalty_Inputs!$C$7,Loyalty_Inputs!$C$53*MIN((L$3-Loyalty_Inputs!$C$10+1)/Loyalty_Inputs!$C$11,1))))</f>
        <v>150000</v>
      </c>
      <c r="M4" s="8" t="n">
        <f aca="false">IF(M$3&lt;Loyalty_Inputs!$C$8,0,IF(M$3&lt;Loyalty_Inputs!$C$10,Loyalty_Inputs!$C$7,MAX(Loyalty_Inputs!$C$7,Loyalty_Inputs!$C$53*MIN((M$3-Loyalty_Inputs!$C$10+1)/Loyalty_Inputs!$C$11,1))))</f>
        <v>247500</v>
      </c>
      <c r="N4" s="8" t="n">
        <f aca="false">IF(N$3&lt;Loyalty_Inputs!$C$8,0,IF(N$3&lt;Loyalty_Inputs!$C$10,Loyalty_Inputs!$C$7,MAX(Loyalty_Inputs!$C$7,Loyalty_Inputs!$C$53*MIN((N$3-Loyalty_Inputs!$C$10+1)/Loyalty_Inputs!$C$11,1))))</f>
        <v>495000</v>
      </c>
      <c r="O4" s="8" t="n">
        <f aca="false">IF(O$3&lt;Loyalty_Inputs!$C$8,0,IF(O$3&lt;Loyalty_Inputs!$C$10,Loyalty_Inputs!$C$7,MAX(Loyalty_Inputs!$C$7,Loyalty_Inputs!$C$53*MIN((O$3-Loyalty_Inputs!$C$10+1)/Loyalty_Inputs!$C$11,1))))</f>
        <v>742500</v>
      </c>
      <c r="P4" s="8" t="n">
        <f aca="false">IF(P$3&lt;Loyalty_Inputs!$C$8,0,IF(P$3&lt;Loyalty_Inputs!$C$10,Loyalty_Inputs!$C$7,MAX(Loyalty_Inputs!$C$7,Loyalty_Inputs!$C$53*MIN((P$3-Loyalty_Inputs!$C$10+1)/Loyalty_Inputs!$C$11,1))))</f>
        <v>990000</v>
      </c>
      <c r="Q4" s="8" t="n">
        <f aca="false">IF(Q$3&lt;Loyalty_Inputs!$C$8,0,IF(Q$3&lt;Loyalty_Inputs!$C$10,Loyalty_Inputs!$C$7,MAX(Loyalty_Inputs!$C$7,Loyalty_Inputs!$C$53*MIN((Q$3-Loyalty_Inputs!$C$10+1)/Loyalty_Inputs!$C$11,1))))</f>
        <v>1237500</v>
      </c>
      <c r="R4" s="8" t="n">
        <f aca="false">IF(R$3&lt;Loyalty_Inputs!$C$8,0,IF(R$3&lt;Loyalty_Inputs!$C$10,Loyalty_Inputs!$C$7,MAX(Loyalty_Inputs!$C$7,Loyalty_Inputs!$C$53*MIN((R$3-Loyalty_Inputs!$C$10+1)/Loyalty_Inputs!$C$11,1))))</f>
        <v>1485000</v>
      </c>
      <c r="S4" s="8" t="n">
        <f aca="false">IF(S$3&lt;Loyalty_Inputs!$C$8,0,IF(S$3&lt;Loyalty_Inputs!$C$10,Loyalty_Inputs!$C$7,MAX(Loyalty_Inputs!$C$7,Loyalty_Inputs!$C$53*MIN((S$3-Loyalty_Inputs!$C$10+1)/Loyalty_Inputs!$C$11,1))))</f>
        <v>1485000</v>
      </c>
      <c r="T4" s="8" t="n">
        <f aca="false">IF(T$3&lt;Loyalty_Inputs!$C$8,0,IF(T$3&lt;Loyalty_Inputs!$C$10,Loyalty_Inputs!$C$7,MAX(Loyalty_Inputs!$C$7,Loyalty_Inputs!$C$53*MIN((T$3-Loyalty_Inputs!$C$10+1)/Loyalty_Inputs!$C$11,1))))</f>
        <v>1485000</v>
      </c>
      <c r="U4" s="8" t="n">
        <f aca="false">IF(U$3&lt;Loyalty_Inputs!$C$8,0,IF(U$3&lt;Loyalty_Inputs!$C$10,Loyalty_Inputs!$C$7,MAX(Loyalty_Inputs!$C$7,Loyalty_Inputs!$C$53*MIN((U$3-Loyalty_Inputs!$C$10+1)/Loyalty_Inputs!$C$11,1))))</f>
        <v>1485000</v>
      </c>
      <c r="V4" s="8" t="n">
        <f aca="false">IF(V$3&lt;Loyalty_Inputs!$C$8,0,IF(V$3&lt;Loyalty_Inputs!$C$10,Loyalty_Inputs!$C$7,MAX(Loyalty_Inputs!$C$7,Loyalty_Inputs!$C$53*MIN((V$3-Loyalty_Inputs!$C$10+1)/Loyalty_Inputs!$C$11,1))))</f>
        <v>1485000</v>
      </c>
      <c r="W4" s="8" t="n">
        <f aca="false">IF(W$3&lt;Loyalty_Inputs!$C$8,0,IF(W$3&lt;Loyalty_Inputs!$C$10,Loyalty_Inputs!$C$7,MAX(Loyalty_Inputs!$C$7,Loyalty_Inputs!$C$53*MIN((W$3-Loyalty_Inputs!$C$10+1)/Loyalty_Inputs!$C$11,1))))</f>
        <v>1485000</v>
      </c>
      <c r="X4" s="8" t="n">
        <f aca="false">IF(X$3&lt;Loyalty_Inputs!$C$8,0,IF(X$3&lt;Loyalty_Inputs!$C$10,Loyalty_Inputs!$C$7,MAX(Loyalty_Inputs!$C$7,Loyalty_Inputs!$C$53*MIN((X$3-Loyalty_Inputs!$C$10+1)/Loyalty_Inputs!$C$11,1))))</f>
        <v>1485000</v>
      </c>
      <c r="Y4" s="8" t="n">
        <f aca="false">IF(Y$3&lt;Loyalty_Inputs!$C$8,0,IF(Y$3&lt;Loyalty_Inputs!$C$10,Loyalty_Inputs!$C$7,MAX(Loyalty_Inputs!$C$7,Loyalty_Inputs!$C$53*MIN((Y$3-Loyalty_Inputs!$C$10+1)/Loyalty_Inputs!$C$11,1))))</f>
        <v>1485000</v>
      </c>
      <c r="Z4" s="8" t="n">
        <f aca="false">IF(Z$3&lt;Loyalty_Inputs!$C$8,0,IF(Z$3&lt;Loyalty_Inputs!$C$10,Loyalty_Inputs!$C$7,MAX(Loyalty_Inputs!$C$7,Loyalty_Inputs!$C$53*MIN((Z$3-Loyalty_Inputs!$C$10+1)/Loyalty_Inputs!$C$11,1))))</f>
        <v>1485000</v>
      </c>
      <c r="AA4" s="8" t="n">
        <f aca="false">IF(AA$3&lt;Loyalty_Inputs!$C$8,0,IF(AA$3&lt;Loyalty_Inputs!$C$10,Loyalty_Inputs!$C$7,MAX(Loyalty_Inputs!$C$7,Loyalty_Inputs!$C$53*MIN((AA$3-Loyalty_Inputs!$C$10+1)/Loyalty_Inputs!$C$11,1))))</f>
        <v>1485000</v>
      </c>
      <c r="AB4" s="8" t="n">
        <f aca="false">IF(AB$3&lt;Loyalty_Inputs!$C$8,0,IF(AB$3&lt;Loyalty_Inputs!$C$10,Loyalty_Inputs!$C$7,MAX(Loyalty_Inputs!$C$7,Loyalty_Inputs!$C$53*MIN((AB$3-Loyalty_Inputs!$C$10+1)/Loyalty_Inputs!$C$11,1))))</f>
        <v>1485000</v>
      </c>
      <c r="AC4" s="8" t="n">
        <f aca="false">IF(AC$3&lt;Loyalty_Inputs!$C$8,0,IF(AC$3&lt;Loyalty_Inputs!$C$10,Loyalty_Inputs!$C$7,MAX(Loyalty_Inputs!$C$7,Loyalty_Inputs!$C$53*MIN((AC$3-Loyalty_Inputs!$C$10+1)/Loyalty_Inputs!$C$11,1))))</f>
        <v>1485000</v>
      </c>
      <c r="AD4" s="8" t="n">
        <f aca="false">IF(AD$3&lt;Loyalty_Inputs!$C$8,0,IF(AD$3&lt;Loyalty_Inputs!$C$10,Loyalty_Inputs!$C$7,MAX(Loyalty_Inputs!$C$7,Loyalty_Inputs!$C$53*MIN((AD$3-Loyalty_Inputs!$C$10+1)/Loyalty_Inputs!$C$11,1))))</f>
        <v>1485000</v>
      </c>
      <c r="AE4" s="8" t="n">
        <f aca="false">IF(AE$3&lt;Loyalty_Inputs!$C$8,0,IF(AE$3&lt;Loyalty_Inputs!$C$10,Loyalty_Inputs!$C$7,MAX(Loyalty_Inputs!$C$7,Loyalty_Inputs!$C$53*MIN((AE$3-Loyalty_Inputs!$C$10+1)/Loyalty_Inputs!$C$11,1))))</f>
        <v>1485000</v>
      </c>
      <c r="AF4" s="8" t="n">
        <f aca="false">IF(AF$3&lt;Loyalty_Inputs!$C$8,0,IF(AF$3&lt;Loyalty_Inputs!$C$10,Loyalty_Inputs!$C$7,MAX(Loyalty_Inputs!$C$7,Loyalty_Inputs!$C$53*MIN((AF$3-Loyalty_Inputs!$C$10+1)/Loyalty_Inputs!$C$11,1))))</f>
        <v>1485000</v>
      </c>
      <c r="AG4" s="8" t="n">
        <f aca="false">IF(AG$3&lt;Loyalty_Inputs!$C$8,0,IF(AG$3&lt;Loyalty_Inputs!$C$10,Loyalty_Inputs!$C$7,MAX(Loyalty_Inputs!$C$7,Loyalty_Inputs!$C$53*MIN((AG$3-Loyalty_Inputs!$C$10+1)/Loyalty_Inputs!$C$11,1))))</f>
        <v>1485000</v>
      </c>
      <c r="AH4" s="8" t="n">
        <f aca="false">IF(AH$3&lt;Loyalty_Inputs!$C$8,0,IF(AH$3&lt;Loyalty_Inputs!$C$10,Loyalty_Inputs!$C$7,MAX(Loyalty_Inputs!$C$7,Loyalty_Inputs!$C$53*MIN((AH$3-Loyalty_Inputs!$C$10+1)/Loyalty_Inputs!$C$11,1))))</f>
        <v>1485000</v>
      </c>
      <c r="AI4" s="8" t="n">
        <f aca="false">IF(AI$3&lt;Loyalty_Inputs!$C$8,0,IF(AI$3&lt;Loyalty_Inputs!$C$10,Loyalty_Inputs!$C$7,MAX(Loyalty_Inputs!$C$7,Loyalty_Inputs!$C$53*MIN((AI$3-Loyalty_Inputs!$C$10+1)/Loyalty_Inputs!$C$11,1))))</f>
        <v>1485000</v>
      </c>
      <c r="AJ4" s="8" t="n">
        <f aca="false">IF(AJ$3&lt;Loyalty_Inputs!$C$8,0,IF(AJ$3&lt;Loyalty_Inputs!$C$10,Loyalty_Inputs!$C$7,MAX(Loyalty_Inputs!$C$7,Loyalty_Inputs!$C$53*MIN((AJ$3-Loyalty_Inputs!$C$10+1)/Loyalty_Inputs!$C$11,1))))</f>
        <v>1485000</v>
      </c>
      <c r="AK4" s="8" t="n">
        <f aca="false">IF(AK$3&lt;Loyalty_Inputs!$C$8,0,IF(AK$3&lt;Loyalty_Inputs!$C$10,Loyalty_Inputs!$C$7,MAX(Loyalty_Inputs!$C$7,Loyalty_Inputs!$C$53*MIN((AK$3-Loyalty_Inputs!$C$10+1)/Loyalty_Inputs!$C$11,1))))</f>
        <v>1485000</v>
      </c>
      <c r="AL4" s="8" t="n">
        <f aca="false">IF(AL$3&lt;Loyalty_Inputs!$C$8,0,IF(AL$3&lt;Loyalty_Inputs!$C$10,Loyalty_Inputs!$C$7,MAX(Loyalty_Inputs!$C$7,Loyalty_Inputs!$C$53*MIN((AL$3-Loyalty_Inputs!$C$10+1)/Loyalty_Inputs!$C$11,1))))</f>
        <v>1485000</v>
      </c>
    </row>
    <row r="5" customFormat="false" ht="15" hidden="false" customHeight="false" outlineLevel="0" collapsed="false">
      <c r="A5" s="2" t="s">
        <v>420</v>
      </c>
      <c r="B5" s="4" t="s">
        <v>421</v>
      </c>
      <c r="C5" s="18" t="n">
        <f aca="false">IF(C4&gt;0,MAX(Loyalty_Inputs!$C$16,C4/Loyalty_Inputs!$C$53),0)</f>
        <v>0</v>
      </c>
      <c r="D5" s="18" t="n">
        <f aca="false">IF(D4&gt;0,MAX(Loyalty_Inputs!$C$16,D4/Loyalty_Inputs!$C$53),0)</f>
        <v>0</v>
      </c>
      <c r="E5" s="18" t="n">
        <f aca="false">IF(E4&gt;0,MAX(Loyalty_Inputs!$C$16,E4/Loyalty_Inputs!$C$53),0)</f>
        <v>0</v>
      </c>
      <c r="F5" s="18" t="n">
        <f aca="false">IF(F4&gt;0,MAX(Loyalty_Inputs!$C$16,F4/Loyalty_Inputs!$C$53),0)</f>
        <v>0</v>
      </c>
      <c r="G5" s="18" t="n">
        <f aca="false">IF(G4&gt;0,MAX(Loyalty_Inputs!$C$16,G4/Loyalty_Inputs!$C$53),0)</f>
        <v>0.3</v>
      </c>
      <c r="H5" s="18" t="n">
        <f aca="false">IF(H4&gt;0,MAX(Loyalty_Inputs!$C$16,H4/Loyalty_Inputs!$C$53),0)</f>
        <v>0.3</v>
      </c>
      <c r="I5" s="18" t="n">
        <f aca="false">IF(I4&gt;0,MAX(Loyalty_Inputs!$C$16,I4/Loyalty_Inputs!$C$53),0)</f>
        <v>0.3</v>
      </c>
      <c r="J5" s="18" t="n">
        <f aca="false">IF(J4&gt;0,MAX(Loyalty_Inputs!$C$16,J4/Loyalty_Inputs!$C$53),0)</f>
        <v>0.3</v>
      </c>
      <c r="K5" s="18" t="n">
        <f aca="false">IF(K4&gt;0,MAX(Loyalty_Inputs!$C$16,K4/Loyalty_Inputs!$C$53),0)</f>
        <v>0.3</v>
      </c>
      <c r="L5" s="18" t="n">
        <f aca="false">IF(L4&gt;0,MAX(Loyalty_Inputs!$C$16,L4/Loyalty_Inputs!$C$53),0)</f>
        <v>0.3</v>
      </c>
      <c r="M5" s="18" t="n">
        <f aca="false">IF(M4&gt;0,MAX(Loyalty_Inputs!$C$16,M4/Loyalty_Inputs!$C$53),0)</f>
        <v>0.3</v>
      </c>
      <c r="N5" s="18" t="n">
        <f aca="false">IF(N4&gt;0,MAX(Loyalty_Inputs!$C$16,N4/Loyalty_Inputs!$C$53),0)</f>
        <v>0.333333333333333</v>
      </c>
      <c r="O5" s="18" t="n">
        <f aca="false">IF(O4&gt;0,MAX(Loyalty_Inputs!$C$16,O4/Loyalty_Inputs!$C$53),0)</f>
        <v>0.5</v>
      </c>
      <c r="P5" s="18" t="n">
        <f aca="false">IF(P4&gt;0,MAX(Loyalty_Inputs!$C$16,P4/Loyalty_Inputs!$C$53),0)</f>
        <v>0.666666666666667</v>
      </c>
      <c r="Q5" s="18" t="n">
        <f aca="false">IF(Q4&gt;0,MAX(Loyalty_Inputs!$C$16,Q4/Loyalty_Inputs!$C$53),0)</f>
        <v>0.833333333333333</v>
      </c>
      <c r="R5" s="18" t="n">
        <f aca="false">IF(R4&gt;0,MAX(Loyalty_Inputs!$C$16,R4/Loyalty_Inputs!$C$53),0)</f>
        <v>1</v>
      </c>
      <c r="S5" s="18" t="n">
        <f aca="false">IF(S4&gt;0,MAX(Loyalty_Inputs!$C$16,S4/Loyalty_Inputs!$C$53),0)</f>
        <v>1</v>
      </c>
      <c r="T5" s="18" t="n">
        <f aca="false">IF(T4&gt;0,MAX(Loyalty_Inputs!$C$16,T4/Loyalty_Inputs!$C$53),0)</f>
        <v>1</v>
      </c>
      <c r="U5" s="18" t="n">
        <f aca="false">IF(U4&gt;0,MAX(Loyalty_Inputs!$C$16,U4/Loyalty_Inputs!$C$53),0)</f>
        <v>1</v>
      </c>
      <c r="V5" s="18" t="n">
        <f aca="false">IF(V4&gt;0,MAX(Loyalty_Inputs!$C$16,V4/Loyalty_Inputs!$C$53),0)</f>
        <v>1</v>
      </c>
      <c r="W5" s="18" t="n">
        <f aca="false">IF(W4&gt;0,MAX(Loyalty_Inputs!$C$16,W4/Loyalty_Inputs!$C$53),0)</f>
        <v>1</v>
      </c>
      <c r="X5" s="18" t="n">
        <f aca="false">IF(X4&gt;0,MAX(Loyalty_Inputs!$C$16,X4/Loyalty_Inputs!$C$53),0)</f>
        <v>1</v>
      </c>
      <c r="Y5" s="18" t="n">
        <f aca="false">IF(Y4&gt;0,MAX(Loyalty_Inputs!$C$16,Y4/Loyalty_Inputs!$C$53),0)</f>
        <v>1</v>
      </c>
      <c r="Z5" s="18" t="n">
        <f aca="false">IF(Z4&gt;0,MAX(Loyalty_Inputs!$C$16,Z4/Loyalty_Inputs!$C$53),0)</f>
        <v>1</v>
      </c>
      <c r="AA5" s="18" t="n">
        <f aca="false">IF(AA4&gt;0,MAX(Loyalty_Inputs!$C$16,AA4/Loyalty_Inputs!$C$53),0)</f>
        <v>1</v>
      </c>
      <c r="AB5" s="18" t="n">
        <f aca="false">IF(AB4&gt;0,MAX(Loyalty_Inputs!$C$16,AB4/Loyalty_Inputs!$C$53),0)</f>
        <v>1</v>
      </c>
      <c r="AC5" s="18" t="n">
        <f aca="false">IF(AC4&gt;0,MAX(Loyalty_Inputs!$C$16,AC4/Loyalty_Inputs!$C$53),0)</f>
        <v>1</v>
      </c>
      <c r="AD5" s="18" t="n">
        <f aca="false">IF(AD4&gt;0,MAX(Loyalty_Inputs!$C$16,AD4/Loyalty_Inputs!$C$53),0)</f>
        <v>1</v>
      </c>
      <c r="AE5" s="18" t="n">
        <f aca="false">IF(AE4&gt;0,MAX(Loyalty_Inputs!$C$16,AE4/Loyalty_Inputs!$C$53),0)</f>
        <v>1</v>
      </c>
      <c r="AF5" s="18" t="n">
        <f aca="false">IF(AF4&gt;0,MAX(Loyalty_Inputs!$C$16,AF4/Loyalty_Inputs!$C$53),0)</f>
        <v>1</v>
      </c>
      <c r="AG5" s="18" t="n">
        <f aca="false">IF(AG4&gt;0,MAX(Loyalty_Inputs!$C$16,AG4/Loyalty_Inputs!$C$53),0)</f>
        <v>1</v>
      </c>
      <c r="AH5" s="18" t="n">
        <f aca="false">IF(AH4&gt;0,MAX(Loyalty_Inputs!$C$16,AH4/Loyalty_Inputs!$C$53),0)</f>
        <v>1</v>
      </c>
      <c r="AI5" s="18" t="n">
        <f aca="false">IF(AI4&gt;0,MAX(Loyalty_Inputs!$C$16,AI4/Loyalty_Inputs!$C$53),0)</f>
        <v>1</v>
      </c>
      <c r="AJ5" s="18" t="n">
        <f aca="false">IF(AJ4&gt;0,MAX(Loyalty_Inputs!$C$16,AJ4/Loyalty_Inputs!$C$53),0)</f>
        <v>1</v>
      </c>
      <c r="AK5" s="18" t="n">
        <f aca="false">IF(AK4&gt;0,MAX(Loyalty_Inputs!$C$16,AK4/Loyalty_Inputs!$C$53),0)</f>
        <v>1</v>
      </c>
      <c r="AL5" s="18" t="n">
        <f aca="false">IF(AL4&gt;0,MAX(Loyalty_Inputs!$C$16,AL4/Loyalty_Inputs!$C$53),0)</f>
        <v>1</v>
      </c>
    </row>
    <row r="6" customFormat="false" ht="15" hidden="false" customHeight="false" outlineLevel="0" collapsed="false">
      <c r="A6" s="2" t="s">
        <v>422</v>
      </c>
      <c r="B6" s="4" t="s">
        <v>423</v>
      </c>
      <c r="C6" s="8" t="n">
        <f aca="false">IF(AND(C$3&gt;=2,C$3&lt;Loyalty_Inputs!$C$8),Loyalty_Inputs!$C$17/(Loyalty_Inputs!$C$8-2),0)+IF(AND(C$3&gt;=Loyalty_Inputs!$C$8+Loyalty_Inputs!$C$9,C$3&lt;Loyalty_Inputs!$C$10),Loyalty_Inputs!$C$18/(Loyalty_Inputs!$C$10-Loyalty_Inputs!$C$8-Loyalty_Inputs!$C$9),0)</f>
        <v>0</v>
      </c>
      <c r="D6" s="8" t="n">
        <f aca="false">IF(AND(D$3&gt;=2,D$3&lt;Loyalty_Inputs!$C$8),Loyalty_Inputs!$C$17/(Loyalty_Inputs!$C$8-2),0)+IF(AND(D$3&gt;=Loyalty_Inputs!$C$8+Loyalty_Inputs!$C$9,D$3&lt;Loyalty_Inputs!$C$10),Loyalty_Inputs!$C$18/(Loyalty_Inputs!$C$10-Loyalty_Inputs!$C$8-Loyalty_Inputs!$C$9),0)</f>
        <v>600000000</v>
      </c>
      <c r="E6" s="8" t="n">
        <f aca="false">IF(AND(E$3&gt;=2,E$3&lt;Loyalty_Inputs!$C$8),Loyalty_Inputs!$C$17/(Loyalty_Inputs!$C$8-2),0)+IF(AND(E$3&gt;=Loyalty_Inputs!$C$8+Loyalty_Inputs!$C$9,E$3&lt;Loyalty_Inputs!$C$10),Loyalty_Inputs!$C$18/(Loyalty_Inputs!$C$10-Loyalty_Inputs!$C$8-Loyalty_Inputs!$C$9),0)</f>
        <v>600000000</v>
      </c>
      <c r="F6" s="8" t="n">
        <f aca="false">IF(AND(F$3&gt;=2,F$3&lt;Loyalty_Inputs!$C$8),Loyalty_Inputs!$C$17/(Loyalty_Inputs!$C$8-2),0)+IF(AND(F$3&gt;=Loyalty_Inputs!$C$8+Loyalty_Inputs!$C$9,F$3&lt;Loyalty_Inputs!$C$10),Loyalty_Inputs!$C$18/(Loyalty_Inputs!$C$10-Loyalty_Inputs!$C$8-Loyalty_Inputs!$C$9),0)</f>
        <v>600000000</v>
      </c>
      <c r="G6" s="8" t="n">
        <f aca="false">IF(AND(G$3&gt;=2,G$3&lt;Loyalty_Inputs!$C$8),Loyalty_Inputs!$C$17/(Loyalty_Inputs!$C$8-2),0)+IF(AND(G$3&gt;=Loyalty_Inputs!$C$8+Loyalty_Inputs!$C$9,G$3&lt;Loyalty_Inputs!$C$10),Loyalty_Inputs!$C$18/(Loyalty_Inputs!$C$10-Loyalty_Inputs!$C$8-Loyalty_Inputs!$C$9),0)</f>
        <v>0</v>
      </c>
      <c r="H6" s="8" t="n">
        <f aca="false">IF(AND(H$3&gt;=2,H$3&lt;Loyalty_Inputs!$C$8),Loyalty_Inputs!$C$17/(Loyalty_Inputs!$C$8-2),0)+IF(AND(H$3&gt;=Loyalty_Inputs!$C$8+Loyalty_Inputs!$C$9,H$3&lt;Loyalty_Inputs!$C$10),Loyalty_Inputs!$C$18/(Loyalty_Inputs!$C$10-Loyalty_Inputs!$C$8-Loyalty_Inputs!$C$9),0)</f>
        <v>0</v>
      </c>
      <c r="I6" s="8" t="n">
        <f aca="false">IF(AND(I$3&gt;=2,I$3&lt;Loyalty_Inputs!$C$8),Loyalty_Inputs!$C$17/(Loyalty_Inputs!$C$8-2),0)+IF(AND(I$3&gt;=Loyalty_Inputs!$C$8+Loyalty_Inputs!$C$9,I$3&lt;Loyalty_Inputs!$C$10),Loyalty_Inputs!$C$18/(Loyalty_Inputs!$C$10-Loyalty_Inputs!$C$8-Loyalty_Inputs!$C$9),0)</f>
        <v>0</v>
      </c>
      <c r="J6" s="8" t="n">
        <f aca="false">IF(AND(J$3&gt;=2,J$3&lt;Loyalty_Inputs!$C$8),Loyalty_Inputs!$C$17/(Loyalty_Inputs!$C$8-2),0)+IF(AND(J$3&gt;=Loyalty_Inputs!$C$8+Loyalty_Inputs!$C$9,J$3&lt;Loyalty_Inputs!$C$10),Loyalty_Inputs!$C$18/(Loyalty_Inputs!$C$10-Loyalty_Inputs!$C$8-Loyalty_Inputs!$C$9),0)</f>
        <v>1000000000</v>
      </c>
      <c r="K6" s="8" t="n">
        <f aca="false">IF(AND(K$3&gt;=2,K$3&lt;Loyalty_Inputs!$C$8),Loyalty_Inputs!$C$17/(Loyalty_Inputs!$C$8-2),0)+IF(AND(K$3&gt;=Loyalty_Inputs!$C$8+Loyalty_Inputs!$C$9,K$3&lt;Loyalty_Inputs!$C$10),Loyalty_Inputs!$C$18/(Loyalty_Inputs!$C$10-Loyalty_Inputs!$C$8-Loyalty_Inputs!$C$9),0)</f>
        <v>1000000000</v>
      </c>
      <c r="L6" s="8" t="n">
        <f aca="false">IF(AND(L$3&gt;=2,L$3&lt;Loyalty_Inputs!$C$8),Loyalty_Inputs!$C$17/(Loyalty_Inputs!$C$8-2),0)+IF(AND(L$3&gt;=Loyalty_Inputs!$C$8+Loyalty_Inputs!$C$9,L$3&lt;Loyalty_Inputs!$C$10),Loyalty_Inputs!$C$18/(Loyalty_Inputs!$C$10-Loyalty_Inputs!$C$8-Loyalty_Inputs!$C$9),0)</f>
        <v>1000000000</v>
      </c>
      <c r="M6" s="8" t="n">
        <f aca="false">IF(AND(M$3&gt;=2,M$3&lt;Loyalty_Inputs!$C$8),Loyalty_Inputs!$C$17/(Loyalty_Inputs!$C$8-2),0)+IF(AND(M$3&gt;=Loyalty_Inputs!$C$8+Loyalty_Inputs!$C$9,M$3&lt;Loyalty_Inputs!$C$10),Loyalty_Inputs!$C$18/(Loyalty_Inputs!$C$10-Loyalty_Inputs!$C$8-Loyalty_Inputs!$C$9),0)</f>
        <v>0</v>
      </c>
      <c r="N6" s="8" t="n">
        <f aca="false">IF(AND(N$3&gt;=2,N$3&lt;Loyalty_Inputs!$C$8),Loyalty_Inputs!$C$17/(Loyalty_Inputs!$C$8-2),0)+IF(AND(N$3&gt;=Loyalty_Inputs!$C$8+Loyalty_Inputs!$C$9,N$3&lt;Loyalty_Inputs!$C$10),Loyalty_Inputs!$C$18/(Loyalty_Inputs!$C$10-Loyalty_Inputs!$C$8-Loyalty_Inputs!$C$9),0)</f>
        <v>0</v>
      </c>
      <c r="O6" s="8" t="n">
        <f aca="false">IF(AND(O$3&gt;=2,O$3&lt;Loyalty_Inputs!$C$8),Loyalty_Inputs!$C$17/(Loyalty_Inputs!$C$8-2),0)+IF(AND(O$3&gt;=Loyalty_Inputs!$C$8+Loyalty_Inputs!$C$9,O$3&lt;Loyalty_Inputs!$C$10),Loyalty_Inputs!$C$18/(Loyalty_Inputs!$C$10-Loyalty_Inputs!$C$8-Loyalty_Inputs!$C$9),0)</f>
        <v>0</v>
      </c>
      <c r="P6" s="8" t="n">
        <f aca="false">IF(AND(P$3&gt;=2,P$3&lt;Loyalty_Inputs!$C$8),Loyalty_Inputs!$C$17/(Loyalty_Inputs!$C$8-2),0)+IF(AND(P$3&gt;=Loyalty_Inputs!$C$8+Loyalty_Inputs!$C$9,P$3&lt;Loyalty_Inputs!$C$10),Loyalty_Inputs!$C$18/(Loyalty_Inputs!$C$10-Loyalty_Inputs!$C$8-Loyalty_Inputs!$C$9),0)</f>
        <v>0</v>
      </c>
      <c r="Q6" s="8" t="n">
        <f aca="false">IF(AND(Q$3&gt;=2,Q$3&lt;Loyalty_Inputs!$C$8),Loyalty_Inputs!$C$17/(Loyalty_Inputs!$C$8-2),0)+IF(AND(Q$3&gt;=Loyalty_Inputs!$C$8+Loyalty_Inputs!$C$9,Q$3&lt;Loyalty_Inputs!$C$10),Loyalty_Inputs!$C$18/(Loyalty_Inputs!$C$10-Loyalty_Inputs!$C$8-Loyalty_Inputs!$C$9),0)</f>
        <v>0</v>
      </c>
      <c r="R6" s="8" t="n">
        <f aca="false">IF(AND(R$3&gt;=2,R$3&lt;Loyalty_Inputs!$C$8),Loyalty_Inputs!$C$17/(Loyalty_Inputs!$C$8-2),0)+IF(AND(R$3&gt;=Loyalty_Inputs!$C$8+Loyalty_Inputs!$C$9,R$3&lt;Loyalty_Inputs!$C$10),Loyalty_Inputs!$C$18/(Loyalty_Inputs!$C$10-Loyalty_Inputs!$C$8-Loyalty_Inputs!$C$9),0)</f>
        <v>0</v>
      </c>
      <c r="S6" s="8" t="n">
        <f aca="false">IF(AND(S$3&gt;=2,S$3&lt;Loyalty_Inputs!$C$8),Loyalty_Inputs!$C$17/(Loyalty_Inputs!$C$8-2),0)+IF(AND(S$3&gt;=Loyalty_Inputs!$C$8+Loyalty_Inputs!$C$9,S$3&lt;Loyalty_Inputs!$C$10),Loyalty_Inputs!$C$18/(Loyalty_Inputs!$C$10-Loyalty_Inputs!$C$8-Loyalty_Inputs!$C$9),0)</f>
        <v>0</v>
      </c>
      <c r="T6" s="8" t="n">
        <f aca="false">IF(AND(T$3&gt;=2,T$3&lt;Loyalty_Inputs!$C$8),Loyalty_Inputs!$C$17/(Loyalty_Inputs!$C$8-2),0)+IF(AND(T$3&gt;=Loyalty_Inputs!$C$8+Loyalty_Inputs!$C$9,T$3&lt;Loyalty_Inputs!$C$10),Loyalty_Inputs!$C$18/(Loyalty_Inputs!$C$10-Loyalty_Inputs!$C$8-Loyalty_Inputs!$C$9),0)</f>
        <v>0</v>
      </c>
      <c r="U6" s="8" t="n">
        <f aca="false">IF(AND(U$3&gt;=2,U$3&lt;Loyalty_Inputs!$C$8),Loyalty_Inputs!$C$17/(Loyalty_Inputs!$C$8-2),0)+IF(AND(U$3&gt;=Loyalty_Inputs!$C$8+Loyalty_Inputs!$C$9,U$3&lt;Loyalty_Inputs!$C$10),Loyalty_Inputs!$C$18/(Loyalty_Inputs!$C$10-Loyalty_Inputs!$C$8-Loyalty_Inputs!$C$9),0)</f>
        <v>0</v>
      </c>
      <c r="V6" s="8" t="n">
        <f aca="false">IF(AND(V$3&gt;=2,V$3&lt;Loyalty_Inputs!$C$8),Loyalty_Inputs!$C$17/(Loyalty_Inputs!$C$8-2),0)+IF(AND(V$3&gt;=Loyalty_Inputs!$C$8+Loyalty_Inputs!$C$9,V$3&lt;Loyalty_Inputs!$C$10),Loyalty_Inputs!$C$18/(Loyalty_Inputs!$C$10-Loyalty_Inputs!$C$8-Loyalty_Inputs!$C$9),0)</f>
        <v>0</v>
      </c>
      <c r="W6" s="8" t="n">
        <f aca="false">IF(AND(W$3&gt;=2,W$3&lt;Loyalty_Inputs!$C$8),Loyalty_Inputs!$C$17/(Loyalty_Inputs!$C$8-2),0)+IF(AND(W$3&gt;=Loyalty_Inputs!$C$8+Loyalty_Inputs!$C$9,W$3&lt;Loyalty_Inputs!$C$10),Loyalty_Inputs!$C$18/(Loyalty_Inputs!$C$10-Loyalty_Inputs!$C$8-Loyalty_Inputs!$C$9),0)</f>
        <v>0</v>
      </c>
      <c r="X6" s="8" t="n">
        <f aca="false">IF(AND(X$3&gt;=2,X$3&lt;Loyalty_Inputs!$C$8),Loyalty_Inputs!$C$17/(Loyalty_Inputs!$C$8-2),0)+IF(AND(X$3&gt;=Loyalty_Inputs!$C$8+Loyalty_Inputs!$C$9,X$3&lt;Loyalty_Inputs!$C$10),Loyalty_Inputs!$C$18/(Loyalty_Inputs!$C$10-Loyalty_Inputs!$C$8-Loyalty_Inputs!$C$9),0)</f>
        <v>0</v>
      </c>
      <c r="Y6" s="8" t="n">
        <f aca="false">IF(AND(Y$3&gt;=2,Y$3&lt;Loyalty_Inputs!$C$8),Loyalty_Inputs!$C$17/(Loyalty_Inputs!$C$8-2),0)+IF(AND(Y$3&gt;=Loyalty_Inputs!$C$8+Loyalty_Inputs!$C$9,Y$3&lt;Loyalty_Inputs!$C$10),Loyalty_Inputs!$C$18/(Loyalty_Inputs!$C$10-Loyalty_Inputs!$C$8-Loyalty_Inputs!$C$9),0)</f>
        <v>0</v>
      </c>
      <c r="Z6" s="8" t="n">
        <f aca="false">IF(AND(Z$3&gt;=2,Z$3&lt;Loyalty_Inputs!$C$8),Loyalty_Inputs!$C$17/(Loyalty_Inputs!$C$8-2),0)+IF(AND(Z$3&gt;=Loyalty_Inputs!$C$8+Loyalty_Inputs!$C$9,Z$3&lt;Loyalty_Inputs!$C$10),Loyalty_Inputs!$C$18/(Loyalty_Inputs!$C$10-Loyalty_Inputs!$C$8-Loyalty_Inputs!$C$9),0)</f>
        <v>0</v>
      </c>
      <c r="AA6" s="8" t="n">
        <f aca="false">IF(AND(AA$3&gt;=2,AA$3&lt;Loyalty_Inputs!$C$8),Loyalty_Inputs!$C$17/(Loyalty_Inputs!$C$8-2),0)+IF(AND(AA$3&gt;=Loyalty_Inputs!$C$8+Loyalty_Inputs!$C$9,AA$3&lt;Loyalty_Inputs!$C$10),Loyalty_Inputs!$C$18/(Loyalty_Inputs!$C$10-Loyalty_Inputs!$C$8-Loyalty_Inputs!$C$9),0)</f>
        <v>0</v>
      </c>
      <c r="AB6" s="8" t="n">
        <f aca="false">IF(AND(AB$3&gt;=2,AB$3&lt;Loyalty_Inputs!$C$8),Loyalty_Inputs!$C$17/(Loyalty_Inputs!$C$8-2),0)+IF(AND(AB$3&gt;=Loyalty_Inputs!$C$8+Loyalty_Inputs!$C$9,AB$3&lt;Loyalty_Inputs!$C$10),Loyalty_Inputs!$C$18/(Loyalty_Inputs!$C$10-Loyalty_Inputs!$C$8-Loyalty_Inputs!$C$9),0)</f>
        <v>0</v>
      </c>
      <c r="AC6" s="8" t="n">
        <f aca="false">IF(AND(AC$3&gt;=2,AC$3&lt;Loyalty_Inputs!$C$8),Loyalty_Inputs!$C$17/(Loyalty_Inputs!$C$8-2),0)+IF(AND(AC$3&gt;=Loyalty_Inputs!$C$8+Loyalty_Inputs!$C$9,AC$3&lt;Loyalty_Inputs!$C$10),Loyalty_Inputs!$C$18/(Loyalty_Inputs!$C$10-Loyalty_Inputs!$C$8-Loyalty_Inputs!$C$9),0)</f>
        <v>0</v>
      </c>
      <c r="AD6" s="8" t="n">
        <f aca="false">IF(AND(AD$3&gt;=2,AD$3&lt;Loyalty_Inputs!$C$8),Loyalty_Inputs!$C$17/(Loyalty_Inputs!$C$8-2),0)+IF(AND(AD$3&gt;=Loyalty_Inputs!$C$8+Loyalty_Inputs!$C$9,AD$3&lt;Loyalty_Inputs!$C$10),Loyalty_Inputs!$C$18/(Loyalty_Inputs!$C$10-Loyalty_Inputs!$C$8-Loyalty_Inputs!$C$9),0)</f>
        <v>0</v>
      </c>
      <c r="AE6" s="8" t="n">
        <f aca="false">IF(AND(AE$3&gt;=2,AE$3&lt;Loyalty_Inputs!$C$8),Loyalty_Inputs!$C$17/(Loyalty_Inputs!$C$8-2),0)+IF(AND(AE$3&gt;=Loyalty_Inputs!$C$8+Loyalty_Inputs!$C$9,AE$3&lt;Loyalty_Inputs!$C$10),Loyalty_Inputs!$C$18/(Loyalty_Inputs!$C$10-Loyalty_Inputs!$C$8-Loyalty_Inputs!$C$9),0)</f>
        <v>0</v>
      </c>
      <c r="AF6" s="8" t="n">
        <f aca="false">IF(AND(AF$3&gt;=2,AF$3&lt;Loyalty_Inputs!$C$8),Loyalty_Inputs!$C$17/(Loyalty_Inputs!$C$8-2),0)+IF(AND(AF$3&gt;=Loyalty_Inputs!$C$8+Loyalty_Inputs!$C$9,AF$3&lt;Loyalty_Inputs!$C$10),Loyalty_Inputs!$C$18/(Loyalty_Inputs!$C$10-Loyalty_Inputs!$C$8-Loyalty_Inputs!$C$9),0)</f>
        <v>0</v>
      </c>
      <c r="AG6" s="8" t="n">
        <f aca="false">IF(AND(AG$3&gt;=2,AG$3&lt;Loyalty_Inputs!$C$8),Loyalty_Inputs!$C$17/(Loyalty_Inputs!$C$8-2),0)+IF(AND(AG$3&gt;=Loyalty_Inputs!$C$8+Loyalty_Inputs!$C$9,AG$3&lt;Loyalty_Inputs!$C$10),Loyalty_Inputs!$C$18/(Loyalty_Inputs!$C$10-Loyalty_Inputs!$C$8-Loyalty_Inputs!$C$9),0)</f>
        <v>0</v>
      </c>
      <c r="AH6" s="8" t="n">
        <f aca="false">IF(AND(AH$3&gt;=2,AH$3&lt;Loyalty_Inputs!$C$8),Loyalty_Inputs!$C$17/(Loyalty_Inputs!$C$8-2),0)+IF(AND(AH$3&gt;=Loyalty_Inputs!$C$8+Loyalty_Inputs!$C$9,AH$3&lt;Loyalty_Inputs!$C$10),Loyalty_Inputs!$C$18/(Loyalty_Inputs!$C$10-Loyalty_Inputs!$C$8-Loyalty_Inputs!$C$9),0)</f>
        <v>0</v>
      </c>
      <c r="AI6" s="8" t="n">
        <f aca="false">IF(AND(AI$3&gt;=2,AI$3&lt;Loyalty_Inputs!$C$8),Loyalty_Inputs!$C$17/(Loyalty_Inputs!$C$8-2),0)+IF(AND(AI$3&gt;=Loyalty_Inputs!$C$8+Loyalty_Inputs!$C$9,AI$3&lt;Loyalty_Inputs!$C$10),Loyalty_Inputs!$C$18/(Loyalty_Inputs!$C$10-Loyalty_Inputs!$C$8-Loyalty_Inputs!$C$9),0)</f>
        <v>0</v>
      </c>
      <c r="AJ6" s="8" t="n">
        <f aca="false">IF(AND(AJ$3&gt;=2,AJ$3&lt;Loyalty_Inputs!$C$8),Loyalty_Inputs!$C$17/(Loyalty_Inputs!$C$8-2),0)+IF(AND(AJ$3&gt;=Loyalty_Inputs!$C$8+Loyalty_Inputs!$C$9,AJ$3&lt;Loyalty_Inputs!$C$10),Loyalty_Inputs!$C$18/(Loyalty_Inputs!$C$10-Loyalty_Inputs!$C$8-Loyalty_Inputs!$C$9),0)</f>
        <v>0</v>
      </c>
      <c r="AK6" s="8" t="n">
        <f aca="false">IF(AND(AK$3&gt;=2,AK$3&lt;Loyalty_Inputs!$C$8),Loyalty_Inputs!$C$17/(Loyalty_Inputs!$C$8-2),0)+IF(AND(AK$3&gt;=Loyalty_Inputs!$C$8+Loyalty_Inputs!$C$9,AK$3&lt;Loyalty_Inputs!$C$10),Loyalty_Inputs!$C$18/(Loyalty_Inputs!$C$10-Loyalty_Inputs!$C$8-Loyalty_Inputs!$C$9),0)</f>
        <v>0</v>
      </c>
      <c r="AL6" s="8" t="n">
        <f aca="false">IF(AND(AL$3&gt;=2,AL$3&lt;Loyalty_Inputs!$C$8),Loyalty_Inputs!$C$17/(Loyalty_Inputs!$C$8-2),0)+IF(AND(AL$3&gt;=Loyalty_Inputs!$C$8+Loyalty_Inputs!$C$9,AL$3&lt;Loyalty_Inputs!$C$10),Loyalty_Inputs!$C$18/(Loyalty_Inputs!$C$10-Loyalty_Inputs!$C$8-Loyalty_Inputs!$C$9),0)</f>
        <v>0</v>
      </c>
    </row>
    <row r="7" customFormat="false" ht="15" hidden="false" customHeight="false" outlineLevel="0" collapsed="false">
      <c r="A7" s="2" t="s">
        <v>424</v>
      </c>
      <c r="B7" s="4" t="s">
        <v>425</v>
      </c>
      <c r="C7" s="8" t="n">
        <f aca="false">IF(AND(C$3&gt;=Loyalty_Inputs!$C$8,C$3&lt;Loyalty_Inputs!$C$10),Loyalty_Inputs!$C$19,0)+IF(C$3&gt;=Loyalty_Inputs!$C$10,Loyalty_Inputs!$C$20,0)</f>
        <v>0</v>
      </c>
      <c r="D7" s="8" t="n">
        <f aca="false">IF(AND(D$3&gt;=Loyalty_Inputs!$C$8,D$3&lt;Loyalty_Inputs!$C$10),Loyalty_Inputs!$C$19,0)+IF(D$3&gt;=Loyalty_Inputs!$C$10,Loyalty_Inputs!$C$20,0)</f>
        <v>0</v>
      </c>
      <c r="E7" s="8" t="n">
        <f aca="false">IF(AND(E$3&gt;=Loyalty_Inputs!$C$8,E$3&lt;Loyalty_Inputs!$C$10),Loyalty_Inputs!$C$19,0)+IF(E$3&gt;=Loyalty_Inputs!$C$10,Loyalty_Inputs!$C$20,0)</f>
        <v>0</v>
      </c>
      <c r="F7" s="8" t="n">
        <f aca="false">IF(AND(F$3&gt;=Loyalty_Inputs!$C$8,F$3&lt;Loyalty_Inputs!$C$10),Loyalty_Inputs!$C$19,0)+IF(F$3&gt;=Loyalty_Inputs!$C$10,Loyalty_Inputs!$C$20,0)</f>
        <v>0</v>
      </c>
      <c r="G7" s="8" t="n">
        <f aca="false">IF(AND(G$3&gt;=Loyalty_Inputs!$C$8,G$3&lt;Loyalty_Inputs!$C$10),Loyalty_Inputs!$C$19,0)+IF(G$3&gt;=Loyalty_Inputs!$C$10,Loyalty_Inputs!$C$20,0)</f>
        <v>120000000</v>
      </c>
      <c r="H7" s="8" t="n">
        <f aca="false">IF(AND(H$3&gt;=Loyalty_Inputs!$C$8,H$3&lt;Loyalty_Inputs!$C$10),Loyalty_Inputs!$C$19,0)+IF(H$3&gt;=Loyalty_Inputs!$C$10,Loyalty_Inputs!$C$20,0)</f>
        <v>120000000</v>
      </c>
      <c r="I7" s="8" t="n">
        <f aca="false">IF(AND(I$3&gt;=Loyalty_Inputs!$C$8,I$3&lt;Loyalty_Inputs!$C$10),Loyalty_Inputs!$C$19,0)+IF(I$3&gt;=Loyalty_Inputs!$C$10,Loyalty_Inputs!$C$20,0)</f>
        <v>120000000</v>
      </c>
      <c r="J7" s="8" t="n">
        <f aca="false">IF(AND(J$3&gt;=Loyalty_Inputs!$C$8,J$3&lt;Loyalty_Inputs!$C$10),Loyalty_Inputs!$C$19,0)+IF(J$3&gt;=Loyalty_Inputs!$C$10,Loyalty_Inputs!$C$20,0)</f>
        <v>120000000</v>
      </c>
      <c r="K7" s="8" t="n">
        <f aca="false">IF(AND(K$3&gt;=Loyalty_Inputs!$C$8,K$3&lt;Loyalty_Inputs!$C$10),Loyalty_Inputs!$C$19,0)+IF(K$3&gt;=Loyalty_Inputs!$C$10,Loyalty_Inputs!$C$20,0)</f>
        <v>120000000</v>
      </c>
      <c r="L7" s="8" t="n">
        <f aca="false">IF(AND(L$3&gt;=Loyalty_Inputs!$C$8,L$3&lt;Loyalty_Inputs!$C$10),Loyalty_Inputs!$C$19,0)+IF(L$3&gt;=Loyalty_Inputs!$C$10,Loyalty_Inputs!$C$20,0)</f>
        <v>120000000</v>
      </c>
      <c r="M7" s="8" t="n">
        <f aca="false">IF(AND(M$3&gt;=Loyalty_Inputs!$C$8,M$3&lt;Loyalty_Inputs!$C$10),Loyalty_Inputs!$C$19,0)+IF(M$3&gt;=Loyalty_Inputs!$C$10,Loyalty_Inputs!$C$20,0)</f>
        <v>250000000</v>
      </c>
      <c r="N7" s="8" t="n">
        <f aca="false">IF(AND(N$3&gt;=Loyalty_Inputs!$C$8,N$3&lt;Loyalty_Inputs!$C$10),Loyalty_Inputs!$C$19,0)+IF(N$3&gt;=Loyalty_Inputs!$C$10,Loyalty_Inputs!$C$20,0)</f>
        <v>250000000</v>
      </c>
      <c r="O7" s="8" t="n">
        <f aca="false">IF(AND(O$3&gt;=Loyalty_Inputs!$C$8,O$3&lt;Loyalty_Inputs!$C$10),Loyalty_Inputs!$C$19,0)+IF(O$3&gt;=Loyalty_Inputs!$C$10,Loyalty_Inputs!$C$20,0)</f>
        <v>250000000</v>
      </c>
      <c r="P7" s="8" t="n">
        <f aca="false">IF(AND(P$3&gt;=Loyalty_Inputs!$C$8,P$3&lt;Loyalty_Inputs!$C$10),Loyalty_Inputs!$C$19,0)+IF(P$3&gt;=Loyalty_Inputs!$C$10,Loyalty_Inputs!$C$20,0)</f>
        <v>250000000</v>
      </c>
      <c r="Q7" s="8" t="n">
        <f aca="false">IF(AND(Q$3&gt;=Loyalty_Inputs!$C$8,Q$3&lt;Loyalty_Inputs!$C$10),Loyalty_Inputs!$C$19,0)+IF(Q$3&gt;=Loyalty_Inputs!$C$10,Loyalty_Inputs!$C$20,0)</f>
        <v>250000000</v>
      </c>
      <c r="R7" s="8" t="n">
        <f aca="false">IF(AND(R$3&gt;=Loyalty_Inputs!$C$8,R$3&lt;Loyalty_Inputs!$C$10),Loyalty_Inputs!$C$19,0)+IF(R$3&gt;=Loyalty_Inputs!$C$10,Loyalty_Inputs!$C$20,0)</f>
        <v>250000000</v>
      </c>
      <c r="S7" s="8" t="n">
        <f aca="false">IF(AND(S$3&gt;=Loyalty_Inputs!$C$8,S$3&lt;Loyalty_Inputs!$C$10),Loyalty_Inputs!$C$19,0)+IF(S$3&gt;=Loyalty_Inputs!$C$10,Loyalty_Inputs!$C$20,0)</f>
        <v>250000000</v>
      </c>
      <c r="T7" s="8" t="n">
        <f aca="false">IF(AND(T$3&gt;=Loyalty_Inputs!$C$8,T$3&lt;Loyalty_Inputs!$C$10),Loyalty_Inputs!$C$19,0)+IF(T$3&gt;=Loyalty_Inputs!$C$10,Loyalty_Inputs!$C$20,0)</f>
        <v>250000000</v>
      </c>
      <c r="U7" s="8" t="n">
        <f aca="false">IF(AND(U$3&gt;=Loyalty_Inputs!$C$8,U$3&lt;Loyalty_Inputs!$C$10),Loyalty_Inputs!$C$19,0)+IF(U$3&gt;=Loyalty_Inputs!$C$10,Loyalty_Inputs!$C$20,0)</f>
        <v>250000000</v>
      </c>
      <c r="V7" s="8" t="n">
        <f aca="false">IF(AND(V$3&gt;=Loyalty_Inputs!$C$8,V$3&lt;Loyalty_Inputs!$C$10),Loyalty_Inputs!$C$19,0)+IF(V$3&gt;=Loyalty_Inputs!$C$10,Loyalty_Inputs!$C$20,0)</f>
        <v>250000000</v>
      </c>
      <c r="W7" s="8" t="n">
        <f aca="false">IF(AND(W$3&gt;=Loyalty_Inputs!$C$8,W$3&lt;Loyalty_Inputs!$C$10),Loyalty_Inputs!$C$19,0)+IF(W$3&gt;=Loyalty_Inputs!$C$10,Loyalty_Inputs!$C$20,0)</f>
        <v>250000000</v>
      </c>
      <c r="X7" s="8" t="n">
        <f aca="false">IF(AND(X$3&gt;=Loyalty_Inputs!$C$8,X$3&lt;Loyalty_Inputs!$C$10),Loyalty_Inputs!$C$19,0)+IF(X$3&gt;=Loyalty_Inputs!$C$10,Loyalty_Inputs!$C$20,0)</f>
        <v>250000000</v>
      </c>
      <c r="Y7" s="8" t="n">
        <f aca="false">IF(AND(Y$3&gt;=Loyalty_Inputs!$C$8,Y$3&lt;Loyalty_Inputs!$C$10),Loyalty_Inputs!$C$19,0)+IF(Y$3&gt;=Loyalty_Inputs!$C$10,Loyalty_Inputs!$C$20,0)</f>
        <v>250000000</v>
      </c>
      <c r="Z7" s="8" t="n">
        <f aca="false">IF(AND(Z$3&gt;=Loyalty_Inputs!$C$8,Z$3&lt;Loyalty_Inputs!$C$10),Loyalty_Inputs!$C$19,0)+IF(Z$3&gt;=Loyalty_Inputs!$C$10,Loyalty_Inputs!$C$20,0)</f>
        <v>250000000</v>
      </c>
      <c r="AA7" s="8" t="n">
        <f aca="false">IF(AND(AA$3&gt;=Loyalty_Inputs!$C$8,AA$3&lt;Loyalty_Inputs!$C$10),Loyalty_Inputs!$C$19,0)+IF(AA$3&gt;=Loyalty_Inputs!$C$10,Loyalty_Inputs!$C$20,0)</f>
        <v>250000000</v>
      </c>
      <c r="AB7" s="8" t="n">
        <f aca="false">IF(AND(AB$3&gt;=Loyalty_Inputs!$C$8,AB$3&lt;Loyalty_Inputs!$C$10),Loyalty_Inputs!$C$19,0)+IF(AB$3&gt;=Loyalty_Inputs!$C$10,Loyalty_Inputs!$C$20,0)</f>
        <v>250000000</v>
      </c>
      <c r="AC7" s="8" t="n">
        <f aca="false">IF(AND(AC$3&gt;=Loyalty_Inputs!$C$8,AC$3&lt;Loyalty_Inputs!$C$10),Loyalty_Inputs!$C$19,0)+IF(AC$3&gt;=Loyalty_Inputs!$C$10,Loyalty_Inputs!$C$20,0)</f>
        <v>250000000</v>
      </c>
      <c r="AD7" s="8" t="n">
        <f aca="false">IF(AND(AD$3&gt;=Loyalty_Inputs!$C$8,AD$3&lt;Loyalty_Inputs!$C$10),Loyalty_Inputs!$C$19,0)+IF(AD$3&gt;=Loyalty_Inputs!$C$10,Loyalty_Inputs!$C$20,0)</f>
        <v>250000000</v>
      </c>
      <c r="AE7" s="8" t="n">
        <f aca="false">IF(AND(AE$3&gt;=Loyalty_Inputs!$C$8,AE$3&lt;Loyalty_Inputs!$C$10),Loyalty_Inputs!$C$19,0)+IF(AE$3&gt;=Loyalty_Inputs!$C$10,Loyalty_Inputs!$C$20,0)</f>
        <v>250000000</v>
      </c>
      <c r="AF7" s="8" t="n">
        <f aca="false">IF(AND(AF$3&gt;=Loyalty_Inputs!$C$8,AF$3&lt;Loyalty_Inputs!$C$10),Loyalty_Inputs!$C$19,0)+IF(AF$3&gt;=Loyalty_Inputs!$C$10,Loyalty_Inputs!$C$20,0)</f>
        <v>250000000</v>
      </c>
      <c r="AG7" s="8" t="n">
        <f aca="false">IF(AND(AG$3&gt;=Loyalty_Inputs!$C$8,AG$3&lt;Loyalty_Inputs!$C$10),Loyalty_Inputs!$C$19,0)+IF(AG$3&gt;=Loyalty_Inputs!$C$10,Loyalty_Inputs!$C$20,0)</f>
        <v>250000000</v>
      </c>
      <c r="AH7" s="8" t="n">
        <f aca="false">IF(AND(AH$3&gt;=Loyalty_Inputs!$C$8,AH$3&lt;Loyalty_Inputs!$C$10),Loyalty_Inputs!$C$19,0)+IF(AH$3&gt;=Loyalty_Inputs!$C$10,Loyalty_Inputs!$C$20,0)</f>
        <v>250000000</v>
      </c>
      <c r="AI7" s="8" t="n">
        <f aca="false">IF(AND(AI$3&gt;=Loyalty_Inputs!$C$8,AI$3&lt;Loyalty_Inputs!$C$10),Loyalty_Inputs!$C$19,0)+IF(AI$3&gt;=Loyalty_Inputs!$C$10,Loyalty_Inputs!$C$20,0)</f>
        <v>250000000</v>
      </c>
      <c r="AJ7" s="8" t="n">
        <f aca="false">IF(AND(AJ$3&gt;=Loyalty_Inputs!$C$8,AJ$3&lt;Loyalty_Inputs!$C$10),Loyalty_Inputs!$C$19,0)+IF(AJ$3&gt;=Loyalty_Inputs!$C$10,Loyalty_Inputs!$C$20,0)</f>
        <v>250000000</v>
      </c>
      <c r="AK7" s="8" t="n">
        <f aca="false">IF(AND(AK$3&gt;=Loyalty_Inputs!$C$8,AK$3&lt;Loyalty_Inputs!$C$10),Loyalty_Inputs!$C$19,0)+IF(AK$3&gt;=Loyalty_Inputs!$C$10,Loyalty_Inputs!$C$20,0)</f>
        <v>250000000</v>
      </c>
      <c r="AL7" s="8" t="n">
        <f aca="false">IF(AND(AL$3&gt;=Loyalty_Inputs!$C$8,AL$3&lt;Loyalty_Inputs!$C$10),Loyalty_Inputs!$C$19,0)+IF(AL$3&gt;=Loyalty_Inputs!$C$10,Loyalty_Inputs!$C$20,0)</f>
        <v>250000000</v>
      </c>
    </row>
    <row r="8" customFormat="false" ht="15" hidden="false" customHeight="false" outlineLevel="0" collapsed="false">
      <c r="A8" s="2" t="s">
        <v>426</v>
      </c>
      <c r="B8" s="4" t="s">
        <v>427</v>
      </c>
      <c r="C8" s="8" t="n">
        <f aca="false">IF(C$3&gt;=Loyalty_Inputs!$C$10,Loyalty_Inputs!$C$21,0)+IF(OR(C$3=Loyalty_Inputs!$C$10,C$3=Loyalty_Inputs!$C$10+1),Loyalty_Inputs!$C$22/2,0)+IF(C$3=Loyalty_Inputs!$C$8,Loyalty_Inputs!$C$23,0)</f>
        <v>0</v>
      </c>
      <c r="D8" s="8" t="n">
        <f aca="false">IF(D$3&gt;=Loyalty_Inputs!$C$10,Loyalty_Inputs!$C$21,0)+IF(OR(D$3=Loyalty_Inputs!$C$10,D$3=Loyalty_Inputs!$C$10+1),Loyalty_Inputs!$C$22/2,0)+IF(D$3=Loyalty_Inputs!$C$8,Loyalty_Inputs!$C$23,0)</f>
        <v>0</v>
      </c>
      <c r="E8" s="8" t="n">
        <f aca="false">IF(E$3&gt;=Loyalty_Inputs!$C$10,Loyalty_Inputs!$C$21,0)+IF(OR(E$3=Loyalty_Inputs!$C$10,E$3=Loyalty_Inputs!$C$10+1),Loyalty_Inputs!$C$22/2,0)+IF(E$3=Loyalty_Inputs!$C$8,Loyalty_Inputs!$C$23,0)</f>
        <v>0</v>
      </c>
      <c r="F8" s="8" t="n">
        <f aca="false">IF(F$3&gt;=Loyalty_Inputs!$C$10,Loyalty_Inputs!$C$21,0)+IF(OR(F$3=Loyalty_Inputs!$C$10,F$3=Loyalty_Inputs!$C$10+1),Loyalty_Inputs!$C$22/2,0)+IF(F$3=Loyalty_Inputs!$C$8,Loyalty_Inputs!$C$23,0)</f>
        <v>0</v>
      </c>
      <c r="G8" s="8" t="n">
        <f aca="false">IF(G$3&gt;=Loyalty_Inputs!$C$10,Loyalty_Inputs!$C$21,0)+IF(OR(G$3=Loyalty_Inputs!$C$10,G$3=Loyalty_Inputs!$C$10+1),Loyalty_Inputs!$C$22/2,0)+IF(G$3=Loyalty_Inputs!$C$8,Loyalty_Inputs!$C$23,0)</f>
        <v>250000000</v>
      </c>
      <c r="H8" s="8" t="n">
        <f aca="false">IF(H$3&gt;=Loyalty_Inputs!$C$10,Loyalty_Inputs!$C$21,0)+IF(OR(H$3=Loyalty_Inputs!$C$10,H$3=Loyalty_Inputs!$C$10+1),Loyalty_Inputs!$C$22/2,0)+IF(H$3=Loyalty_Inputs!$C$8,Loyalty_Inputs!$C$23,0)</f>
        <v>0</v>
      </c>
      <c r="I8" s="8" t="n">
        <f aca="false">IF(I$3&gt;=Loyalty_Inputs!$C$10,Loyalty_Inputs!$C$21,0)+IF(OR(I$3=Loyalty_Inputs!$C$10,I$3=Loyalty_Inputs!$C$10+1),Loyalty_Inputs!$C$22/2,0)+IF(I$3=Loyalty_Inputs!$C$8,Loyalty_Inputs!$C$23,0)</f>
        <v>0</v>
      </c>
      <c r="J8" s="8" t="n">
        <f aca="false">IF(J$3&gt;=Loyalty_Inputs!$C$10,Loyalty_Inputs!$C$21,0)+IF(OR(J$3=Loyalty_Inputs!$C$10,J$3=Loyalty_Inputs!$C$10+1),Loyalty_Inputs!$C$22/2,0)+IF(J$3=Loyalty_Inputs!$C$8,Loyalty_Inputs!$C$23,0)</f>
        <v>0</v>
      </c>
      <c r="K8" s="8" t="n">
        <f aca="false">IF(K$3&gt;=Loyalty_Inputs!$C$10,Loyalty_Inputs!$C$21,0)+IF(OR(K$3=Loyalty_Inputs!$C$10,K$3=Loyalty_Inputs!$C$10+1),Loyalty_Inputs!$C$22/2,0)+IF(K$3=Loyalty_Inputs!$C$8,Loyalty_Inputs!$C$23,0)</f>
        <v>0</v>
      </c>
      <c r="L8" s="8" t="n">
        <f aca="false">IF(L$3&gt;=Loyalty_Inputs!$C$10,Loyalty_Inputs!$C$21,0)+IF(OR(L$3=Loyalty_Inputs!$C$10,L$3=Loyalty_Inputs!$C$10+1),Loyalty_Inputs!$C$22/2,0)+IF(L$3=Loyalty_Inputs!$C$8,Loyalty_Inputs!$C$23,0)</f>
        <v>0</v>
      </c>
      <c r="M8" s="8" t="n">
        <f aca="false">IF(M$3&gt;=Loyalty_Inputs!$C$10,Loyalty_Inputs!$C$21,0)+IF(OR(M$3=Loyalty_Inputs!$C$10,M$3=Loyalty_Inputs!$C$10+1),Loyalty_Inputs!$C$22/2,0)+IF(M$3=Loyalty_Inputs!$C$8,Loyalty_Inputs!$C$23,0)</f>
        <v>900000000</v>
      </c>
      <c r="N8" s="8" t="n">
        <f aca="false">IF(N$3&gt;=Loyalty_Inputs!$C$10,Loyalty_Inputs!$C$21,0)+IF(OR(N$3=Loyalty_Inputs!$C$10,N$3=Loyalty_Inputs!$C$10+1),Loyalty_Inputs!$C$22/2,0)+IF(N$3=Loyalty_Inputs!$C$8,Loyalty_Inputs!$C$23,0)</f>
        <v>900000000</v>
      </c>
      <c r="O8" s="8" t="n">
        <f aca="false">IF(O$3&gt;=Loyalty_Inputs!$C$10,Loyalty_Inputs!$C$21,0)+IF(OR(O$3=Loyalty_Inputs!$C$10,O$3=Loyalty_Inputs!$C$10+1),Loyalty_Inputs!$C$22/2,0)+IF(O$3=Loyalty_Inputs!$C$8,Loyalty_Inputs!$C$23,0)</f>
        <v>150000000</v>
      </c>
      <c r="P8" s="8" t="n">
        <f aca="false">IF(P$3&gt;=Loyalty_Inputs!$C$10,Loyalty_Inputs!$C$21,0)+IF(OR(P$3=Loyalty_Inputs!$C$10,P$3=Loyalty_Inputs!$C$10+1),Loyalty_Inputs!$C$22/2,0)+IF(P$3=Loyalty_Inputs!$C$8,Loyalty_Inputs!$C$23,0)</f>
        <v>150000000</v>
      </c>
      <c r="Q8" s="8" t="n">
        <f aca="false">IF(Q$3&gt;=Loyalty_Inputs!$C$10,Loyalty_Inputs!$C$21,0)+IF(OR(Q$3=Loyalty_Inputs!$C$10,Q$3=Loyalty_Inputs!$C$10+1),Loyalty_Inputs!$C$22/2,0)+IF(Q$3=Loyalty_Inputs!$C$8,Loyalty_Inputs!$C$23,0)</f>
        <v>150000000</v>
      </c>
      <c r="R8" s="8" t="n">
        <f aca="false">IF(R$3&gt;=Loyalty_Inputs!$C$10,Loyalty_Inputs!$C$21,0)+IF(OR(R$3=Loyalty_Inputs!$C$10,R$3=Loyalty_Inputs!$C$10+1),Loyalty_Inputs!$C$22/2,0)+IF(R$3=Loyalty_Inputs!$C$8,Loyalty_Inputs!$C$23,0)</f>
        <v>150000000</v>
      </c>
      <c r="S8" s="8" t="n">
        <f aca="false">IF(S$3&gt;=Loyalty_Inputs!$C$10,Loyalty_Inputs!$C$21,0)+IF(OR(S$3=Loyalty_Inputs!$C$10,S$3=Loyalty_Inputs!$C$10+1),Loyalty_Inputs!$C$22/2,0)+IF(S$3=Loyalty_Inputs!$C$8,Loyalty_Inputs!$C$23,0)</f>
        <v>150000000</v>
      </c>
      <c r="T8" s="8" t="n">
        <f aca="false">IF(T$3&gt;=Loyalty_Inputs!$C$10,Loyalty_Inputs!$C$21,0)+IF(OR(T$3=Loyalty_Inputs!$C$10,T$3=Loyalty_Inputs!$C$10+1),Loyalty_Inputs!$C$22/2,0)+IF(T$3=Loyalty_Inputs!$C$8,Loyalty_Inputs!$C$23,0)</f>
        <v>150000000</v>
      </c>
      <c r="U8" s="8" t="n">
        <f aca="false">IF(U$3&gt;=Loyalty_Inputs!$C$10,Loyalty_Inputs!$C$21,0)+IF(OR(U$3=Loyalty_Inputs!$C$10,U$3=Loyalty_Inputs!$C$10+1),Loyalty_Inputs!$C$22/2,0)+IF(U$3=Loyalty_Inputs!$C$8,Loyalty_Inputs!$C$23,0)</f>
        <v>150000000</v>
      </c>
      <c r="V8" s="8" t="n">
        <f aca="false">IF(V$3&gt;=Loyalty_Inputs!$C$10,Loyalty_Inputs!$C$21,0)+IF(OR(V$3=Loyalty_Inputs!$C$10,V$3=Loyalty_Inputs!$C$10+1),Loyalty_Inputs!$C$22/2,0)+IF(V$3=Loyalty_Inputs!$C$8,Loyalty_Inputs!$C$23,0)</f>
        <v>150000000</v>
      </c>
      <c r="W8" s="8" t="n">
        <f aca="false">IF(W$3&gt;=Loyalty_Inputs!$C$10,Loyalty_Inputs!$C$21,0)+IF(OR(W$3=Loyalty_Inputs!$C$10,W$3=Loyalty_Inputs!$C$10+1),Loyalty_Inputs!$C$22/2,0)+IF(W$3=Loyalty_Inputs!$C$8,Loyalty_Inputs!$C$23,0)</f>
        <v>150000000</v>
      </c>
      <c r="X8" s="8" t="n">
        <f aca="false">IF(X$3&gt;=Loyalty_Inputs!$C$10,Loyalty_Inputs!$C$21,0)+IF(OR(X$3=Loyalty_Inputs!$C$10,X$3=Loyalty_Inputs!$C$10+1),Loyalty_Inputs!$C$22/2,0)+IF(X$3=Loyalty_Inputs!$C$8,Loyalty_Inputs!$C$23,0)</f>
        <v>150000000</v>
      </c>
      <c r="Y8" s="8" t="n">
        <f aca="false">IF(Y$3&gt;=Loyalty_Inputs!$C$10,Loyalty_Inputs!$C$21,0)+IF(OR(Y$3=Loyalty_Inputs!$C$10,Y$3=Loyalty_Inputs!$C$10+1),Loyalty_Inputs!$C$22/2,0)+IF(Y$3=Loyalty_Inputs!$C$8,Loyalty_Inputs!$C$23,0)</f>
        <v>150000000</v>
      </c>
      <c r="Z8" s="8" t="n">
        <f aca="false">IF(Z$3&gt;=Loyalty_Inputs!$C$10,Loyalty_Inputs!$C$21,0)+IF(OR(Z$3=Loyalty_Inputs!$C$10,Z$3=Loyalty_Inputs!$C$10+1),Loyalty_Inputs!$C$22/2,0)+IF(Z$3=Loyalty_Inputs!$C$8,Loyalty_Inputs!$C$23,0)</f>
        <v>150000000</v>
      </c>
      <c r="AA8" s="8" t="n">
        <f aca="false">IF(AA$3&gt;=Loyalty_Inputs!$C$10,Loyalty_Inputs!$C$21,0)+IF(OR(AA$3=Loyalty_Inputs!$C$10,AA$3=Loyalty_Inputs!$C$10+1),Loyalty_Inputs!$C$22/2,0)+IF(AA$3=Loyalty_Inputs!$C$8,Loyalty_Inputs!$C$23,0)</f>
        <v>150000000</v>
      </c>
      <c r="AB8" s="8" t="n">
        <f aca="false">IF(AB$3&gt;=Loyalty_Inputs!$C$10,Loyalty_Inputs!$C$21,0)+IF(OR(AB$3=Loyalty_Inputs!$C$10,AB$3=Loyalty_Inputs!$C$10+1),Loyalty_Inputs!$C$22/2,0)+IF(AB$3=Loyalty_Inputs!$C$8,Loyalty_Inputs!$C$23,0)</f>
        <v>150000000</v>
      </c>
      <c r="AC8" s="8" t="n">
        <f aca="false">IF(AC$3&gt;=Loyalty_Inputs!$C$10,Loyalty_Inputs!$C$21,0)+IF(OR(AC$3=Loyalty_Inputs!$C$10,AC$3=Loyalty_Inputs!$C$10+1),Loyalty_Inputs!$C$22/2,0)+IF(AC$3=Loyalty_Inputs!$C$8,Loyalty_Inputs!$C$23,0)</f>
        <v>150000000</v>
      </c>
      <c r="AD8" s="8" t="n">
        <f aca="false">IF(AD$3&gt;=Loyalty_Inputs!$C$10,Loyalty_Inputs!$C$21,0)+IF(OR(AD$3=Loyalty_Inputs!$C$10,AD$3=Loyalty_Inputs!$C$10+1),Loyalty_Inputs!$C$22/2,0)+IF(AD$3=Loyalty_Inputs!$C$8,Loyalty_Inputs!$C$23,0)</f>
        <v>150000000</v>
      </c>
      <c r="AE8" s="8" t="n">
        <f aca="false">IF(AE$3&gt;=Loyalty_Inputs!$C$10,Loyalty_Inputs!$C$21,0)+IF(OR(AE$3=Loyalty_Inputs!$C$10,AE$3=Loyalty_Inputs!$C$10+1),Loyalty_Inputs!$C$22/2,0)+IF(AE$3=Loyalty_Inputs!$C$8,Loyalty_Inputs!$C$23,0)</f>
        <v>150000000</v>
      </c>
      <c r="AF8" s="8" t="n">
        <f aca="false">IF(AF$3&gt;=Loyalty_Inputs!$C$10,Loyalty_Inputs!$C$21,0)+IF(OR(AF$3=Loyalty_Inputs!$C$10,AF$3=Loyalty_Inputs!$C$10+1),Loyalty_Inputs!$C$22/2,0)+IF(AF$3=Loyalty_Inputs!$C$8,Loyalty_Inputs!$C$23,0)</f>
        <v>150000000</v>
      </c>
      <c r="AG8" s="8" t="n">
        <f aca="false">IF(AG$3&gt;=Loyalty_Inputs!$C$10,Loyalty_Inputs!$C$21,0)+IF(OR(AG$3=Loyalty_Inputs!$C$10,AG$3=Loyalty_Inputs!$C$10+1),Loyalty_Inputs!$C$22/2,0)+IF(AG$3=Loyalty_Inputs!$C$8,Loyalty_Inputs!$C$23,0)</f>
        <v>150000000</v>
      </c>
      <c r="AH8" s="8" t="n">
        <f aca="false">IF(AH$3&gt;=Loyalty_Inputs!$C$10,Loyalty_Inputs!$C$21,0)+IF(OR(AH$3=Loyalty_Inputs!$C$10,AH$3=Loyalty_Inputs!$C$10+1),Loyalty_Inputs!$C$22/2,0)+IF(AH$3=Loyalty_Inputs!$C$8,Loyalty_Inputs!$C$23,0)</f>
        <v>150000000</v>
      </c>
      <c r="AI8" s="8" t="n">
        <f aca="false">IF(AI$3&gt;=Loyalty_Inputs!$C$10,Loyalty_Inputs!$C$21,0)+IF(OR(AI$3=Loyalty_Inputs!$C$10,AI$3=Loyalty_Inputs!$C$10+1),Loyalty_Inputs!$C$22/2,0)+IF(AI$3=Loyalty_Inputs!$C$8,Loyalty_Inputs!$C$23,0)</f>
        <v>150000000</v>
      </c>
      <c r="AJ8" s="8" t="n">
        <f aca="false">IF(AJ$3&gt;=Loyalty_Inputs!$C$10,Loyalty_Inputs!$C$21,0)+IF(OR(AJ$3=Loyalty_Inputs!$C$10,AJ$3=Loyalty_Inputs!$C$10+1),Loyalty_Inputs!$C$22/2,0)+IF(AJ$3=Loyalty_Inputs!$C$8,Loyalty_Inputs!$C$23,0)</f>
        <v>150000000</v>
      </c>
      <c r="AK8" s="8" t="n">
        <f aca="false">IF(AK$3&gt;=Loyalty_Inputs!$C$10,Loyalty_Inputs!$C$21,0)+IF(OR(AK$3=Loyalty_Inputs!$C$10,AK$3=Loyalty_Inputs!$C$10+1),Loyalty_Inputs!$C$22/2,0)+IF(AK$3=Loyalty_Inputs!$C$8,Loyalty_Inputs!$C$23,0)</f>
        <v>150000000</v>
      </c>
      <c r="AL8" s="8" t="n">
        <f aca="false">IF(AL$3&gt;=Loyalty_Inputs!$C$10,Loyalty_Inputs!$C$21,0)+IF(OR(AL$3=Loyalty_Inputs!$C$10,AL$3=Loyalty_Inputs!$C$10+1),Loyalty_Inputs!$C$22/2,0)+IF(AL$3=Loyalty_Inputs!$C$8,Loyalty_Inputs!$C$23,0)</f>
        <v>150000000</v>
      </c>
    </row>
    <row r="9" customFormat="false" ht="15" hidden="false" customHeight="false" outlineLevel="0" collapsed="false">
      <c r="A9" s="2" t="s">
        <v>428</v>
      </c>
      <c r="B9" s="4" t="s">
        <v>429</v>
      </c>
      <c r="C9" s="8" t="n">
        <f aca="false">C4*Loyalty_Inputs!$C$12*Loyalty_Inputs!$C$48*(1-Loyalty_Inputs!$C$13)*Loyalty_Inputs!$C$14</f>
        <v>0</v>
      </c>
      <c r="D9" s="8" t="n">
        <f aca="false">D4*Loyalty_Inputs!$C$12*Loyalty_Inputs!$C$48*(1-Loyalty_Inputs!$C$13)*Loyalty_Inputs!$C$14</f>
        <v>0</v>
      </c>
      <c r="E9" s="8" t="n">
        <f aca="false">E4*Loyalty_Inputs!$C$12*Loyalty_Inputs!$C$48*(1-Loyalty_Inputs!$C$13)*Loyalty_Inputs!$C$14</f>
        <v>0</v>
      </c>
      <c r="F9" s="8" t="n">
        <f aca="false">F4*Loyalty_Inputs!$C$12*Loyalty_Inputs!$C$48*(1-Loyalty_Inputs!$C$13)*Loyalty_Inputs!$C$14</f>
        <v>0</v>
      </c>
      <c r="G9" s="8" t="n">
        <f aca="false">G4*Loyalty_Inputs!$C$12*Loyalty_Inputs!$C$48*(1-Loyalty_Inputs!$C$13)*Loyalty_Inputs!$C$14</f>
        <v>84665227.5</v>
      </c>
      <c r="H9" s="8" t="n">
        <f aca="false">H4*Loyalty_Inputs!$C$12*Loyalty_Inputs!$C$48*(1-Loyalty_Inputs!$C$13)*Loyalty_Inputs!$C$14</f>
        <v>84665227.5</v>
      </c>
      <c r="I9" s="8" t="n">
        <f aca="false">I4*Loyalty_Inputs!$C$12*Loyalty_Inputs!$C$48*(1-Loyalty_Inputs!$C$13)*Loyalty_Inputs!$C$14</f>
        <v>84665227.5</v>
      </c>
      <c r="J9" s="8" t="n">
        <f aca="false">J4*Loyalty_Inputs!$C$12*Loyalty_Inputs!$C$48*(1-Loyalty_Inputs!$C$13)*Loyalty_Inputs!$C$14</f>
        <v>84665227.5</v>
      </c>
      <c r="K9" s="8" t="n">
        <f aca="false">K4*Loyalty_Inputs!$C$12*Loyalty_Inputs!$C$48*(1-Loyalty_Inputs!$C$13)*Loyalty_Inputs!$C$14</f>
        <v>84665227.5</v>
      </c>
      <c r="L9" s="8" t="n">
        <f aca="false">L4*Loyalty_Inputs!$C$12*Loyalty_Inputs!$C$48*(1-Loyalty_Inputs!$C$13)*Loyalty_Inputs!$C$14</f>
        <v>84665227.5</v>
      </c>
      <c r="M9" s="8" t="n">
        <f aca="false">M4*Loyalty_Inputs!$C$12*Loyalty_Inputs!$C$48*(1-Loyalty_Inputs!$C$13)*Loyalty_Inputs!$C$14</f>
        <v>139697625.375</v>
      </c>
      <c r="N9" s="8" t="n">
        <f aca="false">N4*Loyalty_Inputs!$C$12*Loyalty_Inputs!$C$48*(1-Loyalty_Inputs!$C$13)*Loyalty_Inputs!$C$14</f>
        <v>279395250.75</v>
      </c>
      <c r="O9" s="8" t="n">
        <f aca="false">O4*Loyalty_Inputs!$C$12*Loyalty_Inputs!$C$48*(1-Loyalty_Inputs!$C$13)*Loyalty_Inputs!$C$14</f>
        <v>419092876.125</v>
      </c>
      <c r="P9" s="8" t="n">
        <f aca="false">P4*Loyalty_Inputs!$C$12*Loyalty_Inputs!$C$48*(1-Loyalty_Inputs!$C$13)*Loyalty_Inputs!$C$14</f>
        <v>558790501.5</v>
      </c>
      <c r="Q9" s="8" t="n">
        <f aca="false">Q4*Loyalty_Inputs!$C$12*Loyalty_Inputs!$C$48*(1-Loyalty_Inputs!$C$13)*Loyalty_Inputs!$C$14</f>
        <v>698488126.875</v>
      </c>
      <c r="R9" s="8" t="n">
        <f aca="false">R4*Loyalty_Inputs!$C$12*Loyalty_Inputs!$C$48*(1-Loyalty_Inputs!$C$13)*Loyalty_Inputs!$C$14</f>
        <v>838185752.25</v>
      </c>
      <c r="S9" s="8" t="n">
        <f aca="false">S4*Loyalty_Inputs!$C$12*Loyalty_Inputs!$C$48*(1-Loyalty_Inputs!$C$13)*Loyalty_Inputs!$C$14</f>
        <v>838185752.25</v>
      </c>
      <c r="T9" s="8" t="n">
        <f aca="false">T4*Loyalty_Inputs!$C$12*Loyalty_Inputs!$C$48*(1-Loyalty_Inputs!$C$13)*Loyalty_Inputs!$C$14</f>
        <v>838185752.25</v>
      </c>
      <c r="U9" s="8" t="n">
        <f aca="false">U4*Loyalty_Inputs!$C$12*Loyalty_Inputs!$C$48*(1-Loyalty_Inputs!$C$13)*Loyalty_Inputs!$C$14</f>
        <v>838185752.25</v>
      </c>
      <c r="V9" s="8" t="n">
        <f aca="false">V4*Loyalty_Inputs!$C$12*Loyalty_Inputs!$C$48*(1-Loyalty_Inputs!$C$13)*Loyalty_Inputs!$C$14</f>
        <v>838185752.25</v>
      </c>
      <c r="W9" s="8" t="n">
        <f aca="false">W4*Loyalty_Inputs!$C$12*Loyalty_Inputs!$C$48*(1-Loyalty_Inputs!$C$13)*Loyalty_Inputs!$C$14</f>
        <v>838185752.25</v>
      </c>
      <c r="X9" s="8" t="n">
        <f aca="false">X4*Loyalty_Inputs!$C$12*Loyalty_Inputs!$C$48*(1-Loyalty_Inputs!$C$13)*Loyalty_Inputs!$C$14</f>
        <v>838185752.25</v>
      </c>
      <c r="Y9" s="8" t="n">
        <f aca="false">Y4*Loyalty_Inputs!$C$12*Loyalty_Inputs!$C$48*(1-Loyalty_Inputs!$C$13)*Loyalty_Inputs!$C$14</f>
        <v>838185752.25</v>
      </c>
      <c r="Z9" s="8" t="n">
        <f aca="false">Z4*Loyalty_Inputs!$C$12*Loyalty_Inputs!$C$48*(1-Loyalty_Inputs!$C$13)*Loyalty_Inputs!$C$14</f>
        <v>838185752.25</v>
      </c>
      <c r="AA9" s="8" t="n">
        <f aca="false">AA4*Loyalty_Inputs!$C$12*Loyalty_Inputs!$C$48*(1-Loyalty_Inputs!$C$13)*Loyalty_Inputs!$C$14</f>
        <v>838185752.25</v>
      </c>
      <c r="AB9" s="8" t="n">
        <f aca="false">AB4*Loyalty_Inputs!$C$12*Loyalty_Inputs!$C$48*(1-Loyalty_Inputs!$C$13)*Loyalty_Inputs!$C$14</f>
        <v>838185752.25</v>
      </c>
      <c r="AC9" s="8" t="n">
        <f aca="false">AC4*Loyalty_Inputs!$C$12*Loyalty_Inputs!$C$48*(1-Loyalty_Inputs!$C$13)*Loyalty_Inputs!$C$14</f>
        <v>838185752.25</v>
      </c>
      <c r="AD9" s="8" t="n">
        <f aca="false">AD4*Loyalty_Inputs!$C$12*Loyalty_Inputs!$C$48*(1-Loyalty_Inputs!$C$13)*Loyalty_Inputs!$C$14</f>
        <v>838185752.25</v>
      </c>
      <c r="AE9" s="8" t="n">
        <f aca="false">AE4*Loyalty_Inputs!$C$12*Loyalty_Inputs!$C$48*(1-Loyalty_Inputs!$C$13)*Loyalty_Inputs!$C$14</f>
        <v>838185752.25</v>
      </c>
      <c r="AF9" s="8" t="n">
        <f aca="false">AF4*Loyalty_Inputs!$C$12*Loyalty_Inputs!$C$48*(1-Loyalty_Inputs!$C$13)*Loyalty_Inputs!$C$14</f>
        <v>838185752.25</v>
      </c>
      <c r="AG9" s="8" t="n">
        <f aca="false">AG4*Loyalty_Inputs!$C$12*Loyalty_Inputs!$C$48*(1-Loyalty_Inputs!$C$13)*Loyalty_Inputs!$C$14</f>
        <v>838185752.25</v>
      </c>
      <c r="AH9" s="8" t="n">
        <f aca="false">AH4*Loyalty_Inputs!$C$12*Loyalty_Inputs!$C$48*(1-Loyalty_Inputs!$C$13)*Loyalty_Inputs!$C$14</f>
        <v>838185752.25</v>
      </c>
      <c r="AI9" s="8" t="n">
        <f aca="false">AI4*Loyalty_Inputs!$C$12*Loyalty_Inputs!$C$48*(1-Loyalty_Inputs!$C$13)*Loyalty_Inputs!$C$14</f>
        <v>838185752.25</v>
      </c>
      <c r="AJ9" s="8" t="n">
        <f aca="false">AJ4*Loyalty_Inputs!$C$12*Loyalty_Inputs!$C$48*(1-Loyalty_Inputs!$C$13)*Loyalty_Inputs!$C$14</f>
        <v>838185752.25</v>
      </c>
      <c r="AK9" s="8" t="n">
        <f aca="false">AK4*Loyalty_Inputs!$C$12*Loyalty_Inputs!$C$48*(1-Loyalty_Inputs!$C$13)*Loyalty_Inputs!$C$14</f>
        <v>838185752.25</v>
      </c>
      <c r="AL9" s="8" t="n">
        <f aca="false">AL4*Loyalty_Inputs!$C$12*Loyalty_Inputs!$C$48*(1-Loyalty_Inputs!$C$13)*Loyalty_Inputs!$C$14</f>
        <v>838185752.25</v>
      </c>
    </row>
    <row r="10" customFormat="false" ht="15" hidden="false" customHeight="false" outlineLevel="0" collapsed="false">
      <c r="A10" s="2" t="s">
        <v>430</v>
      </c>
      <c r="B10" s="4" t="s">
        <v>431</v>
      </c>
      <c r="C10" s="8" t="n">
        <f aca="false">C4*Loyalty_Inputs!$C$15*30*Daily_Drops!$D$10</f>
        <v>0</v>
      </c>
      <c r="D10" s="8" t="n">
        <f aca="false">D4*Loyalty_Inputs!$C$15*30*Daily_Drops!$D$10</f>
        <v>0</v>
      </c>
      <c r="E10" s="8" t="n">
        <f aca="false">E4*Loyalty_Inputs!$C$15*30*Daily_Drops!$D$10</f>
        <v>0</v>
      </c>
      <c r="F10" s="8" t="n">
        <f aca="false">F4*Loyalty_Inputs!$C$15*30*Daily_Drops!$D$10</f>
        <v>0</v>
      </c>
      <c r="G10" s="8" t="n">
        <f aca="false">G4*Loyalty_Inputs!$C$15*30*Daily_Drops!$D$10</f>
        <v>70875000</v>
      </c>
      <c r="H10" s="8" t="n">
        <f aca="false">H4*Loyalty_Inputs!$C$15*30*Daily_Drops!$D$10</f>
        <v>70875000</v>
      </c>
      <c r="I10" s="8" t="n">
        <f aca="false">I4*Loyalty_Inputs!$C$15*30*Daily_Drops!$D$10</f>
        <v>70875000</v>
      </c>
      <c r="J10" s="8" t="n">
        <f aca="false">J4*Loyalty_Inputs!$C$15*30*Daily_Drops!$D$10</f>
        <v>70875000</v>
      </c>
      <c r="K10" s="8" t="n">
        <f aca="false">K4*Loyalty_Inputs!$C$15*30*Daily_Drops!$D$10</f>
        <v>70875000</v>
      </c>
      <c r="L10" s="8" t="n">
        <f aca="false">L4*Loyalty_Inputs!$C$15*30*Daily_Drops!$D$10</f>
        <v>70875000</v>
      </c>
      <c r="M10" s="8" t="n">
        <f aca="false">M4*Loyalty_Inputs!$C$15*30*Daily_Drops!$D$10</f>
        <v>116943750</v>
      </c>
      <c r="N10" s="8" t="n">
        <f aca="false">N4*Loyalty_Inputs!$C$15*30*Daily_Drops!$D$10</f>
        <v>233887500</v>
      </c>
      <c r="O10" s="8" t="n">
        <f aca="false">O4*Loyalty_Inputs!$C$15*30*Daily_Drops!$D$10</f>
        <v>350831250</v>
      </c>
      <c r="P10" s="8" t="n">
        <f aca="false">P4*Loyalty_Inputs!$C$15*30*Daily_Drops!$D$10</f>
        <v>467775000</v>
      </c>
      <c r="Q10" s="8" t="n">
        <f aca="false">Q4*Loyalty_Inputs!$C$15*30*Daily_Drops!$D$10</f>
        <v>584718750</v>
      </c>
      <c r="R10" s="8" t="n">
        <f aca="false">R4*Loyalty_Inputs!$C$15*30*Daily_Drops!$D$10</f>
        <v>701662500</v>
      </c>
      <c r="S10" s="8" t="n">
        <f aca="false">S4*Loyalty_Inputs!$C$15*30*Daily_Drops!$D$10</f>
        <v>701662500</v>
      </c>
      <c r="T10" s="8" t="n">
        <f aca="false">T4*Loyalty_Inputs!$C$15*30*Daily_Drops!$D$10</f>
        <v>701662500</v>
      </c>
      <c r="U10" s="8" t="n">
        <f aca="false">U4*Loyalty_Inputs!$C$15*30*Daily_Drops!$D$10</f>
        <v>701662500</v>
      </c>
      <c r="V10" s="8" t="n">
        <f aca="false">V4*Loyalty_Inputs!$C$15*30*Daily_Drops!$D$10</f>
        <v>701662500</v>
      </c>
      <c r="W10" s="8" t="n">
        <f aca="false">W4*Loyalty_Inputs!$C$15*30*Daily_Drops!$D$10</f>
        <v>701662500</v>
      </c>
      <c r="X10" s="8" t="n">
        <f aca="false">X4*Loyalty_Inputs!$C$15*30*Daily_Drops!$D$10</f>
        <v>701662500</v>
      </c>
      <c r="Y10" s="8" t="n">
        <f aca="false">Y4*Loyalty_Inputs!$C$15*30*Daily_Drops!$D$10</f>
        <v>701662500</v>
      </c>
      <c r="Z10" s="8" t="n">
        <f aca="false">Z4*Loyalty_Inputs!$C$15*30*Daily_Drops!$D$10</f>
        <v>701662500</v>
      </c>
      <c r="AA10" s="8" t="n">
        <f aca="false">AA4*Loyalty_Inputs!$C$15*30*Daily_Drops!$D$10</f>
        <v>701662500</v>
      </c>
      <c r="AB10" s="8" t="n">
        <f aca="false">AB4*Loyalty_Inputs!$C$15*30*Daily_Drops!$D$10</f>
        <v>701662500</v>
      </c>
      <c r="AC10" s="8" t="n">
        <f aca="false">AC4*Loyalty_Inputs!$C$15*30*Daily_Drops!$D$10</f>
        <v>701662500</v>
      </c>
      <c r="AD10" s="8" t="n">
        <f aca="false">AD4*Loyalty_Inputs!$C$15*30*Daily_Drops!$D$10</f>
        <v>701662500</v>
      </c>
      <c r="AE10" s="8" t="n">
        <f aca="false">AE4*Loyalty_Inputs!$C$15*30*Daily_Drops!$D$10</f>
        <v>701662500</v>
      </c>
      <c r="AF10" s="8" t="n">
        <f aca="false">AF4*Loyalty_Inputs!$C$15*30*Daily_Drops!$D$10</f>
        <v>701662500</v>
      </c>
      <c r="AG10" s="8" t="n">
        <f aca="false">AG4*Loyalty_Inputs!$C$15*30*Daily_Drops!$D$10</f>
        <v>701662500</v>
      </c>
      <c r="AH10" s="8" t="n">
        <f aca="false">AH4*Loyalty_Inputs!$C$15*30*Daily_Drops!$D$10</f>
        <v>701662500</v>
      </c>
      <c r="AI10" s="8" t="n">
        <f aca="false">AI4*Loyalty_Inputs!$C$15*30*Daily_Drops!$D$10</f>
        <v>701662500</v>
      </c>
      <c r="AJ10" s="8" t="n">
        <f aca="false">AJ4*Loyalty_Inputs!$C$15*30*Daily_Drops!$D$10</f>
        <v>701662500</v>
      </c>
      <c r="AK10" s="8" t="n">
        <f aca="false">AK4*Loyalty_Inputs!$C$15*30*Daily_Drops!$D$10</f>
        <v>701662500</v>
      </c>
      <c r="AL10" s="8" t="n">
        <f aca="false">AL4*Loyalty_Inputs!$C$15*30*Daily_Drops!$D$10</f>
        <v>701662500</v>
      </c>
    </row>
    <row r="11" customFormat="false" ht="15" hidden="false" customHeight="false" outlineLevel="0" collapsed="false">
      <c r="A11" s="2" t="s">
        <v>432</v>
      </c>
      <c r="B11" s="4" t="s">
        <v>433</v>
      </c>
      <c r="C11" s="8" t="n">
        <f aca="false">Prizes!$E$45*52/12*C5</f>
        <v>0</v>
      </c>
      <c r="D11" s="8" t="n">
        <f aca="false">Prizes!$E$45*52/12*D5</f>
        <v>0</v>
      </c>
      <c r="E11" s="8" t="n">
        <f aca="false">Prizes!$E$45*52/12*E5</f>
        <v>0</v>
      </c>
      <c r="F11" s="8" t="n">
        <f aca="false">Prizes!$E$45*52/12*F5</f>
        <v>0</v>
      </c>
      <c r="G11" s="8" t="n">
        <f aca="false">Prizes!$E$45*52/12*G5</f>
        <v>116740000</v>
      </c>
      <c r="H11" s="8" t="n">
        <f aca="false">Prizes!$E$45*52/12*H5</f>
        <v>116740000</v>
      </c>
      <c r="I11" s="8" t="n">
        <f aca="false">Prizes!$E$45*52/12*I5</f>
        <v>116740000</v>
      </c>
      <c r="J11" s="8" t="n">
        <f aca="false">Prizes!$E$45*52/12*J5</f>
        <v>116740000</v>
      </c>
      <c r="K11" s="8" t="n">
        <f aca="false">Prizes!$E$45*52/12*K5</f>
        <v>116740000</v>
      </c>
      <c r="L11" s="8" t="n">
        <f aca="false">Prizes!$E$45*52/12*L5</f>
        <v>116740000</v>
      </c>
      <c r="M11" s="8" t="n">
        <f aca="false">Prizes!$E$45*52/12*M5</f>
        <v>116740000</v>
      </c>
      <c r="N11" s="8" t="n">
        <f aca="false">Prizes!$E$45*52/12*N5</f>
        <v>129711111.111111</v>
      </c>
      <c r="O11" s="8" t="n">
        <f aca="false">Prizes!$E$45*52/12*O5</f>
        <v>194566666.666667</v>
      </c>
      <c r="P11" s="8" t="n">
        <f aca="false">Prizes!$E$45*52/12*P5</f>
        <v>259422222.222222</v>
      </c>
      <c r="Q11" s="8" t="n">
        <f aca="false">Prizes!$E$45*52/12*Q5</f>
        <v>324277777.777778</v>
      </c>
      <c r="R11" s="8" t="n">
        <f aca="false">Prizes!$E$45*52/12*R5</f>
        <v>389133333.333333</v>
      </c>
      <c r="S11" s="8" t="n">
        <f aca="false">Prizes!$E$45*52/12*S5</f>
        <v>389133333.333333</v>
      </c>
      <c r="T11" s="8" t="n">
        <f aca="false">Prizes!$E$45*52/12*T5</f>
        <v>389133333.333333</v>
      </c>
      <c r="U11" s="8" t="n">
        <f aca="false">Prizes!$E$45*52/12*U5</f>
        <v>389133333.333333</v>
      </c>
      <c r="V11" s="8" t="n">
        <f aca="false">Prizes!$E$45*52/12*V5</f>
        <v>389133333.333333</v>
      </c>
      <c r="W11" s="8" t="n">
        <f aca="false">Prizes!$E$45*52/12*W5</f>
        <v>389133333.333333</v>
      </c>
      <c r="X11" s="8" t="n">
        <f aca="false">Prizes!$E$45*52/12*X5</f>
        <v>389133333.333333</v>
      </c>
      <c r="Y11" s="8" t="n">
        <f aca="false">Prizes!$E$45*52/12*Y5</f>
        <v>389133333.333333</v>
      </c>
      <c r="Z11" s="8" t="n">
        <f aca="false">Prizes!$E$45*52/12*Z5</f>
        <v>389133333.333333</v>
      </c>
      <c r="AA11" s="8" t="n">
        <f aca="false">Prizes!$E$45*52/12*AA5</f>
        <v>389133333.333333</v>
      </c>
      <c r="AB11" s="8" t="n">
        <f aca="false">Prizes!$E$45*52/12*AB5</f>
        <v>389133333.333333</v>
      </c>
      <c r="AC11" s="8" t="n">
        <f aca="false">Prizes!$E$45*52/12*AC5</f>
        <v>389133333.333333</v>
      </c>
      <c r="AD11" s="8" t="n">
        <f aca="false">Prizes!$E$45*52/12*AD5</f>
        <v>389133333.333333</v>
      </c>
      <c r="AE11" s="8" t="n">
        <f aca="false">Prizes!$E$45*52/12*AE5</f>
        <v>389133333.333333</v>
      </c>
      <c r="AF11" s="8" t="n">
        <f aca="false">Prizes!$E$45*52/12*AF5</f>
        <v>389133333.333333</v>
      </c>
      <c r="AG11" s="8" t="n">
        <f aca="false">Prizes!$E$45*52/12*AG5</f>
        <v>389133333.333333</v>
      </c>
      <c r="AH11" s="8" t="n">
        <f aca="false">Prizes!$E$45*52/12*AH5</f>
        <v>389133333.333333</v>
      </c>
      <c r="AI11" s="8" t="n">
        <f aca="false">Prizes!$E$45*52/12*AI5</f>
        <v>389133333.333333</v>
      </c>
      <c r="AJ11" s="8" t="n">
        <f aca="false">Prizes!$E$45*52/12*AJ5</f>
        <v>389133333.333333</v>
      </c>
      <c r="AK11" s="8" t="n">
        <f aca="false">Prizes!$E$45*52/12*AK5</f>
        <v>389133333.333333</v>
      </c>
      <c r="AL11" s="8" t="n">
        <f aca="false">Prizes!$E$45*52/12*AL5</f>
        <v>389133333.333333</v>
      </c>
    </row>
    <row r="12" customFormat="false" ht="15" hidden="false" customHeight="false" outlineLevel="0" collapsed="false">
      <c r="A12" s="2" t="s">
        <v>434</v>
      </c>
      <c r="B12" s="4" t="s">
        <v>435</v>
      </c>
      <c r="C12" s="8" t="n">
        <f aca="false">Prizes!$E$34*52/12*C5</f>
        <v>0</v>
      </c>
      <c r="D12" s="8" t="n">
        <f aca="false">Prizes!$E$34*52/12*D5</f>
        <v>0</v>
      </c>
      <c r="E12" s="8" t="n">
        <f aca="false">Prizes!$E$34*52/12*E5</f>
        <v>0</v>
      </c>
      <c r="F12" s="8" t="n">
        <f aca="false">Prizes!$E$34*52/12*F5</f>
        <v>0</v>
      </c>
      <c r="G12" s="8" t="n">
        <f aca="false">Prizes!$E$34*52/12*G5</f>
        <v>59995000</v>
      </c>
      <c r="H12" s="8" t="n">
        <f aca="false">Prizes!$E$34*52/12*H5</f>
        <v>59995000</v>
      </c>
      <c r="I12" s="8" t="n">
        <f aca="false">Prizes!$E$34*52/12*I5</f>
        <v>59995000</v>
      </c>
      <c r="J12" s="8" t="n">
        <f aca="false">Prizes!$E$34*52/12*J5</f>
        <v>59995000</v>
      </c>
      <c r="K12" s="8" t="n">
        <f aca="false">Prizes!$E$34*52/12*K5</f>
        <v>59995000</v>
      </c>
      <c r="L12" s="8" t="n">
        <f aca="false">Prizes!$E$34*52/12*L5</f>
        <v>59995000</v>
      </c>
      <c r="M12" s="8" t="n">
        <f aca="false">Prizes!$E$34*52/12*M5</f>
        <v>59995000</v>
      </c>
      <c r="N12" s="8" t="n">
        <f aca="false">Prizes!$E$34*52/12*N5</f>
        <v>66661111.1111111</v>
      </c>
      <c r="O12" s="8" t="n">
        <f aca="false">Prizes!$E$34*52/12*O5</f>
        <v>99991666.6666667</v>
      </c>
      <c r="P12" s="8" t="n">
        <f aca="false">Prizes!$E$34*52/12*P5</f>
        <v>133322222.222222</v>
      </c>
      <c r="Q12" s="8" t="n">
        <f aca="false">Prizes!$E$34*52/12*Q5</f>
        <v>166652777.777778</v>
      </c>
      <c r="R12" s="8" t="n">
        <f aca="false">Prizes!$E$34*52/12*R5</f>
        <v>199983333.333333</v>
      </c>
      <c r="S12" s="8" t="n">
        <f aca="false">Prizes!$E$34*52/12*S5</f>
        <v>199983333.333333</v>
      </c>
      <c r="T12" s="8" t="n">
        <f aca="false">Prizes!$E$34*52/12*T5</f>
        <v>199983333.333333</v>
      </c>
      <c r="U12" s="8" t="n">
        <f aca="false">Prizes!$E$34*52/12*U5</f>
        <v>199983333.333333</v>
      </c>
      <c r="V12" s="8" t="n">
        <f aca="false">Prizes!$E$34*52/12*V5</f>
        <v>199983333.333333</v>
      </c>
      <c r="W12" s="8" t="n">
        <f aca="false">Prizes!$E$34*52/12*W5</f>
        <v>199983333.333333</v>
      </c>
      <c r="X12" s="8" t="n">
        <f aca="false">Prizes!$E$34*52/12*X5</f>
        <v>199983333.333333</v>
      </c>
      <c r="Y12" s="8" t="n">
        <f aca="false">Prizes!$E$34*52/12*Y5</f>
        <v>199983333.333333</v>
      </c>
      <c r="Z12" s="8" t="n">
        <f aca="false">Prizes!$E$34*52/12*Z5</f>
        <v>199983333.333333</v>
      </c>
      <c r="AA12" s="8" t="n">
        <f aca="false">Prizes!$E$34*52/12*AA5</f>
        <v>199983333.333333</v>
      </c>
      <c r="AB12" s="8" t="n">
        <f aca="false">Prizes!$E$34*52/12*AB5</f>
        <v>199983333.333333</v>
      </c>
      <c r="AC12" s="8" t="n">
        <f aca="false">Prizes!$E$34*52/12*AC5</f>
        <v>199983333.333333</v>
      </c>
      <c r="AD12" s="8" t="n">
        <f aca="false">Prizes!$E$34*52/12*AD5</f>
        <v>199983333.333333</v>
      </c>
      <c r="AE12" s="8" t="n">
        <f aca="false">Prizes!$E$34*52/12*AE5</f>
        <v>199983333.333333</v>
      </c>
      <c r="AF12" s="8" t="n">
        <f aca="false">Prizes!$E$34*52/12*AF5</f>
        <v>199983333.333333</v>
      </c>
      <c r="AG12" s="8" t="n">
        <f aca="false">Prizes!$E$34*52/12*AG5</f>
        <v>199983333.333333</v>
      </c>
      <c r="AH12" s="8" t="n">
        <f aca="false">Prizes!$E$34*52/12*AH5</f>
        <v>199983333.333333</v>
      </c>
      <c r="AI12" s="8" t="n">
        <f aca="false">Prizes!$E$34*52/12*AI5</f>
        <v>199983333.333333</v>
      </c>
      <c r="AJ12" s="8" t="n">
        <f aca="false">Prizes!$E$34*52/12*AJ5</f>
        <v>199983333.333333</v>
      </c>
      <c r="AK12" s="8" t="n">
        <f aca="false">Prizes!$E$34*52/12*AK5</f>
        <v>199983333.333333</v>
      </c>
      <c r="AL12" s="8" t="n">
        <f aca="false">Prizes!$E$34*52/12*AL5</f>
        <v>199983333.333333</v>
      </c>
    </row>
    <row r="13" customFormat="false" ht="15" hidden="false" customHeight="false" outlineLevel="0" collapsed="false">
      <c r="A13" s="2" t="s">
        <v>436</v>
      </c>
      <c r="B13" s="4" t="s">
        <v>437</v>
      </c>
      <c r="C13" s="8" t="n">
        <f aca="false">Prizes!$C$64*C5</f>
        <v>0</v>
      </c>
      <c r="D13" s="8" t="n">
        <f aca="false">Prizes!$C$64*D5</f>
        <v>0</v>
      </c>
      <c r="E13" s="8" t="n">
        <f aca="false">Prizes!$C$64*E5</f>
        <v>0</v>
      </c>
      <c r="F13" s="8" t="n">
        <f aca="false">Prizes!$C$64*F5</f>
        <v>0</v>
      </c>
      <c r="G13" s="8" t="n">
        <f aca="false">Prizes!$C$64*G5</f>
        <v>27777750</v>
      </c>
      <c r="H13" s="8" t="n">
        <f aca="false">Prizes!$C$64*H5</f>
        <v>27777750</v>
      </c>
      <c r="I13" s="8" t="n">
        <f aca="false">Prizes!$C$64*I5</f>
        <v>27777750</v>
      </c>
      <c r="J13" s="8" t="n">
        <f aca="false">Prizes!$C$64*J5</f>
        <v>27777750</v>
      </c>
      <c r="K13" s="8" t="n">
        <f aca="false">Prizes!$C$64*K5</f>
        <v>27777750</v>
      </c>
      <c r="L13" s="8" t="n">
        <f aca="false">Prizes!$C$64*L5</f>
        <v>27777750</v>
      </c>
      <c r="M13" s="8" t="n">
        <f aca="false">Prizes!$C$64*M5</f>
        <v>27777750</v>
      </c>
      <c r="N13" s="8" t="n">
        <f aca="false">Prizes!$C$64*N5</f>
        <v>30864166.6666667</v>
      </c>
      <c r="O13" s="8" t="n">
        <f aca="false">Prizes!$C$64*O5</f>
        <v>46296250</v>
      </c>
      <c r="P13" s="8" t="n">
        <f aca="false">Prizes!$C$64*P5</f>
        <v>61728333.3333333</v>
      </c>
      <c r="Q13" s="8" t="n">
        <f aca="false">Prizes!$C$64*Q5</f>
        <v>77160416.6666667</v>
      </c>
      <c r="R13" s="8" t="n">
        <f aca="false">Prizes!$C$64*R5</f>
        <v>92592500</v>
      </c>
      <c r="S13" s="8" t="n">
        <f aca="false">Prizes!$C$64*S5</f>
        <v>92592500</v>
      </c>
      <c r="T13" s="8" t="n">
        <f aca="false">Prizes!$C$64*T5</f>
        <v>92592500</v>
      </c>
      <c r="U13" s="8" t="n">
        <f aca="false">Prizes!$C$64*U5</f>
        <v>92592500</v>
      </c>
      <c r="V13" s="8" t="n">
        <f aca="false">Prizes!$C$64*V5</f>
        <v>92592500</v>
      </c>
      <c r="W13" s="8" t="n">
        <f aca="false">Prizes!$C$64*W5</f>
        <v>92592500</v>
      </c>
      <c r="X13" s="8" t="n">
        <f aca="false">Prizes!$C$64*X5</f>
        <v>92592500</v>
      </c>
      <c r="Y13" s="8" t="n">
        <f aca="false">Prizes!$C$64*Y5</f>
        <v>92592500</v>
      </c>
      <c r="Z13" s="8" t="n">
        <f aca="false">Prizes!$C$64*Z5</f>
        <v>92592500</v>
      </c>
      <c r="AA13" s="8" t="n">
        <f aca="false">Prizes!$C$64*AA5</f>
        <v>92592500</v>
      </c>
      <c r="AB13" s="8" t="n">
        <f aca="false">Prizes!$C$64*AB5</f>
        <v>92592500</v>
      </c>
      <c r="AC13" s="8" t="n">
        <f aca="false">Prizes!$C$64*AC5</f>
        <v>92592500</v>
      </c>
      <c r="AD13" s="8" t="n">
        <f aca="false">Prizes!$C$64*AD5</f>
        <v>92592500</v>
      </c>
      <c r="AE13" s="8" t="n">
        <f aca="false">Prizes!$C$64*AE5</f>
        <v>92592500</v>
      </c>
      <c r="AF13" s="8" t="n">
        <f aca="false">Prizes!$C$64*AF5</f>
        <v>92592500</v>
      </c>
      <c r="AG13" s="8" t="n">
        <f aca="false">Prizes!$C$64*AG5</f>
        <v>92592500</v>
      </c>
      <c r="AH13" s="8" t="n">
        <f aca="false">Prizes!$C$64*AH5</f>
        <v>92592500</v>
      </c>
      <c r="AI13" s="8" t="n">
        <f aca="false">Prizes!$C$64*AI5</f>
        <v>92592500</v>
      </c>
      <c r="AJ13" s="8" t="n">
        <f aca="false">Prizes!$C$64*AJ5</f>
        <v>92592500</v>
      </c>
      <c r="AK13" s="8" t="n">
        <f aca="false">Prizes!$C$64*AK5</f>
        <v>92592500</v>
      </c>
      <c r="AL13" s="8" t="n">
        <f aca="false">Prizes!$C$64*AL5</f>
        <v>92592500</v>
      </c>
    </row>
    <row r="14" customFormat="false" ht="15" hidden="false" customHeight="false" outlineLevel="0" collapsed="false">
      <c r="A14" s="3" t="s">
        <v>438</v>
      </c>
      <c r="B14" s="4" t="s">
        <v>188</v>
      </c>
      <c r="C14" s="8" t="n">
        <f aca="false">SUM(C6:C13)</f>
        <v>0</v>
      </c>
      <c r="D14" s="8" t="n">
        <f aca="false">SUM(D6:D13)</f>
        <v>600000000</v>
      </c>
      <c r="E14" s="8" t="n">
        <f aca="false">SUM(E6:E13)</f>
        <v>600000000</v>
      </c>
      <c r="F14" s="8" t="n">
        <f aca="false">SUM(F6:F13)</f>
        <v>600000000</v>
      </c>
      <c r="G14" s="8" t="n">
        <f aca="false">SUM(G6:G13)</f>
        <v>730052977.5</v>
      </c>
      <c r="H14" s="8" t="n">
        <f aca="false">SUM(H6:H13)</f>
        <v>480052977.5</v>
      </c>
      <c r="I14" s="8" t="n">
        <f aca="false">SUM(I6:I13)</f>
        <v>480052977.5</v>
      </c>
      <c r="J14" s="8" t="n">
        <f aca="false">SUM(J6:J13)</f>
        <v>1480052977.5</v>
      </c>
      <c r="K14" s="8" t="n">
        <f aca="false">SUM(K6:K13)</f>
        <v>1480052977.5</v>
      </c>
      <c r="L14" s="8" t="n">
        <f aca="false">SUM(L6:L13)</f>
        <v>1480052977.5</v>
      </c>
      <c r="M14" s="8" t="n">
        <f aca="false">SUM(M6:M13)</f>
        <v>1611154125.375</v>
      </c>
      <c r="N14" s="8" t="n">
        <f aca="false">SUM(N6:N13)</f>
        <v>1890519139.63889</v>
      </c>
      <c r="O14" s="8" t="n">
        <f aca="false">SUM(O6:O13)</f>
        <v>1510778709.45833</v>
      </c>
      <c r="P14" s="8" t="n">
        <f aca="false">SUM(P6:P13)</f>
        <v>1881038279.27778</v>
      </c>
      <c r="Q14" s="8" t="n">
        <f aca="false">SUM(Q6:Q13)</f>
        <v>2251297849.09722</v>
      </c>
      <c r="R14" s="8" t="n">
        <f aca="false">SUM(R6:R13)</f>
        <v>2621557418.91667</v>
      </c>
      <c r="S14" s="8" t="n">
        <f aca="false">SUM(S6:S13)</f>
        <v>2621557418.91667</v>
      </c>
      <c r="T14" s="8" t="n">
        <f aca="false">SUM(T6:T13)</f>
        <v>2621557418.91667</v>
      </c>
      <c r="U14" s="8" t="n">
        <f aca="false">SUM(U6:U13)</f>
        <v>2621557418.91667</v>
      </c>
      <c r="V14" s="8" t="n">
        <f aca="false">SUM(V6:V13)</f>
        <v>2621557418.91667</v>
      </c>
      <c r="W14" s="8" t="n">
        <f aca="false">SUM(W6:W13)</f>
        <v>2621557418.91667</v>
      </c>
      <c r="X14" s="8" t="n">
        <f aca="false">SUM(X6:X13)</f>
        <v>2621557418.91667</v>
      </c>
      <c r="Y14" s="8" t="n">
        <f aca="false">SUM(Y6:Y13)</f>
        <v>2621557418.91667</v>
      </c>
      <c r="Z14" s="8" t="n">
        <f aca="false">SUM(Z6:Z13)</f>
        <v>2621557418.91667</v>
      </c>
      <c r="AA14" s="8" t="n">
        <f aca="false">SUM(AA6:AA13)</f>
        <v>2621557418.91667</v>
      </c>
      <c r="AB14" s="8" t="n">
        <f aca="false">SUM(AB6:AB13)</f>
        <v>2621557418.91667</v>
      </c>
      <c r="AC14" s="8" t="n">
        <f aca="false">SUM(AC6:AC13)</f>
        <v>2621557418.91667</v>
      </c>
      <c r="AD14" s="8" t="n">
        <f aca="false">SUM(AD6:AD13)</f>
        <v>2621557418.91667</v>
      </c>
      <c r="AE14" s="8" t="n">
        <f aca="false">SUM(AE6:AE13)</f>
        <v>2621557418.91667</v>
      </c>
      <c r="AF14" s="8" t="n">
        <f aca="false">SUM(AF6:AF13)</f>
        <v>2621557418.91667</v>
      </c>
      <c r="AG14" s="8" t="n">
        <f aca="false">SUM(AG6:AG13)</f>
        <v>2621557418.91667</v>
      </c>
      <c r="AH14" s="8" t="n">
        <f aca="false">SUM(AH6:AH13)</f>
        <v>2621557418.91667</v>
      </c>
      <c r="AI14" s="8" t="n">
        <f aca="false">SUM(AI6:AI13)</f>
        <v>2621557418.91667</v>
      </c>
      <c r="AJ14" s="8" t="n">
        <f aca="false">SUM(AJ6:AJ13)</f>
        <v>2621557418.91667</v>
      </c>
      <c r="AK14" s="8" t="n">
        <f aca="false">SUM(AK6:AK13)</f>
        <v>2621557418.91667</v>
      </c>
      <c r="AL14" s="8" t="n">
        <f aca="false">SUM(AL6:AL13)</f>
        <v>2621557418.91667</v>
      </c>
    </row>
    <row r="15" customFormat="false" ht="15" hidden="false" customHeight="false" outlineLevel="0" collapsed="false">
      <c r="A15" s="2" t="s">
        <v>439</v>
      </c>
      <c r="B15" s="4" t="s">
        <v>176</v>
      </c>
      <c r="C15" s="8" t="n">
        <f aca="false">N(B15)*(1-Loyalty_Inputs!$C$24)+N(B4)*Loyalty_Inputs!$C$24*Loyalty_Inputs!$C$25</f>
        <v>0</v>
      </c>
      <c r="D15" s="8" t="n">
        <f aca="false">N(C15)*(1-Loyalty_Inputs!$C$24)+N(C4)*Loyalty_Inputs!$C$24*Loyalty_Inputs!$C$25</f>
        <v>0</v>
      </c>
      <c r="E15" s="8" t="n">
        <f aca="false">N(D15)*(1-Loyalty_Inputs!$C$24)+N(D4)*Loyalty_Inputs!$C$24*Loyalty_Inputs!$C$25</f>
        <v>0</v>
      </c>
      <c r="F15" s="8" t="n">
        <f aca="false">N(E15)*(1-Loyalty_Inputs!$C$24)+N(E4)*Loyalty_Inputs!$C$24*Loyalty_Inputs!$C$25</f>
        <v>0</v>
      </c>
      <c r="G15" s="8" t="n">
        <f aca="false">N(F15)*(1-Loyalty_Inputs!$C$24)+N(F4)*Loyalty_Inputs!$C$24*Loyalty_Inputs!$C$25</f>
        <v>0</v>
      </c>
      <c r="H15" s="8" t="n">
        <f aca="false">N(G15)*(1-Loyalty_Inputs!$C$24)+N(G4)*Loyalty_Inputs!$C$24*Loyalty_Inputs!$C$25</f>
        <v>270</v>
      </c>
      <c r="I15" s="8" t="n">
        <f aca="false">N(H15)*(1-Loyalty_Inputs!$C$24)+N(H4)*Loyalty_Inputs!$C$24*Loyalty_Inputs!$C$25</f>
        <v>536.76</v>
      </c>
      <c r="J15" s="8" t="n">
        <f aca="false">N(I15)*(1-Loyalty_Inputs!$C$24)+N(I4)*Loyalty_Inputs!$C$24*Loyalty_Inputs!$C$25</f>
        <v>800.31888</v>
      </c>
      <c r="K15" s="8" t="n">
        <f aca="false">N(J15)*(1-Loyalty_Inputs!$C$24)+N(J4)*Loyalty_Inputs!$C$24*Loyalty_Inputs!$C$25</f>
        <v>1060.71505344</v>
      </c>
      <c r="L15" s="8" t="n">
        <f aca="false">N(K15)*(1-Loyalty_Inputs!$C$24)+N(K4)*Loyalty_Inputs!$C$24*Loyalty_Inputs!$C$25</f>
        <v>1317.98647279872</v>
      </c>
      <c r="M15" s="8" t="n">
        <f aca="false">N(L15)*(1-Loyalty_Inputs!$C$24)+N(L4)*Loyalty_Inputs!$C$24*Loyalty_Inputs!$C$25</f>
        <v>1572.17063512514</v>
      </c>
      <c r="N15" s="8" t="n">
        <f aca="false">N(M15)*(1-Loyalty_Inputs!$C$24)+N(M4)*Loyalty_Inputs!$C$24*Loyalty_Inputs!$C$25</f>
        <v>1998.80458750363</v>
      </c>
      <c r="O15" s="8" t="n">
        <f aca="false">N(N15)*(1-Loyalty_Inputs!$C$24)+N(N4)*Loyalty_Inputs!$C$24*Loyalty_Inputs!$C$25</f>
        <v>2865.81893245359</v>
      </c>
      <c r="P15" s="8" t="n">
        <f aca="false">N(O15)*(1-Loyalty_Inputs!$C$24)+N(O4)*Loyalty_Inputs!$C$24*Loyalty_Inputs!$C$25</f>
        <v>4167.92910526415</v>
      </c>
      <c r="Q15" s="8" t="n">
        <f aca="false">N(P15)*(1-Loyalty_Inputs!$C$24)+N(P4)*Loyalty_Inputs!$C$24*Loyalty_Inputs!$C$25</f>
        <v>5899.91395600098</v>
      </c>
      <c r="R15" s="8" t="n">
        <f aca="false">N(Q15)*(1-Loyalty_Inputs!$C$24)+N(Q4)*Loyalty_Inputs!$C$24*Loyalty_Inputs!$C$25</f>
        <v>8056.61498852897</v>
      </c>
      <c r="S15" s="8" t="n">
        <f aca="false">N(R15)*(1-Loyalty_Inputs!$C$24)+N(R4)*Loyalty_Inputs!$C$24*Loyalty_Inputs!$C$25</f>
        <v>10632.9356086666</v>
      </c>
      <c r="T15" s="8" t="n">
        <f aca="false">N(S15)*(1-Loyalty_Inputs!$C$24)+N(S4)*Loyalty_Inputs!$C$24*Loyalty_Inputs!$C$25</f>
        <v>13178.3403813626</v>
      </c>
      <c r="U15" s="8" t="n">
        <f aca="false">N(T15)*(1-Loyalty_Inputs!$C$24)+N(T4)*Loyalty_Inputs!$C$24*Loyalty_Inputs!$C$25</f>
        <v>15693.2002967863</v>
      </c>
      <c r="V15" s="8" t="n">
        <f aca="false">N(U15)*(1-Loyalty_Inputs!$C$24)+N(U4)*Loyalty_Inputs!$C$24*Loyalty_Inputs!$C$25</f>
        <v>18177.8818932248</v>
      </c>
      <c r="W15" s="8" t="n">
        <f aca="false">N(V15)*(1-Loyalty_Inputs!$C$24)+N(V4)*Loyalty_Inputs!$C$24*Loyalty_Inputs!$C$25</f>
        <v>20632.7473105061</v>
      </c>
      <c r="X15" s="8" t="n">
        <f aca="false">N(W15)*(1-Loyalty_Inputs!$C$24)+N(W4)*Loyalty_Inputs!$C$24*Loyalty_Inputs!$C$25</f>
        <v>23058.1543427801</v>
      </c>
      <c r="Y15" s="8" t="n">
        <f aca="false">N(X15)*(1-Loyalty_Inputs!$C$24)+N(X4)*Loyalty_Inputs!$C$24*Loyalty_Inputs!$C$25</f>
        <v>25454.4564906667</v>
      </c>
      <c r="Z15" s="8" t="n">
        <f aca="false">N(Y15)*(1-Loyalty_Inputs!$C$24)+N(Y4)*Loyalty_Inputs!$C$24*Loyalty_Inputs!$C$25</f>
        <v>27822.0030127787</v>
      </c>
      <c r="AA15" s="8" t="n">
        <f aca="false">N(Z15)*(1-Loyalty_Inputs!$C$24)+N(Z4)*Loyalty_Inputs!$C$24*Loyalty_Inputs!$C$25</f>
        <v>30161.1389766254</v>
      </c>
      <c r="AB15" s="8" t="n">
        <f aca="false">N(AA15)*(1-Loyalty_Inputs!$C$24)+N(AA4)*Loyalty_Inputs!$C$24*Loyalty_Inputs!$C$25</f>
        <v>32472.2053089058</v>
      </c>
      <c r="AC15" s="8" t="n">
        <f aca="false">N(AB15)*(1-Loyalty_Inputs!$C$24)+N(AB4)*Loyalty_Inputs!$C$24*Loyalty_Inputs!$C$25</f>
        <v>34755.538845199</v>
      </c>
      <c r="AD15" s="8" t="n">
        <f aca="false">N(AC15)*(1-Loyalty_Inputs!$C$24)+N(AC4)*Loyalty_Inputs!$C$24*Loyalty_Inputs!$C$25</f>
        <v>37011.4723790566</v>
      </c>
      <c r="AE15" s="8" t="n">
        <f aca="false">N(AD15)*(1-Loyalty_Inputs!$C$24)+N(AD4)*Loyalty_Inputs!$C$24*Loyalty_Inputs!$C$25</f>
        <v>39240.3347105079</v>
      </c>
      <c r="AF15" s="8" t="n">
        <f aca="false">N(AE15)*(1-Loyalty_Inputs!$C$24)+N(AE4)*Loyalty_Inputs!$C$24*Loyalty_Inputs!$C$25</f>
        <v>41442.4506939818</v>
      </c>
      <c r="AG15" s="8" t="n">
        <f aca="false">N(AF15)*(1-Loyalty_Inputs!$C$24)+N(AF4)*Loyalty_Inputs!$C$24*Loyalty_Inputs!$C$25</f>
        <v>43618.141285654</v>
      </c>
      <c r="AH15" s="8" t="n">
        <f aca="false">N(AG15)*(1-Loyalty_Inputs!$C$24)+N(AG4)*Loyalty_Inputs!$C$24*Loyalty_Inputs!$C$25</f>
        <v>45767.7235902262</v>
      </c>
      <c r="AI15" s="8" t="n">
        <f aca="false">N(AH15)*(1-Loyalty_Inputs!$C$24)+N(AH4)*Loyalty_Inputs!$C$24*Loyalty_Inputs!$C$25</f>
        <v>47891.5109071435</v>
      </c>
      <c r="AJ15" s="8" t="n">
        <f aca="false">N(AI15)*(1-Loyalty_Inputs!$C$24)+N(AI4)*Loyalty_Inputs!$C$24*Loyalty_Inputs!$C$25</f>
        <v>49989.8127762577</v>
      </c>
      <c r="AK15" s="8" t="n">
        <f aca="false">N(AJ15)*(1-Loyalty_Inputs!$C$24)+N(AJ4)*Loyalty_Inputs!$C$24*Loyalty_Inputs!$C$25</f>
        <v>52062.9350229427</v>
      </c>
      <c r="AL15" s="8" t="n">
        <f aca="false">N(AK15)*(1-Loyalty_Inputs!$C$24)+N(AK4)*Loyalty_Inputs!$C$24*Loyalty_Inputs!$C$25</f>
        <v>54111.1798026673</v>
      </c>
    </row>
    <row r="16" customFormat="false" ht="15" hidden="false" customHeight="false" outlineLevel="0" collapsed="false">
      <c r="A16" s="2" t="s">
        <v>440</v>
      </c>
      <c r="B16" s="4" t="s">
        <v>441</v>
      </c>
      <c r="C16" s="8" t="n">
        <f aca="false">C15*Loyalty_Inputs!$C$47</f>
        <v>0</v>
      </c>
      <c r="D16" s="8" t="n">
        <f aca="false">D15*Loyalty_Inputs!$C$47</f>
        <v>0</v>
      </c>
      <c r="E16" s="8" t="n">
        <f aca="false">E15*Loyalty_Inputs!$C$47</f>
        <v>0</v>
      </c>
      <c r="F16" s="8" t="n">
        <f aca="false">F15*Loyalty_Inputs!$C$47</f>
        <v>0</v>
      </c>
      <c r="G16" s="8" t="n">
        <f aca="false">G15*Loyalty_Inputs!$C$47</f>
        <v>0</v>
      </c>
      <c r="H16" s="8" t="n">
        <f aca="false">H15*Loyalty_Inputs!$C$47</f>
        <v>11860714.2857143</v>
      </c>
      <c r="I16" s="8" t="n">
        <f aca="false">I15*Loyalty_Inputs!$C$47</f>
        <v>23579100</v>
      </c>
      <c r="J16" s="8" t="n">
        <f aca="false">J15*Loyalty_Inputs!$C$47</f>
        <v>35156865.0857143</v>
      </c>
      <c r="K16" s="8" t="n">
        <f aca="false">K15*Loyalty_Inputs!$C$47</f>
        <v>46595696.9904</v>
      </c>
      <c r="L16" s="8" t="n">
        <f aca="false">L15*Loyalty_Inputs!$C$47</f>
        <v>57897262.9122295</v>
      </c>
      <c r="M16" s="8" t="n">
        <f aca="false">M15*Loyalty_Inputs!$C$47</f>
        <v>69063210.042997</v>
      </c>
      <c r="N16" s="8" t="n">
        <f aca="false">N15*Loyalty_Inputs!$C$47</f>
        <v>87804630.0939096</v>
      </c>
      <c r="O16" s="8" t="n">
        <f aca="false">O15*Loyalty_Inputs!$C$47</f>
        <v>125891331.67564</v>
      </c>
      <c r="P16" s="8" t="n">
        <f aca="false">P15*Loyalty_Inputs!$C$47</f>
        <v>183091171.409818</v>
      </c>
      <c r="Q16" s="8" t="n">
        <f aca="false">Q15*Loyalty_Inputs!$C$47</f>
        <v>259174791.638614</v>
      </c>
      <c r="R16" s="8" t="n">
        <f aca="false">R15*Loyalty_Inputs!$C$47</f>
        <v>353915586.996094</v>
      </c>
      <c r="S16" s="8" t="n">
        <f aca="false">S15*Loyalty_Inputs!$C$47</f>
        <v>467089671.380712</v>
      </c>
      <c r="T16" s="8" t="n">
        <f aca="false">T15*Loyalty_Inputs!$C$47</f>
        <v>578905666.752715</v>
      </c>
      <c r="U16" s="8" t="n">
        <f aca="false">U15*Loyalty_Inputs!$C$47</f>
        <v>689379870.180254</v>
      </c>
      <c r="V16" s="8" t="n">
        <f aca="false">V15*Loyalty_Inputs!$C$47</f>
        <v>798528383.166662</v>
      </c>
      <c r="W16" s="8" t="n">
        <f aca="false">W15*Loyalty_Inputs!$C$47</f>
        <v>906367113.997234</v>
      </c>
      <c r="X16" s="8" t="n">
        <f aca="false">X15*Loyalty_Inputs!$C$47</f>
        <v>1012911780.05784</v>
      </c>
      <c r="Y16" s="8" t="n">
        <f aca="false">Y15*Loyalty_Inputs!$C$47</f>
        <v>1118177910.12572</v>
      </c>
      <c r="Z16" s="8" t="n">
        <f aca="false">Z15*Loyalty_Inputs!$C$47</f>
        <v>1222180846.63278</v>
      </c>
      <c r="AA16" s="8" t="n">
        <f aca="false">AA15*Loyalty_Inputs!$C$47</f>
        <v>1324935747.90176</v>
      </c>
      <c r="AB16" s="8" t="n">
        <f aca="false">AB15*Loyalty_Inputs!$C$47</f>
        <v>1426457590.35551</v>
      </c>
      <c r="AC16" s="8" t="n">
        <f aca="false">AC15*Loyalty_Inputs!$C$47</f>
        <v>1526761170.69981</v>
      </c>
      <c r="AD16" s="8" t="n">
        <f aca="false">AD15*Loyalty_Inputs!$C$47</f>
        <v>1625861108.07999</v>
      </c>
      <c r="AE16" s="8" t="n">
        <f aca="false">AE15*Loyalty_Inputs!$C$47</f>
        <v>1723771846.2116</v>
      </c>
      <c r="AF16" s="8" t="n">
        <f aca="false">AF15*Loyalty_Inputs!$C$47</f>
        <v>1820507655.48563</v>
      </c>
      <c r="AG16" s="8" t="n">
        <f aca="false">AG15*Loyalty_Inputs!$C$47</f>
        <v>1916082635.04837</v>
      </c>
      <c r="AH16" s="8" t="n">
        <f aca="false">AH15*Loyalty_Inputs!$C$47</f>
        <v>2010510714.85636</v>
      </c>
      <c r="AI16" s="8" t="n">
        <f aca="false">AI15*Loyalty_Inputs!$C$47</f>
        <v>2103805657.70666</v>
      </c>
      <c r="AJ16" s="8" t="n">
        <f aca="false">AJ15*Loyalty_Inputs!$C$47</f>
        <v>2195981061.24275</v>
      </c>
      <c r="AK16" s="8" t="n">
        <f aca="false">AK15*Loyalty_Inputs!$C$47</f>
        <v>2287050359.93641</v>
      </c>
      <c r="AL16" s="8" t="n">
        <f aca="false">AL15*Loyalty_Inputs!$C$47</f>
        <v>2377026827.04574</v>
      </c>
    </row>
    <row r="17" customFormat="false" ht="15" hidden="false" customHeight="false" outlineLevel="0" collapsed="false">
      <c r="A17" s="2" t="s">
        <v>442</v>
      </c>
      <c r="B17" s="4" t="s">
        <v>443</v>
      </c>
      <c r="C17" s="8" t="n">
        <f aca="false">C4*Loyalty_Inputs!$C$47*Loyalty_Inputs!$C$26</f>
        <v>0</v>
      </c>
      <c r="D17" s="8" t="n">
        <f aca="false">D4*Loyalty_Inputs!$C$47*Loyalty_Inputs!$C$26</f>
        <v>0</v>
      </c>
      <c r="E17" s="8" t="n">
        <f aca="false">E4*Loyalty_Inputs!$C$47*Loyalty_Inputs!$C$26</f>
        <v>0</v>
      </c>
      <c r="F17" s="8" t="n">
        <f aca="false">F4*Loyalty_Inputs!$C$47*Loyalty_Inputs!$C$26</f>
        <v>0</v>
      </c>
      <c r="G17" s="8" t="n">
        <f aca="false">G4*Loyalty_Inputs!$C$47*Loyalty_Inputs!$C$26</f>
        <v>98839285.7142857</v>
      </c>
      <c r="H17" s="8" t="n">
        <f aca="false">H4*Loyalty_Inputs!$C$47*Loyalty_Inputs!$C$26</f>
        <v>98839285.7142857</v>
      </c>
      <c r="I17" s="8" t="n">
        <f aca="false">I4*Loyalty_Inputs!$C$47*Loyalty_Inputs!$C$26</f>
        <v>98839285.7142857</v>
      </c>
      <c r="J17" s="8" t="n">
        <f aca="false">J4*Loyalty_Inputs!$C$47*Loyalty_Inputs!$C$26</f>
        <v>98839285.7142857</v>
      </c>
      <c r="K17" s="8" t="n">
        <f aca="false">K4*Loyalty_Inputs!$C$47*Loyalty_Inputs!$C$26</f>
        <v>98839285.7142857</v>
      </c>
      <c r="L17" s="8" t="n">
        <f aca="false">L4*Loyalty_Inputs!$C$47*Loyalty_Inputs!$C$26</f>
        <v>98839285.7142857</v>
      </c>
      <c r="M17" s="8" t="n">
        <f aca="false">M4*Loyalty_Inputs!$C$47*Loyalty_Inputs!$C$26</f>
        <v>163084821.428571</v>
      </c>
      <c r="N17" s="8" t="n">
        <f aca="false">N4*Loyalty_Inputs!$C$47*Loyalty_Inputs!$C$26</f>
        <v>326169642.857143</v>
      </c>
      <c r="O17" s="8" t="n">
        <f aca="false">O4*Loyalty_Inputs!$C$47*Loyalty_Inputs!$C$26</f>
        <v>489254464.285714</v>
      </c>
      <c r="P17" s="8" t="n">
        <f aca="false">P4*Loyalty_Inputs!$C$47*Loyalty_Inputs!$C$26</f>
        <v>652339285.714286</v>
      </c>
      <c r="Q17" s="8" t="n">
        <f aca="false">Q4*Loyalty_Inputs!$C$47*Loyalty_Inputs!$C$26</f>
        <v>815424107.142857</v>
      </c>
      <c r="R17" s="8" t="n">
        <f aca="false">R4*Loyalty_Inputs!$C$47*Loyalty_Inputs!$C$26</f>
        <v>978508928.571429</v>
      </c>
      <c r="S17" s="8" t="n">
        <f aca="false">S4*Loyalty_Inputs!$C$47*Loyalty_Inputs!$C$26</f>
        <v>978508928.571429</v>
      </c>
      <c r="T17" s="8" t="n">
        <f aca="false">T4*Loyalty_Inputs!$C$47*Loyalty_Inputs!$C$26</f>
        <v>978508928.571429</v>
      </c>
      <c r="U17" s="8" t="n">
        <f aca="false">U4*Loyalty_Inputs!$C$47*Loyalty_Inputs!$C$26</f>
        <v>978508928.571429</v>
      </c>
      <c r="V17" s="8" t="n">
        <f aca="false">V4*Loyalty_Inputs!$C$47*Loyalty_Inputs!$C$26</f>
        <v>978508928.571429</v>
      </c>
      <c r="W17" s="8" t="n">
        <f aca="false">W4*Loyalty_Inputs!$C$47*Loyalty_Inputs!$C$26</f>
        <v>978508928.571429</v>
      </c>
      <c r="X17" s="8" t="n">
        <f aca="false">X4*Loyalty_Inputs!$C$47*Loyalty_Inputs!$C$26</f>
        <v>978508928.571429</v>
      </c>
      <c r="Y17" s="8" t="n">
        <f aca="false">Y4*Loyalty_Inputs!$C$47*Loyalty_Inputs!$C$26</f>
        <v>978508928.571429</v>
      </c>
      <c r="Z17" s="8" t="n">
        <f aca="false">Z4*Loyalty_Inputs!$C$47*Loyalty_Inputs!$C$26</f>
        <v>978508928.571429</v>
      </c>
      <c r="AA17" s="8" t="n">
        <f aca="false">AA4*Loyalty_Inputs!$C$47*Loyalty_Inputs!$C$26</f>
        <v>978508928.571429</v>
      </c>
      <c r="AB17" s="8" t="n">
        <f aca="false">AB4*Loyalty_Inputs!$C$47*Loyalty_Inputs!$C$26</f>
        <v>978508928.571429</v>
      </c>
      <c r="AC17" s="8" t="n">
        <f aca="false">AC4*Loyalty_Inputs!$C$47*Loyalty_Inputs!$C$26</f>
        <v>978508928.571429</v>
      </c>
      <c r="AD17" s="8" t="n">
        <f aca="false">AD4*Loyalty_Inputs!$C$47*Loyalty_Inputs!$C$26</f>
        <v>978508928.571429</v>
      </c>
      <c r="AE17" s="8" t="n">
        <f aca="false">AE4*Loyalty_Inputs!$C$47*Loyalty_Inputs!$C$26</f>
        <v>978508928.571429</v>
      </c>
      <c r="AF17" s="8" t="n">
        <f aca="false">AF4*Loyalty_Inputs!$C$47*Loyalty_Inputs!$C$26</f>
        <v>978508928.571429</v>
      </c>
      <c r="AG17" s="8" t="n">
        <f aca="false">AG4*Loyalty_Inputs!$C$47*Loyalty_Inputs!$C$26</f>
        <v>978508928.571429</v>
      </c>
      <c r="AH17" s="8" t="n">
        <f aca="false">AH4*Loyalty_Inputs!$C$47*Loyalty_Inputs!$C$26</f>
        <v>978508928.571429</v>
      </c>
      <c r="AI17" s="8" t="n">
        <f aca="false">AI4*Loyalty_Inputs!$C$47*Loyalty_Inputs!$C$26</f>
        <v>978508928.571429</v>
      </c>
      <c r="AJ17" s="8" t="n">
        <f aca="false">AJ4*Loyalty_Inputs!$C$47*Loyalty_Inputs!$C$26</f>
        <v>978508928.571429</v>
      </c>
      <c r="AK17" s="8" t="n">
        <f aca="false">AK4*Loyalty_Inputs!$C$47*Loyalty_Inputs!$C$26</f>
        <v>978508928.571429</v>
      </c>
      <c r="AL17" s="8" t="n">
        <f aca="false">AL4*Loyalty_Inputs!$C$47*Loyalty_Inputs!$C$26</f>
        <v>978508928.571429</v>
      </c>
    </row>
    <row r="18" customFormat="false" ht="15" hidden="false" customHeight="false" outlineLevel="0" collapsed="false">
      <c r="A18" s="2" t="s">
        <v>444</v>
      </c>
      <c r="B18" s="4" t="s">
        <v>445</v>
      </c>
      <c r="C18" s="8" t="n">
        <f aca="false">N(B18)*(1-Loyalty_Inputs!$C$24)+C4*Loyalty_Inputs!$C$50*Loyalty_Inputs!$C$27</f>
        <v>0</v>
      </c>
      <c r="D18" s="8" t="n">
        <f aca="false">N(C18)*(1-Loyalty_Inputs!$C$24)+D4*Loyalty_Inputs!$C$50*Loyalty_Inputs!$C$27</f>
        <v>0</v>
      </c>
      <c r="E18" s="8" t="n">
        <f aca="false">N(D18)*(1-Loyalty_Inputs!$C$24)+E4*Loyalty_Inputs!$C$50*Loyalty_Inputs!$C$27</f>
        <v>0</v>
      </c>
      <c r="F18" s="8" t="n">
        <f aca="false">N(E18)*(1-Loyalty_Inputs!$C$24)+F4*Loyalty_Inputs!$C$50*Loyalty_Inputs!$C$27</f>
        <v>0</v>
      </c>
      <c r="G18" s="8" t="n">
        <f aca="false">N(F18)*(1-Loyalty_Inputs!$C$24)+G4*Loyalty_Inputs!$C$50*Loyalty_Inputs!$C$27</f>
        <v>420</v>
      </c>
      <c r="H18" s="8" t="n">
        <f aca="false">N(G18)*(1-Loyalty_Inputs!$C$24)+H4*Loyalty_Inputs!$C$50*Loyalty_Inputs!$C$27</f>
        <v>834.96</v>
      </c>
      <c r="I18" s="8" t="n">
        <f aca="false">N(H18)*(1-Loyalty_Inputs!$C$24)+I4*Loyalty_Inputs!$C$50*Loyalty_Inputs!$C$27</f>
        <v>1244.94048</v>
      </c>
      <c r="J18" s="8" t="n">
        <f aca="false">N(I18)*(1-Loyalty_Inputs!$C$24)+J4*Loyalty_Inputs!$C$50*Loyalty_Inputs!$C$27</f>
        <v>1650.00119424</v>
      </c>
      <c r="K18" s="8" t="n">
        <f aca="false">N(J18)*(1-Loyalty_Inputs!$C$24)+K4*Loyalty_Inputs!$C$50*Loyalty_Inputs!$C$27</f>
        <v>2050.20117990912</v>
      </c>
      <c r="L18" s="8" t="n">
        <f aca="false">N(K18)*(1-Loyalty_Inputs!$C$24)+L4*Loyalty_Inputs!$C$50*Loyalty_Inputs!$C$27</f>
        <v>2445.59876575021</v>
      </c>
      <c r="M18" s="8" t="n">
        <f aca="false">N(L18)*(1-Loyalty_Inputs!$C$24)+M4*Loyalty_Inputs!$C$50*Loyalty_Inputs!$C$27</f>
        <v>3109.25158056121</v>
      </c>
      <c r="N18" s="8" t="n">
        <f aca="false">N(M18)*(1-Loyalty_Inputs!$C$24)+N4*Loyalty_Inputs!$C$50*Loyalty_Inputs!$C$27</f>
        <v>4457.94056159447</v>
      </c>
      <c r="O18" s="8" t="n">
        <f aca="false">N(N18)*(1-Loyalty_Inputs!$C$24)+O4*Loyalty_Inputs!$C$50*Loyalty_Inputs!$C$27</f>
        <v>6483.44527485534</v>
      </c>
      <c r="P18" s="8" t="n">
        <f aca="false">N(O18)*(1-Loyalty_Inputs!$C$24)+P4*Loyalty_Inputs!$C$50*Loyalty_Inputs!$C$27</f>
        <v>9177.64393155708</v>
      </c>
      <c r="Q18" s="8" t="n">
        <f aca="false">N(P18)*(1-Loyalty_Inputs!$C$24)+Q4*Loyalty_Inputs!$C$50*Loyalty_Inputs!$C$27</f>
        <v>12532.5122043784</v>
      </c>
      <c r="R18" s="8" t="n">
        <f aca="false">N(Q18)*(1-Loyalty_Inputs!$C$24)+R4*Loyalty_Inputs!$C$50*Loyalty_Inputs!$C$27</f>
        <v>16540.1220579259</v>
      </c>
      <c r="S18" s="8" t="n">
        <f aca="false">N(R18)*(1-Loyalty_Inputs!$C$24)+S4*Loyalty_Inputs!$C$50*Loyalty_Inputs!$C$27</f>
        <v>20499.6405932307</v>
      </c>
      <c r="T18" s="8" t="n">
        <f aca="false">N(S18)*(1-Loyalty_Inputs!$C$24)+T4*Loyalty_Inputs!$C$50*Loyalty_Inputs!$C$27</f>
        <v>24411.644906112</v>
      </c>
      <c r="U18" s="8" t="n">
        <f aca="false">N(T18)*(1-Loyalty_Inputs!$C$24)+U4*Loyalty_Inputs!$C$50*Loyalty_Inputs!$C$27</f>
        <v>28276.7051672386</v>
      </c>
      <c r="V18" s="8" t="n">
        <f aca="false">N(U18)*(1-Loyalty_Inputs!$C$24)+V4*Loyalty_Inputs!$C$50*Loyalty_Inputs!$C$27</f>
        <v>32095.3847052318</v>
      </c>
      <c r="W18" s="8" t="n">
        <f aca="false">N(V18)*(1-Loyalty_Inputs!$C$24)+W4*Loyalty_Inputs!$C$50*Loyalty_Inputs!$C$27</f>
        <v>35868.240088769</v>
      </c>
      <c r="X18" s="8" t="n">
        <f aca="false">N(W18)*(1-Loyalty_Inputs!$C$24)+X4*Loyalty_Inputs!$C$50*Loyalty_Inputs!$C$27</f>
        <v>39595.8212077038</v>
      </c>
      <c r="Y18" s="8" t="n">
        <f aca="false">N(X18)*(1-Loyalty_Inputs!$C$24)+Y4*Loyalty_Inputs!$C$50*Loyalty_Inputs!$C$27</f>
        <v>43278.6713532113</v>
      </c>
      <c r="Z18" s="8" t="n">
        <f aca="false">N(Y18)*(1-Loyalty_Inputs!$C$24)+Z4*Loyalty_Inputs!$C$50*Loyalty_Inputs!$C$27</f>
        <v>46917.3272969728</v>
      </c>
      <c r="AA18" s="8" t="n">
        <f aca="false">N(Z18)*(1-Loyalty_Inputs!$C$24)+AA4*Loyalty_Inputs!$C$50*Loyalty_Inputs!$C$27</f>
        <v>50512.3193694091</v>
      </c>
      <c r="AB18" s="8" t="n">
        <f aca="false">N(AA18)*(1-Loyalty_Inputs!$C$24)+AB4*Loyalty_Inputs!$C$50*Loyalty_Inputs!$C$27</f>
        <v>54064.1715369762</v>
      </c>
      <c r="AC18" s="8" t="n">
        <f aca="false">N(AB18)*(1-Loyalty_Inputs!$C$24)+AC4*Loyalty_Inputs!$C$50*Loyalty_Inputs!$C$27</f>
        <v>57573.4014785325</v>
      </c>
      <c r="AD18" s="8" t="n">
        <f aca="false">N(AC18)*(1-Loyalty_Inputs!$C$24)+AD4*Loyalty_Inputs!$C$50*Loyalty_Inputs!$C$27</f>
        <v>61040.5206607901</v>
      </c>
      <c r="AE18" s="8" t="n">
        <f aca="false">N(AD18)*(1-Loyalty_Inputs!$C$24)+AE4*Loyalty_Inputs!$C$50*Loyalty_Inputs!$C$27</f>
        <v>64466.0344128606</v>
      </c>
      <c r="AF18" s="8" t="n">
        <f aca="false">N(AE18)*(1-Loyalty_Inputs!$C$24)+AF4*Loyalty_Inputs!$C$50*Loyalty_Inputs!$C$27</f>
        <v>67850.4419999063</v>
      </c>
      <c r="AG18" s="8" t="n">
        <f aca="false">N(AF18)*(1-Loyalty_Inputs!$C$24)+AG4*Loyalty_Inputs!$C$50*Loyalty_Inputs!$C$27</f>
        <v>71194.2366959074</v>
      </c>
      <c r="AH18" s="8" t="n">
        <f aca="false">N(AG18)*(1-Loyalty_Inputs!$C$24)+AH4*Loyalty_Inputs!$C$50*Loyalty_Inputs!$C$27</f>
        <v>74497.9058555565</v>
      </c>
      <c r="AI18" s="8" t="n">
        <f aca="false">N(AH18)*(1-Loyalty_Inputs!$C$24)+AI4*Loyalty_Inputs!$C$50*Loyalty_Inputs!$C$27</f>
        <v>77761.9309852898</v>
      </c>
      <c r="AJ18" s="8" t="n">
        <f aca="false">N(AI18)*(1-Loyalty_Inputs!$C$24)+AJ4*Loyalty_Inputs!$C$50*Loyalty_Inputs!$C$27</f>
        <v>80986.7878134663</v>
      </c>
      <c r="AK18" s="8" t="n">
        <f aca="false">N(AJ18)*(1-Loyalty_Inputs!$C$24)+AK4*Loyalty_Inputs!$C$50*Loyalty_Inputs!$C$27</f>
        <v>84172.9463597047</v>
      </c>
      <c r="AL18" s="8" t="n">
        <f aca="false">N(AK18)*(1-Loyalty_Inputs!$C$24)+AL4*Loyalty_Inputs!$C$50*Loyalty_Inputs!$C$27</f>
        <v>87320.8710033883</v>
      </c>
    </row>
    <row r="19" customFormat="false" ht="15" hidden="false" customHeight="false" outlineLevel="0" collapsed="false">
      <c r="A19" s="2" t="s">
        <v>446</v>
      </c>
      <c r="B19" s="4" t="s">
        <v>447</v>
      </c>
      <c r="C19" s="8" t="n">
        <f aca="false">C18*Loyalty_Inputs!$C$28</f>
        <v>0</v>
      </c>
      <c r="D19" s="8" t="n">
        <f aca="false">D18*Loyalty_Inputs!$C$28</f>
        <v>0</v>
      </c>
      <c r="E19" s="8" t="n">
        <f aca="false">E18*Loyalty_Inputs!$C$28</f>
        <v>0</v>
      </c>
      <c r="F19" s="8" t="n">
        <f aca="false">F18*Loyalty_Inputs!$C$28</f>
        <v>0</v>
      </c>
      <c r="G19" s="8" t="n">
        <f aca="false">G18*Loyalty_Inputs!$C$28</f>
        <v>8400000</v>
      </c>
      <c r="H19" s="8" t="n">
        <f aca="false">H18*Loyalty_Inputs!$C$28</f>
        <v>16699200</v>
      </c>
      <c r="I19" s="8" t="n">
        <f aca="false">I18*Loyalty_Inputs!$C$28</f>
        <v>24898809.6</v>
      </c>
      <c r="J19" s="8" t="n">
        <f aca="false">J18*Loyalty_Inputs!$C$28</f>
        <v>33000023.8848</v>
      </c>
      <c r="K19" s="8" t="n">
        <f aca="false">K18*Loyalty_Inputs!$C$28</f>
        <v>41004023.5981824</v>
      </c>
      <c r="L19" s="8" t="n">
        <f aca="false">L18*Loyalty_Inputs!$C$28</f>
        <v>48911975.3150042</v>
      </c>
      <c r="M19" s="8" t="n">
        <f aca="false">M18*Loyalty_Inputs!$C$28</f>
        <v>62185031.6112242</v>
      </c>
      <c r="N19" s="8" t="n">
        <f aca="false">N18*Loyalty_Inputs!$C$28</f>
        <v>89158811.2318895</v>
      </c>
      <c r="O19" s="8" t="n">
        <f aca="false">O18*Loyalty_Inputs!$C$28</f>
        <v>129668905.497107</v>
      </c>
      <c r="P19" s="8" t="n">
        <f aca="false">P18*Loyalty_Inputs!$C$28</f>
        <v>183552878.631142</v>
      </c>
      <c r="Q19" s="8" t="n">
        <f aca="false">Q18*Loyalty_Inputs!$C$28</f>
        <v>250650244.087568</v>
      </c>
      <c r="R19" s="8" t="n">
        <f aca="false">R18*Loyalty_Inputs!$C$28</f>
        <v>330802441.158517</v>
      </c>
      <c r="S19" s="8" t="n">
        <f aca="false">S18*Loyalty_Inputs!$C$28</f>
        <v>409992811.864615</v>
      </c>
      <c r="T19" s="8" t="n">
        <f aca="false">T18*Loyalty_Inputs!$C$28</f>
        <v>488232898.122239</v>
      </c>
      <c r="U19" s="8" t="n">
        <f aca="false">U18*Loyalty_Inputs!$C$28</f>
        <v>565534103.344773</v>
      </c>
      <c r="V19" s="8" t="n">
        <f aca="false">V18*Loyalty_Inputs!$C$28</f>
        <v>641907694.104635</v>
      </c>
      <c r="W19" s="8" t="n">
        <f aca="false">W18*Loyalty_Inputs!$C$28</f>
        <v>717364801.77538</v>
      </c>
      <c r="X19" s="8" t="n">
        <f aca="false">X18*Loyalty_Inputs!$C$28</f>
        <v>791916424.154075</v>
      </c>
      <c r="Y19" s="8" t="n">
        <f aca="false">Y18*Loyalty_Inputs!$C$28</f>
        <v>865573427.064226</v>
      </c>
      <c r="Z19" s="8" t="n">
        <f aca="false">Z18*Loyalty_Inputs!$C$28</f>
        <v>938346545.939455</v>
      </c>
      <c r="AA19" s="8" t="n">
        <f aca="false">AA18*Loyalty_Inputs!$C$28</f>
        <v>1010246387.38818</v>
      </c>
      <c r="AB19" s="8" t="n">
        <f aca="false">AB18*Loyalty_Inputs!$C$28</f>
        <v>1081283430.73952</v>
      </c>
      <c r="AC19" s="8" t="n">
        <f aca="false">AC18*Loyalty_Inputs!$C$28</f>
        <v>1151468029.57065</v>
      </c>
      <c r="AD19" s="8" t="n">
        <f aca="false">AD18*Loyalty_Inputs!$C$28</f>
        <v>1220810413.2158</v>
      </c>
      <c r="AE19" s="8" t="n">
        <f aca="false">AE18*Loyalty_Inputs!$C$28</f>
        <v>1289320688.25721</v>
      </c>
      <c r="AF19" s="8" t="n">
        <f aca="false">AF18*Loyalty_Inputs!$C$28</f>
        <v>1357008839.99813</v>
      </c>
      <c r="AG19" s="8" t="n">
        <f aca="false">AG18*Loyalty_Inputs!$C$28</f>
        <v>1423884733.91815</v>
      </c>
      <c r="AH19" s="8" t="n">
        <f aca="false">AH18*Loyalty_Inputs!$C$28</f>
        <v>1489958117.11113</v>
      </c>
      <c r="AI19" s="8" t="n">
        <f aca="false">AI18*Loyalty_Inputs!$C$28</f>
        <v>1555238619.7058</v>
      </c>
      <c r="AJ19" s="8" t="n">
        <f aca="false">AJ18*Loyalty_Inputs!$C$28</f>
        <v>1619735756.26933</v>
      </c>
      <c r="AK19" s="8" t="n">
        <f aca="false">AK18*Loyalty_Inputs!$C$28</f>
        <v>1683458927.1941</v>
      </c>
      <c r="AL19" s="8" t="n">
        <f aca="false">AL18*Loyalty_Inputs!$C$28</f>
        <v>1746417420.06777</v>
      </c>
    </row>
    <row r="20" customFormat="false" ht="15" hidden="false" customHeight="false" outlineLevel="0" collapsed="false">
      <c r="A20" s="2" t="s">
        <v>448</v>
      </c>
      <c r="B20" s="4" t="s">
        <v>449</v>
      </c>
      <c r="C20" s="8" t="n">
        <f aca="false">C4*Loyalty_Inputs!$C$50*Loyalty_Inputs!$C$29*Loyalty_Inputs!$C$54</f>
        <v>0</v>
      </c>
      <c r="D20" s="8" t="n">
        <f aca="false">D4*Loyalty_Inputs!$C$50*Loyalty_Inputs!$C$29*Loyalty_Inputs!$C$54</f>
        <v>0</v>
      </c>
      <c r="E20" s="8" t="n">
        <f aca="false">E4*Loyalty_Inputs!$C$50*Loyalty_Inputs!$C$29*Loyalty_Inputs!$C$54</f>
        <v>0</v>
      </c>
      <c r="F20" s="8" t="n">
        <f aca="false">F4*Loyalty_Inputs!$C$50*Loyalty_Inputs!$C$29*Loyalty_Inputs!$C$54</f>
        <v>0</v>
      </c>
      <c r="G20" s="8" t="n">
        <f aca="false">G4*Loyalty_Inputs!$C$50*Loyalty_Inputs!$C$29*Loyalty_Inputs!$C$54</f>
        <v>28122187.5</v>
      </c>
      <c r="H20" s="8" t="n">
        <f aca="false">H4*Loyalty_Inputs!$C$50*Loyalty_Inputs!$C$29*Loyalty_Inputs!$C$54</f>
        <v>28122187.5</v>
      </c>
      <c r="I20" s="8" t="n">
        <f aca="false">I4*Loyalty_Inputs!$C$50*Loyalty_Inputs!$C$29*Loyalty_Inputs!$C$54</f>
        <v>28122187.5</v>
      </c>
      <c r="J20" s="8" t="n">
        <f aca="false">J4*Loyalty_Inputs!$C$50*Loyalty_Inputs!$C$29*Loyalty_Inputs!$C$54</f>
        <v>28122187.5</v>
      </c>
      <c r="K20" s="8" t="n">
        <f aca="false">K4*Loyalty_Inputs!$C$50*Loyalty_Inputs!$C$29*Loyalty_Inputs!$C$54</f>
        <v>28122187.5</v>
      </c>
      <c r="L20" s="8" t="n">
        <f aca="false">L4*Loyalty_Inputs!$C$50*Loyalty_Inputs!$C$29*Loyalty_Inputs!$C$54</f>
        <v>28122187.5</v>
      </c>
      <c r="M20" s="8" t="n">
        <f aca="false">M4*Loyalty_Inputs!$C$50*Loyalty_Inputs!$C$29*Loyalty_Inputs!$C$54</f>
        <v>46401609.375</v>
      </c>
      <c r="N20" s="8" t="n">
        <f aca="false">N4*Loyalty_Inputs!$C$50*Loyalty_Inputs!$C$29*Loyalty_Inputs!$C$54</f>
        <v>92803218.75</v>
      </c>
      <c r="O20" s="8" t="n">
        <f aca="false">O4*Loyalty_Inputs!$C$50*Loyalty_Inputs!$C$29*Loyalty_Inputs!$C$54</f>
        <v>139204828.125</v>
      </c>
      <c r="P20" s="8" t="n">
        <f aca="false">P4*Loyalty_Inputs!$C$50*Loyalty_Inputs!$C$29*Loyalty_Inputs!$C$54</f>
        <v>185606437.5</v>
      </c>
      <c r="Q20" s="8" t="n">
        <f aca="false">Q4*Loyalty_Inputs!$C$50*Loyalty_Inputs!$C$29*Loyalty_Inputs!$C$54</f>
        <v>232008046.875</v>
      </c>
      <c r="R20" s="8" t="n">
        <f aca="false">R4*Loyalty_Inputs!$C$50*Loyalty_Inputs!$C$29*Loyalty_Inputs!$C$54</f>
        <v>278409656.25</v>
      </c>
      <c r="S20" s="8" t="n">
        <f aca="false">S4*Loyalty_Inputs!$C$50*Loyalty_Inputs!$C$29*Loyalty_Inputs!$C$54</f>
        <v>278409656.25</v>
      </c>
      <c r="T20" s="8" t="n">
        <f aca="false">T4*Loyalty_Inputs!$C$50*Loyalty_Inputs!$C$29*Loyalty_Inputs!$C$54</f>
        <v>278409656.25</v>
      </c>
      <c r="U20" s="8" t="n">
        <f aca="false">U4*Loyalty_Inputs!$C$50*Loyalty_Inputs!$C$29*Loyalty_Inputs!$C$54</f>
        <v>278409656.25</v>
      </c>
      <c r="V20" s="8" t="n">
        <f aca="false">V4*Loyalty_Inputs!$C$50*Loyalty_Inputs!$C$29*Loyalty_Inputs!$C$54</f>
        <v>278409656.25</v>
      </c>
      <c r="W20" s="8" t="n">
        <f aca="false">W4*Loyalty_Inputs!$C$50*Loyalty_Inputs!$C$29*Loyalty_Inputs!$C$54</f>
        <v>278409656.25</v>
      </c>
      <c r="X20" s="8" t="n">
        <f aca="false">X4*Loyalty_Inputs!$C$50*Loyalty_Inputs!$C$29*Loyalty_Inputs!$C$54</f>
        <v>278409656.25</v>
      </c>
      <c r="Y20" s="8" t="n">
        <f aca="false">Y4*Loyalty_Inputs!$C$50*Loyalty_Inputs!$C$29*Loyalty_Inputs!$C$54</f>
        <v>278409656.25</v>
      </c>
      <c r="Z20" s="8" t="n">
        <f aca="false">Z4*Loyalty_Inputs!$C$50*Loyalty_Inputs!$C$29*Loyalty_Inputs!$C$54</f>
        <v>278409656.25</v>
      </c>
      <c r="AA20" s="8" t="n">
        <f aca="false">AA4*Loyalty_Inputs!$C$50*Loyalty_Inputs!$C$29*Loyalty_Inputs!$C$54</f>
        <v>278409656.25</v>
      </c>
      <c r="AB20" s="8" t="n">
        <f aca="false">AB4*Loyalty_Inputs!$C$50*Loyalty_Inputs!$C$29*Loyalty_Inputs!$C$54</f>
        <v>278409656.25</v>
      </c>
      <c r="AC20" s="8" t="n">
        <f aca="false">AC4*Loyalty_Inputs!$C$50*Loyalty_Inputs!$C$29*Loyalty_Inputs!$C$54</f>
        <v>278409656.25</v>
      </c>
      <c r="AD20" s="8" t="n">
        <f aca="false">AD4*Loyalty_Inputs!$C$50*Loyalty_Inputs!$C$29*Loyalty_Inputs!$C$54</f>
        <v>278409656.25</v>
      </c>
      <c r="AE20" s="8" t="n">
        <f aca="false">AE4*Loyalty_Inputs!$C$50*Loyalty_Inputs!$C$29*Loyalty_Inputs!$C$54</f>
        <v>278409656.25</v>
      </c>
      <c r="AF20" s="8" t="n">
        <f aca="false">AF4*Loyalty_Inputs!$C$50*Loyalty_Inputs!$C$29*Loyalty_Inputs!$C$54</f>
        <v>278409656.25</v>
      </c>
      <c r="AG20" s="8" t="n">
        <f aca="false">AG4*Loyalty_Inputs!$C$50*Loyalty_Inputs!$C$29*Loyalty_Inputs!$C$54</f>
        <v>278409656.25</v>
      </c>
      <c r="AH20" s="8" t="n">
        <f aca="false">AH4*Loyalty_Inputs!$C$50*Loyalty_Inputs!$C$29*Loyalty_Inputs!$C$54</f>
        <v>278409656.25</v>
      </c>
      <c r="AI20" s="8" t="n">
        <f aca="false">AI4*Loyalty_Inputs!$C$50*Loyalty_Inputs!$C$29*Loyalty_Inputs!$C$54</f>
        <v>278409656.25</v>
      </c>
      <c r="AJ20" s="8" t="n">
        <f aca="false">AJ4*Loyalty_Inputs!$C$50*Loyalty_Inputs!$C$29*Loyalty_Inputs!$C$54</f>
        <v>278409656.25</v>
      </c>
      <c r="AK20" s="8" t="n">
        <f aca="false">AK4*Loyalty_Inputs!$C$50*Loyalty_Inputs!$C$29*Loyalty_Inputs!$C$54</f>
        <v>278409656.25</v>
      </c>
      <c r="AL20" s="8" t="n">
        <f aca="false">AL4*Loyalty_Inputs!$C$50*Loyalty_Inputs!$C$29*Loyalty_Inputs!$C$54</f>
        <v>278409656.25</v>
      </c>
    </row>
    <row r="21" customFormat="false" ht="15" hidden="false" customHeight="false" outlineLevel="0" collapsed="false">
      <c r="A21" s="2" t="s">
        <v>450</v>
      </c>
      <c r="B21" s="4" t="s">
        <v>451</v>
      </c>
      <c r="C21" s="8" t="n">
        <f aca="false">C4*Loyalty_Inputs!$C$47*Loyalty_Inputs!$C$32*Loyalty_Inputs!$C$15/0.3</f>
        <v>0</v>
      </c>
      <c r="D21" s="8" t="n">
        <f aca="false">D4*Loyalty_Inputs!$C$47*Loyalty_Inputs!$C$32*Loyalty_Inputs!$C$15/0.3</f>
        <v>0</v>
      </c>
      <c r="E21" s="8" t="n">
        <f aca="false">E4*Loyalty_Inputs!$C$47*Loyalty_Inputs!$C$32*Loyalty_Inputs!$C$15/0.3</f>
        <v>0</v>
      </c>
      <c r="F21" s="8" t="n">
        <f aca="false">F4*Loyalty_Inputs!$C$47*Loyalty_Inputs!$C$32*Loyalty_Inputs!$C$15/0.3</f>
        <v>0</v>
      </c>
      <c r="G21" s="8" t="n">
        <f aca="false">G4*Loyalty_Inputs!$C$47*Loyalty_Inputs!$C$32*Loyalty_Inputs!$C$15/0.3</f>
        <v>52714285.7142857</v>
      </c>
      <c r="H21" s="8" t="n">
        <f aca="false">H4*Loyalty_Inputs!$C$47*Loyalty_Inputs!$C$32*Loyalty_Inputs!$C$15/0.3</f>
        <v>52714285.7142857</v>
      </c>
      <c r="I21" s="8" t="n">
        <f aca="false">I4*Loyalty_Inputs!$C$47*Loyalty_Inputs!$C$32*Loyalty_Inputs!$C$15/0.3</f>
        <v>52714285.7142857</v>
      </c>
      <c r="J21" s="8" t="n">
        <f aca="false">J4*Loyalty_Inputs!$C$47*Loyalty_Inputs!$C$32*Loyalty_Inputs!$C$15/0.3</f>
        <v>52714285.7142857</v>
      </c>
      <c r="K21" s="8" t="n">
        <f aca="false">K4*Loyalty_Inputs!$C$47*Loyalty_Inputs!$C$32*Loyalty_Inputs!$C$15/0.3</f>
        <v>52714285.7142857</v>
      </c>
      <c r="L21" s="8" t="n">
        <f aca="false">L4*Loyalty_Inputs!$C$47*Loyalty_Inputs!$C$32*Loyalty_Inputs!$C$15/0.3</f>
        <v>52714285.7142857</v>
      </c>
      <c r="M21" s="8" t="n">
        <f aca="false">M4*Loyalty_Inputs!$C$47*Loyalty_Inputs!$C$32*Loyalty_Inputs!$C$15/0.3</f>
        <v>86978571.4285714</v>
      </c>
      <c r="N21" s="8" t="n">
        <f aca="false">N4*Loyalty_Inputs!$C$47*Loyalty_Inputs!$C$32*Loyalty_Inputs!$C$15/0.3</f>
        <v>173957142.857143</v>
      </c>
      <c r="O21" s="8" t="n">
        <f aca="false">O4*Loyalty_Inputs!$C$47*Loyalty_Inputs!$C$32*Loyalty_Inputs!$C$15/0.3</f>
        <v>260935714.285714</v>
      </c>
      <c r="P21" s="8" t="n">
        <f aca="false">P4*Loyalty_Inputs!$C$47*Loyalty_Inputs!$C$32*Loyalty_Inputs!$C$15/0.3</f>
        <v>347914285.714286</v>
      </c>
      <c r="Q21" s="8" t="n">
        <f aca="false">Q4*Loyalty_Inputs!$C$47*Loyalty_Inputs!$C$32*Loyalty_Inputs!$C$15/0.3</f>
        <v>434892857.142857</v>
      </c>
      <c r="R21" s="8" t="n">
        <f aca="false">R4*Loyalty_Inputs!$C$47*Loyalty_Inputs!$C$32*Loyalty_Inputs!$C$15/0.3</f>
        <v>521871428.571429</v>
      </c>
      <c r="S21" s="8" t="n">
        <f aca="false">S4*Loyalty_Inputs!$C$47*Loyalty_Inputs!$C$32*Loyalty_Inputs!$C$15/0.3</f>
        <v>521871428.571429</v>
      </c>
      <c r="T21" s="8" t="n">
        <f aca="false">T4*Loyalty_Inputs!$C$47*Loyalty_Inputs!$C$32*Loyalty_Inputs!$C$15/0.3</f>
        <v>521871428.571429</v>
      </c>
      <c r="U21" s="8" t="n">
        <f aca="false">U4*Loyalty_Inputs!$C$47*Loyalty_Inputs!$C$32*Loyalty_Inputs!$C$15/0.3</f>
        <v>521871428.571429</v>
      </c>
      <c r="V21" s="8" t="n">
        <f aca="false">V4*Loyalty_Inputs!$C$47*Loyalty_Inputs!$C$32*Loyalty_Inputs!$C$15/0.3</f>
        <v>521871428.571429</v>
      </c>
      <c r="W21" s="8" t="n">
        <f aca="false">W4*Loyalty_Inputs!$C$47*Loyalty_Inputs!$C$32*Loyalty_Inputs!$C$15/0.3</f>
        <v>521871428.571429</v>
      </c>
      <c r="X21" s="8" t="n">
        <f aca="false">X4*Loyalty_Inputs!$C$47*Loyalty_Inputs!$C$32*Loyalty_Inputs!$C$15/0.3</f>
        <v>521871428.571429</v>
      </c>
      <c r="Y21" s="8" t="n">
        <f aca="false">Y4*Loyalty_Inputs!$C$47*Loyalty_Inputs!$C$32*Loyalty_Inputs!$C$15/0.3</f>
        <v>521871428.571429</v>
      </c>
      <c r="Z21" s="8" t="n">
        <f aca="false">Z4*Loyalty_Inputs!$C$47*Loyalty_Inputs!$C$32*Loyalty_Inputs!$C$15/0.3</f>
        <v>521871428.571429</v>
      </c>
      <c r="AA21" s="8" t="n">
        <f aca="false">AA4*Loyalty_Inputs!$C$47*Loyalty_Inputs!$C$32*Loyalty_Inputs!$C$15/0.3</f>
        <v>521871428.571429</v>
      </c>
      <c r="AB21" s="8" t="n">
        <f aca="false">AB4*Loyalty_Inputs!$C$47*Loyalty_Inputs!$C$32*Loyalty_Inputs!$C$15/0.3</f>
        <v>521871428.571429</v>
      </c>
      <c r="AC21" s="8" t="n">
        <f aca="false">AC4*Loyalty_Inputs!$C$47*Loyalty_Inputs!$C$32*Loyalty_Inputs!$C$15/0.3</f>
        <v>521871428.571429</v>
      </c>
      <c r="AD21" s="8" t="n">
        <f aca="false">AD4*Loyalty_Inputs!$C$47*Loyalty_Inputs!$C$32*Loyalty_Inputs!$C$15/0.3</f>
        <v>521871428.571429</v>
      </c>
      <c r="AE21" s="8" t="n">
        <f aca="false">AE4*Loyalty_Inputs!$C$47*Loyalty_Inputs!$C$32*Loyalty_Inputs!$C$15/0.3</f>
        <v>521871428.571429</v>
      </c>
      <c r="AF21" s="8" t="n">
        <f aca="false">AF4*Loyalty_Inputs!$C$47*Loyalty_Inputs!$C$32*Loyalty_Inputs!$C$15/0.3</f>
        <v>521871428.571429</v>
      </c>
      <c r="AG21" s="8" t="n">
        <f aca="false">AG4*Loyalty_Inputs!$C$47*Loyalty_Inputs!$C$32*Loyalty_Inputs!$C$15/0.3</f>
        <v>521871428.571429</v>
      </c>
      <c r="AH21" s="8" t="n">
        <f aca="false">AH4*Loyalty_Inputs!$C$47*Loyalty_Inputs!$C$32*Loyalty_Inputs!$C$15/0.3</f>
        <v>521871428.571429</v>
      </c>
      <c r="AI21" s="8" t="n">
        <f aca="false">AI4*Loyalty_Inputs!$C$47*Loyalty_Inputs!$C$32*Loyalty_Inputs!$C$15/0.3</f>
        <v>521871428.571429</v>
      </c>
      <c r="AJ21" s="8" t="n">
        <f aca="false">AJ4*Loyalty_Inputs!$C$47*Loyalty_Inputs!$C$32*Loyalty_Inputs!$C$15/0.3</f>
        <v>521871428.571429</v>
      </c>
      <c r="AK21" s="8" t="n">
        <f aca="false">AK4*Loyalty_Inputs!$C$47*Loyalty_Inputs!$C$32*Loyalty_Inputs!$C$15/0.3</f>
        <v>521871428.571429</v>
      </c>
      <c r="AL21" s="8" t="n">
        <f aca="false">AL4*Loyalty_Inputs!$C$47*Loyalty_Inputs!$C$32*Loyalty_Inputs!$C$15/0.3</f>
        <v>521871428.571429</v>
      </c>
    </row>
    <row r="22" customFormat="false" ht="15" hidden="false" customHeight="false" outlineLevel="0" collapsed="false">
      <c r="A22" s="2" t="s">
        <v>452</v>
      </c>
      <c r="B22" s="4" t="s">
        <v>453</v>
      </c>
      <c r="C22" s="8" t="n">
        <f aca="false">IF(C$3&gt;=Loyalty_Inputs!$C$10+6,Loyalty_Inputs!$C$33,0)</f>
        <v>0</v>
      </c>
      <c r="D22" s="8" t="n">
        <f aca="false">IF(D$3&gt;=Loyalty_Inputs!$C$10+6,Loyalty_Inputs!$C$33,0)</f>
        <v>0</v>
      </c>
      <c r="E22" s="8" t="n">
        <f aca="false">IF(E$3&gt;=Loyalty_Inputs!$C$10+6,Loyalty_Inputs!$C$33,0)</f>
        <v>0</v>
      </c>
      <c r="F22" s="8" t="n">
        <f aca="false">IF(F$3&gt;=Loyalty_Inputs!$C$10+6,Loyalty_Inputs!$C$33,0)</f>
        <v>0</v>
      </c>
      <c r="G22" s="8" t="n">
        <f aca="false">IF(G$3&gt;=Loyalty_Inputs!$C$10+6,Loyalty_Inputs!$C$33,0)</f>
        <v>0</v>
      </c>
      <c r="H22" s="8" t="n">
        <f aca="false">IF(H$3&gt;=Loyalty_Inputs!$C$10+6,Loyalty_Inputs!$C$33,0)</f>
        <v>0</v>
      </c>
      <c r="I22" s="8" t="n">
        <f aca="false">IF(I$3&gt;=Loyalty_Inputs!$C$10+6,Loyalty_Inputs!$C$33,0)</f>
        <v>0</v>
      </c>
      <c r="J22" s="8" t="n">
        <f aca="false">IF(J$3&gt;=Loyalty_Inputs!$C$10+6,Loyalty_Inputs!$C$33,0)</f>
        <v>0</v>
      </c>
      <c r="K22" s="8" t="n">
        <f aca="false">IF(K$3&gt;=Loyalty_Inputs!$C$10+6,Loyalty_Inputs!$C$33,0)</f>
        <v>0</v>
      </c>
      <c r="L22" s="8" t="n">
        <f aca="false">IF(L$3&gt;=Loyalty_Inputs!$C$10+6,Loyalty_Inputs!$C$33,0)</f>
        <v>0</v>
      </c>
      <c r="M22" s="8" t="n">
        <f aca="false">IF(M$3&gt;=Loyalty_Inputs!$C$10+6,Loyalty_Inputs!$C$33,0)</f>
        <v>0</v>
      </c>
      <c r="N22" s="8" t="n">
        <f aca="false">IF(N$3&gt;=Loyalty_Inputs!$C$10+6,Loyalty_Inputs!$C$33,0)</f>
        <v>0</v>
      </c>
      <c r="O22" s="8" t="n">
        <f aca="false">IF(O$3&gt;=Loyalty_Inputs!$C$10+6,Loyalty_Inputs!$C$33,0)</f>
        <v>0</v>
      </c>
      <c r="P22" s="8" t="n">
        <f aca="false">IF(P$3&gt;=Loyalty_Inputs!$C$10+6,Loyalty_Inputs!$C$33,0)</f>
        <v>0</v>
      </c>
      <c r="Q22" s="8" t="n">
        <f aca="false">IF(Q$3&gt;=Loyalty_Inputs!$C$10+6,Loyalty_Inputs!$C$33,0)</f>
        <v>0</v>
      </c>
      <c r="R22" s="8" t="n">
        <f aca="false">IF(R$3&gt;=Loyalty_Inputs!$C$10+6,Loyalty_Inputs!$C$33,0)</f>
        <v>0</v>
      </c>
      <c r="S22" s="8" t="n">
        <f aca="false">IF(S$3&gt;=Loyalty_Inputs!$C$10+6,Loyalty_Inputs!$C$33,0)</f>
        <v>50000000</v>
      </c>
      <c r="T22" s="8" t="n">
        <f aca="false">IF(T$3&gt;=Loyalty_Inputs!$C$10+6,Loyalty_Inputs!$C$33,0)</f>
        <v>50000000</v>
      </c>
      <c r="U22" s="8" t="n">
        <f aca="false">IF(U$3&gt;=Loyalty_Inputs!$C$10+6,Loyalty_Inputs!$C$33,0)</f>
        <v>50000000</v>
      </c>
      <c r="V22" s="8" t="n">
        <f aca="false">IF(V$3&gt;=Loyalty_Inputs!$C$10+6,Loyalty_Inputs!$C$33,0)</f>
        <v>50000000</v>
      </c>
      <c r="W22" s="8" t="n">
        <f aca="false">IF(W$3&gt;=Loyalty_Inputs!$C$10+6,Loyalty_Inputs!$C$33,0)</f>
        <v>50000000</v>
      </c>
      <c r="X22" s="8" t="n">
        <f aca="false">IF(X$3&gt;=Loyalty_Inputs!$C$10+6,Loyalty_Inputs!$C$33,0)</f>
        <v>50000000</v>
      </c>
      <c r="Y22" s="8" t="n">
        <f aca="false">IF(Y$3&gt;=Loyalty_Inputs!$C$10+6,Loyalty_Inputs!$C$33,0)</f>
        <v>50000000</v>
      </c>
      <c r="Z22" s="8" t="n">
        <f aca="false">IF(Z$3&gt;=Loyalty_Inputs!$C$10+6,Loyalty_Inputs!$C$33,0)</f>
        <v>50000000</v>
      </c>
      <c r="AA22" s="8" t="n">
        <f aca="false">IF(AA$3&gt;=Loyalty_Inputs!$C$10+6,Loyalty_Inputs!$C$33,0)</f>
        <v>50000000</v>
      </c>
      <c r="AB22" s="8" t="n">
        <f aca="false">IF(AB$3&gt;=Loyalty_Inputs!$C$10+6,Loyalty_Inputs!$C$33,0)</f>
        <v>50000000</v>
      </c>
      <c r="AC22" s="8" t="n">
        <f aca="false">IF(AC$3&gt;=Loyalty_Inputs!$C$10+6,Loyalty_Inputs!$C$33,0)</f>
        <v>50000000</v>
      </c>
      <c r="AD22" s="8" t="n">
        <f aca="false">IF(AD$3&gt;=Loyalty_Inputs!$C$10+6,Loyalty_Inputs!$C$33,0)</f>
        <v>50000000</v>
      </c>
      <c r="AE22" s="8" t="n">
        <f aca="false">IF(AE$3&gt;=Loyalty_Inputs!$C$10+6,Loyalty_Inputs!$C$33,0)</f>
        <v>50000000</v>
      </c>
      <c r="AF22" s="8" t="n">
        <f aca="false">IF(AF$3&gt;=Loyalty_Inputs!$C$10+6,Loyalty_Inputs!$C$33,0)</f>
        <v>50000000</v>
      </c>
      <c r="AG22" s="8" t="n">
        <f aca="false">IF(AG$3&gt;=Loyalty_Inputs!$C$10+6,Loyalty_Inputs!$C$33,0)</f>
        <v>50000000</v>
      </c>
      <c r="AH22" s="8" t="n">
        <f aca="false">IF(AH$3&gt;=Loyalty_Inputs!$C$10+6,Loyalty_Inputs!$C$33,0)</f>
        <v>50000000</v>
      </c>
      <c r="AI22" s="8" t="n">
        <f aca="false">IF(AI$3&gt;=Loyalty_Inputs!$C$10+6,Loyalty_Inputs!$C$33,0)</f>
        <v>50000000</v>
      </c>
      <c r="AJ22" s="8" t="n">
        <f aca="false">IF(AJ$3&gt;=Loyalty_Inputs!$C$10+6,Loyalty_Inputs!$C$33,0)</f>
        <v>50000000</v>
      </c>
      <c r="AK22" s="8" t="n">
        <f aca="false">IF(AK$3&gt;=Loyalty_Inputs!$C$10+6,Loyalty_Inputs!$C$33,0)</f>
        <v>50000000</v>
      </c>
      <c r="AL22" s="8" t="n">
        <f aca="false">IF(AL$3&gt;=Loyalty_Inputs!$C$10+6,Loyalty_Inputs!$C$33,0)</f>
        <v>50000000</v>
      </c>
    </row>
    <row r="23" customFormat="false" ht="15" hidden="false" customHeight="false" outlineLevel="0" collapsed="false">
      <c r="A23" s="3" t="s">
        <v>454</v>
      </c>
      <c r="B23" s="4" t="s">
        <v>190</v>
      </c>
      <c r="C23" s="8" t="n">
        <f aca="false">(C16+C17+C19+C21)*Loyalty_Inputs!$C$34+C20*(1-Loyalty_Inputs!$C$31)+C22-C14</f>
        <v>0</v>
      </c>
      <c r="D23" s="8" t="n">
        <f aca="false">(D16+D17+D19+D21)*Loyalty_Inputs!$C$34+D20*(1-Loyalty_Inputs!$C$31)+D22-D14</f>
        <v>-600000000</v>
      </c>
      <c r="E23" s="8" t="n">
        <f aca="false">(E16+E17+E19+E21)*Loyalty_Inputs!$C$34+E20*(1-Loyalty_Inputs!$C$31)+E22-E14</f>
        <v>-600000000</v>
      </c>
      <c r="F23" s="8" t="n">
        <f aca="false">(F16+F17+F19+F21)*Loyalty_Inputs!$C$34+F20*(1-Loyalty_Inputs!$C$31)+F22-F14</f>
        <v>-600000000</v>
      </c>
      <c r="G23" s="8" t="n">
        <f aca="false">(G16+G17+G19+G21)*Loyalty_Inputs!$C$34+G20*(1-Loyalty_Inputs!$C$31)+G22-G14</f>
        <v>-573000801.160714</v>
      </c>
      <c r="H23" s="8" t="n">
        <f aca="false">(H16+H17+H19+H21)*Loyalty_Inputs!$C$34+H20*(1-Loyalty_Inputs!$C$31)+H22-H14</f>
        <v>-305864874.017857</v>
      </c>
      <c r="I23" s="8" t="n">
        <f aca="false">(I16+I17+I19+I21)*Loyalty_Inputs!$C$34+I20*(1-Loyalty_Inputs!$C$31)+I22-I14</f>
        <v>-288934578.000714</v>
      </c>
      <c r="J23" s="8" t="n">
        <f aca="false">(J16+J17+J19+J21)*Loyalty_Inputs!$C$34+J20*(1-Loyalty_Inputs!$C$31)+J22-J14</f>
        <v>-1272207445.53578</v>
      </c>
      <c r="K23" s="8" t="n">
        <f aca="false">(K16+K17+K19+K21)*Loyalty_Inputs!$C$34+K20*(1-Loyalty_Inputs!$C$31)+K22-K14</f>
        <v>-1255681038.66042</v>
      </c>
      <c r="L23" s="8" t="n">
        <f aca="false">(L16+L17+L19+L21)*Loyalty_Inputs!$C$34+L20*(1-Loyalty_Inputs!$C$31)+L22-L14</f>
        <v>-1239352948.66757</v>
      </c>
      <c r="M23" s="8" t="n">
        <f aca="false">(M16+M17+M19+M21)*Loyalty_Inputs!$C$34+M20*(1-Loyalty_Inputs!$C$31)+M22-M14</f>
        <v>-1252238029.00909</v>
      </c>
      <c r="N23" s="8" t="n">
        <f aca="false">(N16+N17+N19+N21)*Loyalty_Inputs!$C$34+N20*(1-Loyalty_Inputs!$C$31)+N22-N14</f>
        <v>-1245390032.59232</v>
      </c>
      <c r="O23" s="8" t="n">
        <f aca="false">(O16+O17+O19+O21)*Loyalty_Inputs!$C$34+O20*(1-Loyalty_Inputs!$C$31)+O22-O14</f>
        <v>-551487234.982034</v>
      </c>
      <c r="P23" s="8" t="n">
        <f aca="false">(P16+P17+P19+P21)*Loyalty_Inputs!$C$34+P20*(1-Loyalty_Inputs!$C$31)+P22-P14</f>
        <v>-579970472.903676</v>
      </c>
      <c r="Q23" s="8" t="n">
        <f aca="false">(Q16+Q17+Q19+Q21)*Loyalty_Inputs!$C$34+Q20*(1-Loyalty_Inputs!$C$31)+Q22-Q14</f>
        <v>-581171113.93086</v>
      </c>
      <c r="R23" s="8" t="n">
        <f aca="false">(R16+R17+R19+R21)*Loyalty_Inputs!$C$34+R20*(1-Loyalty_Inputs!$C$31)+R22-R14</f>
        <v>-555416549.226319</v>
      </c>
      <c r="S23" s="8" t="n">
        <f aca="false">(S16+S17+S19+S21)*Loyalty_Inputs!$C$34+S20*(1-Loyalty_Inputs!$C$31)+S22-S14</f>
        <v>-341906762.39921</v>
      </c>
      <c r="T23" s="8" t="n">
        <f aca="false">(T16+T17+T19+T21)*Loyalty_Inputs!$C$34+T20*(1-Loyalty_Inputs!$C$31)+T22-T14</f>
        <v>-180359093.014027</v>
      </c>
      <c r="U23" s="8" t="n">
        <f aca="false">(U16+U17+U19+U21)*Loyalty_Inputs!$C$34+U20*(1-Loyalty_Inputs!$C$31)+U22-U14</f>
        <v>-20749995.6614656</v>
      </c>
      <c r="V23" s="8" t="n">
        <f aca="false">(V16+V17+V19+V21)*Loyalty_Inputs!$C$34+V20*(1-Loyalty_Inputs!$C$31)+V22-V14</f>
        <v>136943792.522865</v>
      </c>
      <c r="W23" s="8" t="n">
        <f aca="false">(W16+W17+W19+W21)*Loyalty_Inputs!$C$34+W20*(1-Loyalty_Inputs!$C$31)+W22-W14</f>
        <v>292745255.248983</v>
      </c>
      <c r="X23" s="8" t="n">
        <f aca="false">(X16+X17+X19+X21)*Loyalty_Inputs!$C$34+X20*(1-Loyalty_Inputs!$C$31)+X22-X14</f>
        <v>446677100.422389</v>
      </c>
      <c r="Y23" s="8" t="n">
        <f aca="false">(Y16+Y17+Y19+Y21)*Loyalty_Inputs!$C$34+Y20*(1-Loyalty_Inputs!$C$31)+Y22-Y14</f>
        <v>598761763.453713</v>
      </c>
      <c r="Z23" s="8" t="n">
        <f aca="false">(Z16+Z17+Z19+Z21)*Loyalty_Inputs!$C$34+Z20*(1-Loyalty_Inputs!$C$31)+Z22-Z14</f>
        <v>749021410.528661</v>
      </c>
      <c r="AA23" s="8" t="n">
        <f aca="false">(AA16+AA17+AA19+AA21)*Loyalty_Inputs!$C$34+AA20*(1-Loyalty_Inputs!$C$31)+AA22-AA14</f>
        <v>897477941.83871</v>
      </c>
      <c r="AB23" s="8" t="n">
        <f aca="false">(AB16+AB17+AB19+AB21)*Loyalty_Inputs!$C$34+AB20*(1-Loyalty_Inputs!$C$31)+AB22-AB14</f>
        <v>1044152994.77304</v>
      </c>
      <c r="AC23" s="8" t="n">
        <f aca="false">(AC16+AC17+AC19+AC21)*Loyalty_Inputs!$C$34+AC20*(1-Loyalty_Inputs!$C$31)+AC22-AC14</f>
        <v>1189067947.07215</v>
      </c>
      <c r="AD23" s="8" t="n">
        <f aca="false">(AD16+AD17+AD19+AD21)*Loyalty_Inputs!$C$34+AD20*(1-Loyalty_Inputs!$C$31)+AD22-AD14</f>
        <v>1332243919.94368</v>
      </c>
      <c r="AE23" s="8" t="n">
        <f aca="false">(AE16+AE17+AE19+AE21)*Loyalty_Inputs!$C$34+AE20*(1-Loyalty_Inputs!$C$31)+AE22-AE14</f>
        <v>1473701781.14075</v>
      </c>
      <c r="AF23" s="8" t="n">
        <f aca="false">(AF16+AF17+AF19+AF21)*Loyalty_Inputs!$C$34+AF20*(1-Loyalty_Inputs!$C$31)+AF22-AF14</f>
        <v>1613462148.00345</v>
      </c>
      <c r="AG23" s="8" t="n">
        <f aca="false">(AG16+AG17+AG19+AG21)*Loyalty_Inputs!$C$34+AG20*(1-Loyalty_Inputs!$C$31)+AG22-AG14</f>
        <v>1751545390.4638</v>
      </c>
      <c r="AH23" s="8" t="n">
        <f aca="false">(AH16+AH17+AH19+AH21)*Loyalty_Inputs!$C$34+AH20*(1-Loyalty_Inputs!$C$31)+AH22-AH14</f>
        <v>1887971634.01463</v>
      </c>
      <c r="AI23" s="8" t="n">
        <f aca="false">(AI16+AI17+AI19+AI21)*Loyalty_Inputs!$C$34+AI20*(1-Loyalty_Inputs!$C$31)+AI22-AI14</f>
        <v>2022760762.64285</v>
      </c>
      <c r="AJ23" s="8" t="n">
        <f aca="false">(AJ16+AJ17+AJ19+AJ21)*Loyalty_Inputs!$C$34+AJ20*(1-Loyalty_Inputs!$C$31)+AJ22-AJ14</f>
        <v>2155932421.72753</v>
      </c>
      <c r="AK23" s="8" t="n">
        <f aca="false">(AK16+AK17+AK19+AK21)*Loyalty_Inputs!$C$34+AK20*(1-Loyalty_Inputs!$C$31)+AK22-AK14</f>
        <v>2287506020.90319</v>
      </c>
      <c r="AL23" s="8" t="n">
        <f aca="false">(AL16+AL17+AL19+AL21)*Loyalty_Inputs!$C$34+AL20*(1-Loyalty_Inputs!$C$31)+AL22-AL14</f>
        <v>2417500736.88875</v>
      </c>
    </row>
    <row r="24" customFormat="false" ht="15" hidden="false" customHeight="false" outlineLevel="0" collapsed="false">
      <c r="A24" s="2" t="s">
        <v>455</v>
      </c>
      <c r="B24" s="4" t="s">
        <v>456</v>
      </c>
      <c r="C24" s="8" t="n">
        <f aca="false">N(B24)+C23</f>
        <v>0</v>
      </c>
      <c r="D24" s="8" t="n">
        <f aca="false">N(C24)+D23</f>
        <v>-600000000</v>
      </c>
      <c r="E24" s="8" t="n">
        <f aca="false">N(D24)+E23</f>
        <v>-1200000000</v>
      </c>
      <c r="F24" s="8" t="n">
        <f aca="false">N(E24)+F23</f>
        <v>-1800000000</v>
      </c>
      <c r="G24" s="8" t="n">
        <f aca="false">N(F24)+G23</f>
        <v>-2373000801.16071</v>
      </c>
      <c r="H24" s="8" t="n">
        <f aca="false">N(G24)+H23</f>
        <v>-2678865675.17857</v>
      </c>
      <c r="I24" s="8" t="n">
        <f aca="false">N(H24)+I23</f>
        <v>-2967800253.17929</v>
      </c>
      <c r="J24" s="8" t="n">
        <f aca="false">N(I24)+J23</f>
        <v>-4240007698.71506</v>
      </c>
      <c r="K24" s="8" t="n">
        <f aca="false">N(J24)+K23</f>
        <v>-5495688737.37548</v>
      </c>
      <c r="L24" s="8" t="n">
        <f aca="false">N(K24)+L23</f>
        <v>-6735041686.04305</v>
      </c>
      <c r="M24" s="8" t="n">
        <f aca="false">N(L24)+M23</f>
        <v>-7987279715.05214</v>
      </c>
      <c r="N24" s="8" t="n">
        <f aca="false">N(M24)+N23</f>
        <v>-9232669747.64446</v>
      </c>
      <c r="O24" s="8" t="n">
        <f aca="false">N(N24)+O23</f>
        <v>-9784156982.62649</v>
      </c>
      <c r="P24" s="8" t="n">
        <f aca="false">N(O24)+P23</f>
        <v>-10364127455.5302</v>
      </c>
      <c r="Q24" s="8" t="n">
        <f aca="false">N(P24)+Q23</f>
        <v>-10945298569.461</v>
      </c>
      <c r="R24" s="8" t="n">
        <f aca="false">N(Q24)+R23</f>
        <v>-11500715118.6873</v>
      </c>
      <c r="S24" s="8" t="n">
        <f aca="false">N(R24)+S23</f>
        <v>-11842621881.0866</v>
      </c>
      <c r="T24" s="8" t="n">
        <f aca="false">N(S24)+T23</f>
        <v>-12022980974.1006</v>
      </c>
      <c r="U24" s="8" t="n">
        <f aca="false">N(T24)+U23</f>
        <v>-12043730969.762</v>
      </c>
      <c r="V24" s="8" t="n">
        <f aca="false">N(U24)+V23</f>
        <v>-11906787177.2392</v>
      </c>
      <c r="W24" s="8" t="n">
        <f aca="false">N(V24)+W23</f>
        <v>-11614041921.9902</v>
      </c>
      <c r="X24" s="8" t="n">
        <f aca="false">N(W24)+X23</f>
        <v>-11167364821.5678</v>
      </c>
      <c r="Y24" s="8" t="n">
        <f aca="false">N(X24)+Y23</f>
        <v>-10568603058.1141</v>
      </c>
      <c r="Z24" s="8" t="n">
        <f aca="false">N(Y24)+Z23</f>
        <v>-9819581647.58544</v>
      </c>
      <c r="AA24" s="8" t="n">
        <f aca="false">N(Z24)+AA23</f>
        <v>-8922103705.74673</v>
      </c>
      <c r="AB24" s="8" t="n">
        <f aca="false">N(AA24)+AB23</f>
        <v>-7877950710.97369</v>
      </c>
      <c r="AC24" s="8" t="n">
        <f aca="false">N(AB24)+AC23</f>
        <v>-6688882763.90154</v>
      </c>
      <c r="AD24" s="8" t="n">
        <f aca="false">N(AC24)+AD23</f>
        <v>-5356638843.95785</v>
      </c>
      <c r="AE24" s="8" t="n">
        <f aca="false">N(AD24)+AE23</f>
        <v>-3882937062.8171</v>
      </c>
      <c r="AF24" s="8" t="n">
        <f aca="false">N(AE24)+AF23</f>
        <v>-2269474914.81365</v>
      </c>
      <c r="AG24" s="8" t="n">
        <f aca="false">N(AF24)+AG23</f>
        <v>-517929524.349846</v>
      </c>
      <c r="AH24" s="8" t="n">
        <f aca="false">N(AG24)+AH23</f>
        <v>1370042109.66479</v>
      </c>
      <c r="AI24" s="8" t="n">
        <f aca="false">N(AH24)+AI23</f>
        <v>3392802872.30763</v>
      </c>
      <c r="AJ24" s="8" t="n">
        <f aca="false">N(AI24)+AJ23</f>
        <v>5548735294.03516</v>
      </c>
      <c r="AK24" s="8" t="n">
        <f aca="false">N(AJ24)+AK23</f>
        <v>7836241314.93835</v>
      </c>
      <c r="AL24" s="8" t="n">
        <f aca="false">N(AK24)+AL23</f>
        <v>10253742051.8271</v>
      </c>
    </row>
    <row r="25" customFormat="false" ht="15" hidden="false" customHeight="false" outlineLevel="0" collapsed="false">
      <c r="A25" s="2" t="s">
        <v>457</v>
      </c>
      <c r="B25" s="4" t="s">
        <v>458</v>
      </c>
      <c r="C25" s="8" t="n">
        <f aca="false">C4*Loyalty_Inputs!$C$6</f>
        <v>0</v>
      </c>
      <c r="D25" s="8" t="n">
        <f aca="false">D4*Loyalty_Inputs!$C$6</f>
        <v>0</v>
      </c>
      <c r="E25" s="8" t="n">
        <f aca="false">E4*Loyalty_Inputs!$C$6</f>
        <v>0</v>
      </c>
      <c r="F25" s="8" t="n">
        <f aca="false">F4*Loyalty_Inputs!$C$6</f>
        <v>0</v>
      </c>
      <c r="G25" s="8" t="n">
        <f aca="false">G4*Loyalty_Inputs!$C$6</f>
        <v>30000</v>
      </c>
      <c r="H25" s="8" t="n">
        <f aca="false">H4*Loyalty_Inputs!$C$6</f>
        <v>30000</v>
      </c>
      <c r="I25" s="8" t="n">
        <f aca="false">I4*Loyalty_Inputs!$C$6</f>
        <v>30000</v>
      </c>
      <c r="J25" s="8" t="n">
        <f aca="false">J4*Loyalty_Inputs!$C$6</f>
        <v>30000</v>
      </c>
      <c r="K25" s="8" t="n">
        <f aca="false">K4*Loyalty_Inputs!$C$6</f>
        <v>30000</v>
      </c>
      <c r="L25" s="8" t="n">
        <f aca="false">L4*Loyalty_Inputs!$C$6</f>
        <v>30000</v>
      </c>
      <c r="M25" s="8" t="n">
        <f aca="false">M4*Loyalty_Inputs!$C$6</f>
        <v>49500</v>
      </c>
      <c r="N25" s="8" t="n">
        <f aca="false">N4*Loyalty_Inputs!$C$6</f>
        <v>99000</v>
      </c>
      <c r="O25" s="8" t="n">
        <f aca="false">O4*Loyalty_Inputs!$C$6</f>
        <v>148500</v>
      </c>
      <c r="P25" s="8" t="n">
        <f aca="false">P4*Loyalty_Inputs!$C$6</f>
        <v>198000</v>
      </c>
      <c r="Q25" s="8" t="n">
        <f aca="false">Q4*Loyalty_Inputs!$C$6</f>
        <v>247500</v>
      </c>
      <c r="R25" s="8" t="n">
        <f aca="false">R4*Loyalty_Inputs!$C$6</f>
        <v>297000</v>
      </c>
      <c r="S25" s="8" t="n">
        <f aca="false">S4*Loyalty_Inputs!$C$6</f>
        <v>297000</v>
      </c>
      <c r="T25" s="8" t="n">
        <f aca="false">T4*Loyalty_Inputs!$C$6</f>
        <v>297000</v>
      </c>
      <c r="U25" s="8" t="n">
        <f aca="false">U4*Loyalty_Inputs!$C$6</f>
        <v>297000</v>
      </c>
      <c r="V25" s="8" t="n">
        <f aca="false">V4*Loyalty_Inputs!$C$6</f>
        <v>297000</v>
      </c>
      <c r="W25" s="8" t="n">
        <f aca="false">W4*Loyalty_Inputs!$C$6</f>
        <v>297000</v>
      </c>
      <c r="X25" s="8" t="n">
        <f aca="false">X4*Loyalty_Inputs!$C$6</f>
        <v>297000</v>
      </c>
      <c r="Y25" s="8" t="n">
        <f aca="false">Y4*Loyalty_Inputs!$C$6</f>
        <v>297000</v>
      </c>
      <c r="Z25" s="8" t="n">
        <f aca="false">Z4*Loyalty_Inputs!$C$6</f>
        <v>297000</v>
      </c>
      <c r="AA25" s="8" t="n">
        <f aca="false">AA4*Loyalty_Inputs!$C$6</f>
        <v>297000</v>
      </c>
      <c r="AB25" s="8" t="n">
        <f aca="false">AB4*Loyalty_Inputs!$C$6</f>
        <v>297000</v>
      </c>
      <c r="AC25" s="8" t="n">
        <f aca="false">AC4*Loyalty_Inputs!$C$6</f>
        <v>297000</v>
      </c>
      <c r="AD25" s="8" t="n">
        <f aca="false">AD4*Loyalty_Inputs!$C$6</f>
        <v>297000</v>
      </c>
      <c r="AE25" s="8" t="n">
        <f aca="false">AE4*Loyalty_Inputs!$C$6</f>
        <v>297000</v>
      </c>
      <c r="AF25" s="8" t="n">
        <f aca="false">AF4*Loyalty_Inputs!$C$6</f>
        <v>297000</v>
      </c>
      <c r="AG25" s="8" t="n">
        <f aca="false">AG4*Loyalty_Inputs!$C$6</f>
        <v>297000</v>
      </c>
      <c r="AH25" s="8" t="n">
        <f aca="false">AH4*Loyalty_Inputs!$C$6</f>
        <v>297000</v>
      </c>
      <c r="AI25" s="8" t="n">
        <f aca="false">AI4*Loyalty_Inputs!$C$6</f>
        <v>297000</v>
      </c>
      <c r="AJ25" s="8" t="n">
        <f aca="false">AJ4*Loyalty_Inputs!$C$6</f>
        <v>297000</v>
      </c>
      <c r="AK25" s="8" t="n">
        <f aca="false">AK4*Loyalty_Inputs!$C$6</f>
        <v>297000</v>
      </c>
      <c r="AL25" s="8" t="n">
        <f aca="false">AL4*Loyalty_Inputs!$C$6</f>
        <v>297000</v>
      </c>
    </row>
    <row r="26" customFormat="false" ht="15" hidden="false" customHeight="false" outlineLevel="0" collapsed="false">
      <c r="A26" s="2" t="s">
        <v>459</v>
      </c>
      <c r="B26" s="4" t="s">
        <v>460</v>
      </c>
      <c r="C26" s="8" t="n">
        <f aca="false">N(B26)*(1-Loyalty_Inputs!$C$36)+N(B25)*Loyalty_Inputs!$C$36*Loyalty_Inputs!$C$25</f>
        <v>0</v>
      </c>
      <c r="D26" s="8" t="n">
        <f aca="false">N(C26)*(1-Loyalty_Inputs!$C$36)+N(C25)*Loyalty_Inputs!$C$36*Loyalty_Inputs!$C$25</f>
        <v>0</v>
      </c>
      <c r="E26" s="8" t="n">
        <f aca="false">N(D26)*(1-Loyalty_Inputs!$C$36)+N(D25)*Loyalty_Inputs!$C$36*Loyalty_Inputs!$C$25</f>
        <v>0</v>
      </c>
      <c r="F26" s="8" t="n">
        <f aca="false">N(E26)*(1-Loyalty_Inputs!$C$36)+N(E25)*Loyalty_Inputs!$C$36*Loyalty_Inputs!$C$25</f>
        <v>0</v>
      </c>
      <c r="G26" s="8" t="n">
        <f aca="false">N(F26)*(1-Loyalty_Inputs!$C$36)+N(F25)*Loyalty_Inputs!$C$36*Loyalty_Inputs!$C$25</f>
        <v>0</v>
      </c>
      <c r="H26" s="8" t="n">
        <f aca="false">N(G26)*(1-Loyalty_Inputs!$C$36)+N(G25)*Loyalty_Inputs!$C$36*Loyalty_Inputs!$C$25</f>
        <v>67.5</v>
      </c>
      <c r="I26" s="8" t="n">
        <f aca="false">N(H26)*(1-Loyalty_Inputs!$C$36)+N(H25)*Loyalty_Inputs!$C$36*Loyalty_Inputs!$C$25</f>
        <v>133.9875</v>
      </c>
      <c r="J26" s="8" t="n">
        <f aca="false">N(I26)*(1-Loyalty_Inputs!$C$36)+N(I25)*Loyalty_Inputs!$C$36*Loyalty_Inputs!$C$25</f>
        <v>199.4776875</v>
      </c>
      <c r="K26" s="8" t="n">
        <f aca="false">N(J26)*(1-Loyalty_Inputs!$C$36)+N(J25)*Loyalty_Inputs!$C$36*Loyalty_Inputs!$C$25</f>
        <v>263.9855221875</v>
      </c>
      <c r="L26" s="8" t="n">
        <f aca="false">N(K26)*(1-Loyalty_Inputs!$C$36)+N(K25)*Loyalty_Inputs!$C$36*Loyalty_Inputs!$C$25</f>
        <v>327.525739354688</v>
      </c>
      <c r="M26" s="8" t="n">
        <f aca="false">N(L26)*(1-Loyalty_Inputs!$C$36)+N(L25)*Loyalty_Inputs!$C$36*Loyalty_Inputs!$C$25</f>
        <v>390.112853264367</v>
      </c>
      <c r="N26" s="8" t="n">
        <f aca="false">N(M26)*(1-Loyalty_Inputs!$C$36)+N(M25)*Loyalty_Inputs!$C$36*Loyalty_Inputs!$C$25</f>
        <v>495.636160465402</v>
      </c>
      <c r="O26" s="8" t="n">
        <f aca="false">N(N26)*(1-Loyalty_Inputs!$C$36)+N(N25)*Loyalty_Inputs!$C$36*Loyalty_Inputs!$C$25</f>
        <v>710.951618058421</v>
      </c>
      <c r="P26" s="8" t="n">
        <f aca="false">N(O26)*(1-Loyalty_Inputs!$C$36)+N(O25)*Loyalty_Inputs!$C$36*Loyalty_Inputs!$C$25</f>
        <v>1034.41234378754</v>
      </c>
      <c r="Q26" s="8" t="n">
        <f aca="false">N(P26)*(1-Loyalty_Inputs!$C$36)+N(P25)*Loyalty_Inputs!$C$36*Loyalty_Inputs!$C$25</f>
        <v>1464.39615863073</v>
      </c>
      <c r="R26" s="8" t="n">
        <f aca="false">N(Q26)*(1-Loyalty_Inputs!$C$36)+N(Q25)*Loyalty_Inputs!$C$36*Loyalty_Inputs!$C$25</f>
        <v>1999.30521625127</v>
      </c>
      <c r="S26" s="8" t="n">
        <f aca="false">N(R26)*(1-Loyalty_Inputs!$C$36)+N(R25)*Loyalty_Inputs!$C$36*Loyalty_Inputs!$C$25</f>
        <v>2637.5656380075</v>
      </c>
      <c r="T26" s="8" t="n">
        <f aca="false">N(S26)*(1-Loyalty_Inputs!$C$36)+N(S25)*Loyalty_Inputs!$C$36*Loyalty_Inputs!$C$25</f>
        <v>3266.25215343739</v>
      </c>
      <c r="U26" s="8" t="n">
        <f aca="false">N(T26)*(1-Loyalty_Inputs!$C$36)+N(T25)*Loyalty_Inputs!$C$36*Loyalty_Inputs!$C$25</f>
        <v>3885.50837113583</v>
      </c>
      <c r="V26" s="8" t="n">
        <f aca="false">N(U26)*(1-Loyalty_Inputs!$C$36)+N(U25)*Loyalty_Inputs!$C$36*Loyalty_Inputs!$C$25</f>
        <v>4495.47574556879</v>
      </c>
      <c r="W26" s="8" t="n">
        <f aca="false">N(V26)*(1-Loyalty_Inputs!$C$36)+N(V25)*Loyalty_Inputs!$C$36*Loyalty_Inputs!$C$25</f>
        <v>5096.29360938526</v>
      </c>
      <c r="X26" s="8" t="n">
        <f aca="false">N(W26)*(1-Loyalty_Inputs!$C$36)+N(W25)*Loyalty_Inputs!$C$36*Loyalty_Inputs!$C$25</f>
        <v>5688.09920524448</v>
      </c>
      <c r="Y26" s="8" t="n">
        <f aca="false">N(X26)*(1-Loyalty_Inputs!$C$36)+N(X25)*Loyalty_Inputs!$C$36*Loyalty_Inputs!$C$25</f>
        <v>6271.02771716581</v>
      </c>
      <c r="Z26" s="8" t="n">
        <f aca="false">N(Y26)*(1-Loyalty_Inputs!$C$36)+N(Y25)*Loyalty_Inputs!$C$36*Loyalty_Inputs!$C$25</f>
        <v>6845.21230140833</v>
      </c>
      <c r="AA26" s="8" t="n">
        <f aca="false">N(Z26)*(1-Loyalty_Inputs!$C$36)+N(Z25)*Loyalty_Inputs!$C$36*Loyalty_Inputs!$C$25</f>
        <v>7410.7841168872</v>
      </c>
      <c r="AB26" s="8" t="n">
        <f aca="false">N(AA26)*(1-Loyalty_Inputs!$C$36)+N(AA25)*Loyalty_Inputs!$C$36*Loyalty_Inputs!$C$25</f>
        <v>7967.87235513389</v>
      </c>
      <c r="AC26" s="8" t="n">
        <f aca="false">N(AB26)*(1-Loyalty_Inputs!$C$36)+N(AB25)*Loyalty_Inputs!$C$36*Loyalty_Inputs!$C$25</f>
        <v>8516.60426980688</v>
      </c>
      <c r="AD26" s="8" t="n">
        <f aca="false">N(AC26)*(1-Loyalty_Inputs!$C$36)+N(AC25)*Loyalty_Inputs!$C$36*Loyalty_Inputs!$C$25</f>
        <v>9057.10520575978</v>
      </c>
      <c r="AE26" s="8" t="n">
        <f aca="false">N(AD26)*(1-Loyalty_Inputs!$C$36)+N(AD25)*Loyalty_Inputs!$C$36*Loyalty_Inputs!$C$25</f>
        <v>9589.49862767338</v>
      </c>
      <c r="AF26" s="8" t="n">
        <f aca="false">N(AE26)*(1-Loyalty_Inputs!$C$36)+N(AE25)*Loyalty_Inputs!$C$36*Loyalty_Inputs!$C$25</f>
        <v>10113.9061482583</v>
      </c>
      <c r="AG26" s="8" t="n">
        <f aca="false">N(AF26)*(1-Loyalty_Inputs!$C$36)+N(AF25)*Loyalty_Inputs!$C$36*Loyalty_Inputs!$C$25</f>
        <v>10630.4475560344</v>
      </c>
      <c r="AH26" s="8" t="n">
        <f aca="false">N(AG26)*(1-Loyalty_Inputs!$C$36)+N(AG25)*Loyalty_Inputs!$C$36*Loyalty_Inputs!$C$25</f>
        <v>11139.2408426939</v>
      </c>
      <c r="AI26" s="8" t="n">
        <f aca="false">N(AH26)*(1-Loyalty_Inputs!$C$36)+N(AH25)*Loyalty_Inputs!$C$36*Loyalty_Inputs!$C$25</f>
        <v>11640.4022300535</v>
      </c>
      <c r="AJ26" s="8" t="n">
        <f aca="false">N(AI26)*(1-Loyalty_Inputs!$C$36)+N(AI25)*Loyalty_Inputs!$C$36*Loyalty_Inputs!$C$25</f>
        <v>12134.0461966027</v>
      </c>
      <c r="AK26" s="8" t="n">
        <f aca="false">N(AJ26)*(1-Loyalty_Inputs!$C$36)+N(AJ25)*Loyalty_Inputs!$C$36*Loyalty_Inputs!$C$25</f>
        <v>12620.2855036536</v>
      </c>
      <c r="AL26" s="8" t="n">
        <f aca="false">N(AK26)*(1-Loyalty_Inputs!$C$36)+N(AK25)*Loyalty_Inputs!$C$36*Loyalty_Inputs!$C$25</f>
        <v>13099.2312210988</v>
      </c>
    </row>
    <row r="27" customFormat="false" ht="15" hidden="false" customHeight="false" outlineLevel="0" collapsed="false">
      <c r="A27" s="2" t="s">
        <v>461</v>
      </c>
      <c r="B27" s="4" t="s">
        <v>462</v>
      </c>
      <c r="C27" s="8" t="n">
        <f aca="false">N(B27)*(1-Loyalty_Inputs!$C$36)+C25*Loyalty_Inputs!$C$37</f>
        <v>0</v>
      </c>
      <c r="D27" s="8" t="n">
        <f aca="false">N(C27)*(1-Loyalty_Inputs!$C$36)+D25*Loyalty_Inputs!$C$37</f>
        <v>0</v>
      </c>
      <c r="E27" s="8" t="n">
        <f aca="false">N(D27)*(1-Loyalty_Inputs!$C$36)+E25*Loyalty_Inputs!$C$37</f>
        <v>0</v>
      </c>
      <c r="F27" s="8" t="n">
        <f aca="false">N(E27)*(1-Loyalty_Inputs!$C$36)+F25*Loyalty_Inputs!$C$37</f>
        <v>0</v>
      </c>
      <c r="G27" s="8" t="n">
        <f aca="false">N(F27)*(1-Loyalty_Inputs!$C$36)+G25*Loyalty_Inputs!$C$37</f>
        <v>120</v>
      </c>
      <c r="H27" s="8" t="n">
        <f aca="false">N(G27)*(1-Loyalty_Inputs!$C$36)+H25*Loyalty_Inputs!$C$37</f>
        <v>238.2</v>
      </c>
      <c r="I27" s="8" t="n">
        <f aca="false">N(H27)*(1-Loyalty_Inputs!$C$36)+I25*Loyalty_Inputs!$C$37</f>
        <v>354.627</v>
      </c>
      <c r="J27" s="8" t="n">
        <f aca="false">N(I27)*(1-Loyalty_Inputs!$C$36)+J25*Loyalty_Inputs!$C$37</f>
        <v>469.307595</v>
      </c>
      <c r="K27" s="8" t="n">
        <f aca="false">N(J27)*(1-Loyalty_Inputs!$C$36)+K25*Loyalty_Inputs!$C$37</f>
        <v>582.267981075</v>
      </c>
      <c r="L27" s="8" t="n">
        <f aca="false">N(K27)*(1-Loyalty_Inputs!$C$36)+L25*Loyalty_Inputs!$C$37</f>
        <v>693.533961358875</v>
      </c>
      <c r="M27" s="8" t="n">
        <f aca="false">N(L27)*(1-Loyalty_Inputs!$C$36)+M25*Loyalty_Inputs!$C$37</f>
        <v>881.130951938492</v>
      </c>
      <c r="N27" s="8" t="n">
        <f aca="false">N(M27)*(1-Loyalty_Inputs!$C$36)+N25*Loyalty_Inputs!$C$37</f>
        <v>1263.91398765941</v>
      </c>
      <c r="O27" s="8" t="n">
        <f aca="false">N(N27)*(1-Loyalty_Inputs!$C$36)+O25*Loyalty_Inputs!$C$37</f>
        <v>1838.95527784452</v>
      </c>
      <c r="P27" s="8" t="n">
        <f aca="false">N(O27)*(1-Loyalty_Inputs!$C$36)+P25*Loyalty_Inputs!$C$37</f>
        <v>2603.37094867686</v>
      </c>
      <c r="Q27" s="8" t="n">
        <f aca="false">N(P27)*(1-Loyalty_Inputs!$C$36)+Q25*Loyalty_Inputs!$C$37</f>
        <v>3554.3203844467</v>
      </c>
      <c r="R27" s="8" t="n">
        <f aca="false">N(Q27)*(1-Loyalty_Inputs!$C$36)+R25*Loyalty_Inputs!$C$37</f>
        <v>4689.00557868</v>
      </c>
      <c r="S27" s="8" t="n">
        <f aca="false">N(R27)*(1-Loyalty_Inputs!$C$36)+S25*Loyalty_Inputs!$C$37</f>
        <v>5806.6704949998</v>
      </c>
      <c r="T27" s="8" t="n">
        <f aca="false">N(S27)*(1-Loyalty_Inputs!$C$36)+T25*Loyalty_Inputs!$C$37</f>
        <v>6907.57043757481</v>
      </c>
      <c r="U27" s="8" t="n">
        <f aca="false">N(T27)*(1-Loyalty_Inputs!$C$36)+U25*Loyalty_Inputs!$C$37</f>
        <v>7991.95688101118</v>
      </c>
      <c r="V27" s="8" t="n">
        <f aca="false">N(U27)*(1-Loyalty_Inputs!$C$36)+V25*Loyalty_Inputs!$C$37</f>
        <v>9060.07752779602</v>
      </c>
      <c r="W27" s="8" t="n">
        <f aca="false">N(V27)*(1-Loyalty_Inputs!$C$36)+W25*Loyalty_Inputs!$C$37</f>
        <v>10112.1763648791</v>
      </c>
      <c r="X27" s="8" t="n">
        <f aca="false">N(W27)*(1-Loyalty_Inputs!$C$36)+X25*Loyalty_Inputs!$C$37</f>
        <v>11148.4937194059</v>
      </c>
      <c r="Y27" s="8" t="n">
        <f aca="false">N(X27)*(1-Loyalty_Inputs!$C$36)+Y25*Loyalty_Inputs!$C$37</f>
        <v>12169.2663136148</v>
      </c>
      <c r="Z27" s="8" t="n">
        <f aca="false">N(Y27)*(1-Loyalty_Inputs!$C$36)+Z25*Loyalty_Inputs!$C$37</f>
        <v>13174.7273189106</v>
      </c>
      <c r="AA27" s="8" t="n">
        <f aca="false">N(Z27)*(1-Loyalty_Inputs!$C$36)+AA25*Loyalty_Inputs!$C$37</f>
        <v>14165.1064091269</v>
      </c>
      <c r="AB27" s="8" t="n">
        <f aca="false">N(AA27)*(1-Loyalty_Inputs!$C$36)+AB25*Loyalty_Inputs!$C$37</f>
        <v>15140.62981299</v>
      </c>
      <c r="AC27" s="8" t="n">
        <f aca="false">N(AB27)*(1-Loyalty_Inputs!$C$36)+AC25*Loyalty_Inputs!$C$37</f>
        <v>16101.5203657952</v>
      </c>
      <c r="AD27" s="8" t="n">
        <f aca="false">N(AC27)*(1-Loyalty_Inputs!$C$36)+AD25*Loyalty_Inputs!$C$37</f>
        <v>17047.9975603082</v>
      </c>
      <c r="AE27" s="8" t="n">
        <f aca="false">N(AD27)*(1-Loyalty_Inputs!$C$36)+AE25*Loyalty_Inputs!$C$37</f>
        <v>17980.2775969036</v>
      </c>
      <c r="AF27" s="8" t="n">
        <f aca="false">N(AE27)*(1-Loyalty_Inputs!$C$36)+AF25*Loyalty_Inputs!$C$37</f>
        <v>18898.5734329501</v>
      </c>
      <c r="AG27" s="8" t="n">
        <f aca="false">N(AF27)*(1-Loyalty_Inputs!$C$36)+AG25*Loyalty_Inputs!$C$37</f>
        <v>19803.0948314558</v>
      </c>
      <c r="AH27" s="8" t="n">
        <f aca="false">N(AG27)*(1-Loyalty_Inputs!$C$36)+AH25*Loyalty_Inputs!$C$37</f>
        <v>20694.048408984</v>
      </c>
      <c r="AI27" s="8" t="n">
        <f aca="false">N(AH27)*(1-Loyalty_Inputs!$C$36)+AI25*Loyalty_Inputs!$C$37</f>
        <v>21571.6376828492</v>
      </c>
      <c r="AJ27" s="8" t="n">
        <f aca="false">N(AI27)*(1-Loyalty_Inputs!$C$36)+AJ25*Loyalty_Inputs!$C$37</f>
        <v>22436.0631176065</v>
      </c>
      <c r="AK27" s="8" t="n">
        <f aca="false">N(AJ27)*(1-Loyalty_Inputs!$C$36)+AK25*Loyalty_Inputs!$C$37</f>
        <v>23287.5221708424</v>
      </c>
      <c r="AL27" s="8" t="n">
        <f aca="false">N(AK27)*(1-Loyalty_Inputs!$C$36)+AL25*Loyalty_Inputs!$C$37</f>
        <v>24126.2093382797</v>
      </c>
    </row>
    <row r="28" customFormat="false" ht="15" hidden="false" customHeight="false" outlineLevel="0" collapsed="false">
      <c r="A28" s="2" t="s">
        <v>463</v>
      </c>
      <c r="B28" s="4" t="s">
        <v>464</v>
      </c>
      <c r="C28" s="8" t="n">
        <f aca="false">C25*Loyalty_Inputs!$C$12*Loyalty_Inputs!$C$51*(1-Loyalty_Inputs!$C$13)*0.3</f>
        <v>0</v>
      </c>
      <c r="D28" s="8" t="n">
        <f aca="false">D25*Loyalty_Inputs!$C$12*Loyalty_Inputs!$C$51*(1-Loyalty_Inputs!$C$13)*0.3</f>
        <v>0</v>
      </c>
      <c r="E28" s="8" t="n">
        <f aca="false">E25*Loyalty_Inputs!$C$12*Loyalty_Inputs!$C$51*(1-Loyalty_Inputs!$C$13)*0.3</f>
        <v>0</v>
      </c>
      <c r="F28" s="8" t="n">
        <f aca="false">F25*Loyalty_Inputs!$C$12*Loyalty_Inputs!$C$51*(1-Loyalty_Inputs!$C$13)*0.3</f>
        <v>0</v>
      </c>
      <c r="G28" s="8" t="n">
        <f aca="false">G25*Loyalty_Inputs!$C$12*Loyalty_Inputs!$C$51*(1-Loyalty_Inputs!$C$13)*0.3</f>
        <v>4624042.5</v>
      </c>
      <c r="H28" s="8" t="n">
        <f aca="false">H25*Loyalty_Inputs!$C$12*Loyalty_Inputs!$C$51*(1-Loyalty_Inputs!$C$13)*0.3</f>
        <v>4624042.5</v>
      </c>
      <c r="I28" s="8" t="n">
        <f aca="false">I25*Loyalty_Inputs!$C$12*Loyalty_Inputs!$C$51*(1-Loyalty_Inputs!$C$13)*0.3</f>
        <v>4624042.5</v>
      </c>
      <c r="J28" s="8" t="n">
        <f aca="false">J25*Loyalty_Inputs!$C$12*Loyalty_Inputs!$C$51*(1-Loyalty_Inputs!$C$13)*0.3</f>
        <v>4624042.5</v>
      </c>
      <c r="K28" s="8" t="n">
        <f aca="false">K25*Loyalty_Inputs!$C$12*Loyalty_Inputs!$C$51*(1-Loyalty_Inputs!$C$13)*0.3</f>
        <v>4624042.5</v>
      </c>
      <c r="L28" s="8" t="n">
        <f aca="false">L25*Loyalty_Inputs!$C$12*Loyalty_Inputs!$C$51*(1-Loyalty_Inputs!$C$13)*0.3</f>
        <v>4624042.5</v>
      </c>
      <c r="M28" s="8" t="n">
        <f aca="false">M25*Loyalty_Inputs!$C$12*Loyalty_Inputs!$C$51*(1-Loyalty_Inputs!$C$13)*0.3</f>
        <v>7629670.125</v>
      </c>
      <c r="N28" s="8" t="n">
        <f aca="false">N25*Loyalty_Inputs!$C$12*Loyalty_Inputs!$C$51*(1-Loyalty_Inputs!$C$13)*0.3</f>
        <v>15259340.25</v>
      </c>
      <c r="O28" s="8" t="n">
        <f aca="false">O25*Loyalty_Inputs!$C$12*Loyalty_Inputs!$C$51*(1-Loyalty_Inputs!$C$13)*0.3</f>
        <v>22889010.375</v>
      </c>
      <c r="P28" s="8" t="n">
        <f aca="false">P25*Loyalty_Inputs!$C$12*Loyalty_Inputs!$C$51*(1-Loyalty_Inputs!$C$13)*0.3</f>
        <v>30518680.5</v>
      </c>
      <c r="Q28" s="8" t="n">
        <f aca="false">Q25*Loyalty_Inputs!$C$12*Loyalty_Inputs!$C$51*(1-Loyalty_Inputs!$C$13)*0.3</f>
        <v>38148350.625</v>
      </c>
      <c r="R28" s="8" t="n">
        <f aca="false">R25*Loyalty_Inputs!$C$12*Loyalty_Inputs!$C$51*(1-Loyalty_Inputs!$C$13)*0.3</f>
        <v>45778020.75</v>
      </c>
      <c r="S28" s="8" t="n">
        <f aca="false">S25*Loyalty_Inputs!$C$12*Loyalty_Inputs!$C$51*(1-Loyalty_Inputs!$C$13)*0.3</f>
        <v>45778020.75</v>
      </c>
      <c r="T28" s="8" t="n">
        <f aca="false">T25*Loyalty_Inputs!$C$12*Loyalty_Inputs!$C$51*(1-Loyalty_Inputs!$C$13)*0.3</f>
        <v>45778020.75</v>
      </c>
      <c r="U28" s="8" t="n">
        <f aca="false">U25*Loyalty_Inputs!$C$12*Loyalty_Inputs!$C$51*(1-Loyalty_Inputs!$C$13)*0.3</f>
        <v>45778020.75</v>
      </c>
      <c r="V28" s="8" t="n">
        <f aca="false">V25*Loyalty_Inputs!$C$12*Loyalty_Inputs!$C$51*(1-Loyalty_Inputs!$C$13)*0.3</f>
        <v>45778020.75</v>
      </c>
      <c r="W28" s="8" t="n">
        <f aca="false">W25*Loyalty_Inputs!$C$12*Loyalty_Inputs!$C$51*(1-Loyalty_Inputs!$C$13)*0.3</f>
        <v>45778020.75</v>
      </c>
      <c r="X28" s="8" t="n">
        <f aca="false">X25*Loyalty_Inputs!$C$12*Loyalty_Inputs!$C$51*(1-Loyalty_Inputs!$C$13)*0.3</f>
        <v>45778020.75</v>
      </c>
      <c r="Y28" s="8" t="n">
        <f aca="false">Y25*Loyalty_Inputs!$C$12*Loyalty_Inputs!$C$51*(1-Loyalty_Inputs!$C$13)*0.3</f>
        <v>45778020.75</v>
      </c>
      <c r="Z28" s="8" t="n">
        <f aca="false">Z25*Loyalty_Inputs!$C$12*Loyalty_Inputs!$C$51*(1-Loyalty_Inputs!$C$13)*0.3</f>
        <v>45778020.75</v>
      </c>
      <c r="AA28" s="8" t="n">
        <f aca="false">AA25*Loyalty_Inputs!$C$12*Loyalty_Inputs!$C$51*(1-Loyalty_Inputs!$C$13)*0.3</f>
        <v>45778020.75</v>
      </c>
      <c r="AB28" s="8" t="n">
        <f aca="false">AB25*Loyalty_Inputs!$C$12*Loyalty_Inputs!$C$51*(1-Loyalty_Inputs!$C$13)*0.3</f>
        <v>45778020.75</v>
      </c>
      <c r="AC28" s="8" t="n">
        <f aca="false">AC25*Loyalty_Inputs!$C$12*Loyalty_Inputs!$C$51*(1-Loyalty_Inputs!$C$13)*0.3</f>
        <v>45778020.75</v>
      </c>
      <c r="AD28" s="8" t="n">
        <f aca="false">AD25*Loyalty_Inputs!$C$12*Loyalty_Inputs!$C$51*(1-Loyalty_Inputs!$C$13)*0.3</f>
        <v>45778020.75</v>
      </c>
      <c r="AE28" s="8" t="n">
        <f aca="false">AE25*Loyalty_Inputs!$C$12*Loyalty_Inputs!$C$51*(1-Loyalty_Inputs!$C$13)*0.3</f>
        <v>45778020.75</v>
      </c>
      <c r="AF28" s="8" t="n">
        <f aca="false">AF25*Loyalty_Inputs!$C$12*Loyalty_Inputs!$C$51*(1-Loyalty_Inputs!$C$13)*0.3</f>
        <v>45778020.75</v>
      </c>
      <c r="AG28" s="8" t="n">
        <f aca="false">AG25*Loyalty_Inputs!$C$12*Loyalty_Inputs!$C$51*(1-Loyalty_Inputs!$C$13)*0.3</f>
        <v>45778020.75</v>
      </c>
      <c r="AH28" s="8" t="n">
        <f aca="false">AH25*Loyalty_Inputs!$C$12*Loyalty_Inputs!$C$51*(1-Loyalty_Inputs!$C$13)*0.3</f>
        <v>45778020.75</v>
      </c>
      <c r="AI28" s="8" t="n">
        <f aca="false">AI25*Loyalty_Inputs!$C$12*Loyalty_Inputs!$C$51*(1-Loyalty_Inputs!$C$13)*0.3</f>
        <v>45778020.75</v>
      </c>
      <c r="AJ28" s="8" t="n">
        <f aca="false">AJ25*Loyalty_Inputs!$C$12*Loyalty_Inputs!$C$51*(1-Loyalty_Inputs!$C$13)*0.3</f>
        <v>45778020.75</v>
      </c>
      <c r="AK28" s="8" t="n">
        <f aca="false">AK25*Loyalty_Inputs!$C$12*Loyalty_Inputs!$C$51*(1-Loyalty_Inputs!$C$13)*0.3</f>
        <v>45778020.75</v>
      </c>
      <c r="AL28" s="8" t="n">
        <f aca="false">AL25*Loyalty_Inputs!$C$12*Loyalty_Inputs!$C$51*(1-Loyalty_Inputs!$C$13)*0.3</f>
        <v>45778020.75</v>
      </c>
    </row>
    <row r="29" customFormat="false" ht="15" hidden="false" customHeight="false" outlineLevel="0" collapsed="false">
      <c r="A29" s="2" t="s">
        <v>465</v>
      </c>
      <c r="B29" s="4" t="s">
        <v>466</v>
      </c>
      <c r="C29" s="8" t="n">
        <f aca="false">C26*Loyalty_Inputs!$C$35+C27*Loyalty_Inputs!$C$38+C25*Loyalty_Inputs!$C$35*Loyalty_Inputs!$C$26+C25*Loyalty_Inputs!$C$52*Loyalty_Inputs!$C$29*Loyalty_Inputs!$C$54+C25*Loyalty_Inputs!$C$35*Loyalty_Inputs!$C$32*Loyalty_Inputs!$C$15/0.3-C28</f>
        <v>0</v>
      </c>
      <c r="D29" s="8" t="n">
        <f aca="false">D26*Loyalty_Inputs!$C$35+D27*Loyalty_Inputs!$C$38+D25*Loyalty_Inputs!$C$35*Loyalty_Inputs!$C$26+D25*Loyalty_Inputs!$C$52*Loyalty_Inputs!$C$29*Loyalty_Inputs!$C$54+D25*Loyalty_Inputs!$C$35*Loyalty_Inputs!$C$32*Loyalty_Inputs!$C$15/0.3-D28</f>
        <v>0</v>
      </c>
      <c r="E29" s="8" t="n">
        <f aca="false">E26*Loyalty_Inputs!$C$35+E27*Loyalty_Inputs!$C$38+E25*Loyalty_Inputs!$C$35*Loyalty_Inputs!$C$26+E25*Loyalty_Inputs!$C$52*Loyalty_Inputs!$C$29*Loyalty_Inputs!$C$54+E25*Loyalty_Inputs!$C$35*Loyalty_Inputs!$C$32*Loyalty_Inputs!$C$15/0.3-E28</f>
        <v>0</v>
      </c>
      <c r="F29" s="8" t="n">
        <f aca="false">F26*Loyalty_Inputs!$C$35+F27*Loyalty_Inputs!$C$38+F25*Loyalty_Inputs!$C$35*Loyalty_Inputs!$C$26+F25*Loyalty_Inputs!$C$52*Loyalty_Inputs!$C$29*Loyalty_Inputs!$C$54+F25*Loyalty_Inputs!$C$35*Loyalty_Inputs!$C$32*Loyalty_Inputs!$C$15/0.3-F28</f>
        <v>0</v>
      </c>
      <c r="G29" s="8" t="n">
        <f aca="false">G26*Loyalty_Inputs!$C$35+G27*Loyalty_Inputs!$C$38+G25*Loyalty_Inputs!$C$35*Loyalty_Inputs!$C$26+G25*Loyalty_Inputs!$C$52*Loyalty_Inputs!$C$29*Loyalty_Inputs!$C$54+G25*Loyalty_Inputs!$C$35*Loyalty_Inputs!$C$32*Loyalty_Inputs!$C$15/0.3-G28</f>
        <v>19789820.8928571</v>
      </c>
      <c r="H29" s="8" t="n">
        <f aca="false">H26*Loyalty_Inputs!$C$35+H27*Loyalty_Inputs!$C$38+H25*Loyalty_Inputs!$C$35*Loyalty_Inputs!$C$26+H25*Loyalty_Inputs!$C$52*Loyalty_Inputs!$C$29*Loyalty_Inputs!$C$54+H25*Loyalty_Inputs!$C$35*Loyalty_Inputs!$C$32*Loyalty_Inputs!$C$15/0.3-H28</f>
        <v>22693220.8928571</v>
      </c>
      <c r="I29" s="8" t="n">
        <f aca="false">I26*Loyalty_Inputs!$C$35+I27*Loyalty_Inputs!$C$38+I25*Loyalty_Inputs!$C$35*Loyalty_Inputs!$C$26+I25*Loyalty_Inputs!$C$52*Loyalty_Inputs!$C$29*Loyalty_Inputs!$C$54+I25*Loyalty_Inputs!$C$35*Loyalty_Inputs!$C$32*Loyalty_Inputs!$C$15/0.3-I28</f>
        <v>25553069.8928571</v>
      </c>
      <c r="J29" s="8" t="n">
        <f aca="false">J26*Loyalty_Inputs!$C$35+J27*Loyalty_Inputs!$C$38+J25*Loyalty_Inputs!$C$35*Loyalty_Inputs!$C$26+J25*Loyalty_Inputs!$C$52*Loyalty_Inputs!$C$29*Loyalty_Inputs!$C$54+J25*Loyalty_Inputs!$C$35*Loyalty_Inputs!$C$32*Loyalty_Inputs!$C$15/0.3-J28</f>
        <v>28370021.1578571</v>
      </c>
      <c r="K29" s="8" t="n">
        <f aca="false">K26*Loyalty_Inputs!$C$35+K27*Loyalty_Inputs!$C$38+K25*Loyalty_Inputs!$C$35*Loyalty_Inputs!$C$26+K25*Loyalty_Inputs!$C$52*Loyalty_Inputs!$C$29*Loyalty_Inputs!$C$54+K25*Loyalty_Inputs!$C$35*Loyalty_Inputs!$C$32*Loyalty_Inputs!$C$15/0.3-K28</f>
        <v>31144718.1538821</v>
      </c>
      <c r="L29" s="8" t="n">
        <f aca="false">L26*Loyalty_Inputs!$C$35+L27*Loyalty_Inputs!$C$38+L25*Loyalty_Inputs!$C$35*Loyalty_Inputs!$C$26+L25*Loyalty_Inputs!$C$52*Loyalty_Inputs!$C$29*Loyalty_Inputs!$C$54+L25*Loyalty_Inputs!$C$35*Loyalty_Inputs!$C$32*Loyalty_Inputs!$C$15/0.3-L28</f>
        <v>33877794.6949668</v>
      </c>
      <c r="M29" s="8" t="n">
        <f aca="false">M26*Loyalty_Inputs!$C$35+M27*Loyalty_Inputs!$C$38+M25*Loyalty_Inputs!$C$35*Loyalty_Inputs!$C$26+M25*Loyalty_Inputs!$C$52*Loyalty_Inputs!$C$29*Loyalty_Inputs!$C$54+M25*Loyalty_Inputs!$C$35*Loyalty_Inputs!$C$32*Loyalty_Inputs!$C$15/0.3-M28</f>
        <v>49433258.6682923</v>
      </c>
      <c r="N29" s="8" t="n">
        <f aca="false">N26*Loyalty_Inputs!$C$35+N27*Loyalty_Inputs!$C$38+N25*Loyalty_Inputs!$C$35*Loyalty_Inputs!$C$26+N25*Loyalty_Inputs!$C$52*Loyalty_Inputs!$C$29*Loyalty_Inputs!$C$54+N25*Loyalty_Inputs!$C$35*Loyalty_Inputs!$C$32*Loyalty_Inputs!$C$15/0.3-N28</f>
        <v>86625372.3285804</v>
      </c>
      <c r="O29" s="8" t="n">
        <f aca="false">O26*Loyalty_Inputs!$C$35+O27*Loyalty_Inputs!$C$38+O25*Loyalty_Inputs!$C$35*Loyalty_Inputs!$C$26+O25*Loyalty_Inputs!$C$52*Loyalty_Inputs!$C$29*Loyalty_Inputs!$C$54+O25*Loyalty_Inputs!$C$35*Loyalty_Inputs!$C$32*Loyalty_Inputs!$C$15/0.3-O28</f>
        <v>128540012.351062</v>
      </c>
      <c r="P29" s="8" t="n">
        <f aca="false">P26*Loyalty_Inputs!$C$35+P27*Loyalty_Inputs!$C$38+P25*Loyalty_Inputs!$C$35*Loyalty_Inputs!$C$26+P25*Loyalty_Inputs!$C$52*Loyalty_Inputs!$C$29*Loyalty_Inputs!$C$54+P25*Loyalty_Inputs!$C$35*Loyalty_Inputs!$C$32*Loyalty_Inputs!$C$15/0.3-P28</f>
        <v>175106340.840305</v>
      </c>
      <c r="Q29" s="8" t="n">
        <f aca="false">Q26*Loyalty_Inputs!$C$35+Q27*Loyalty_Inputs!$C$38+Q25*Loyalty_Inputs!$C$35*Loyalty_Inputs!$C$26+Q25*Loyalty_Inputs!$C$52*Loyalty_Inputs!$C$29*Loyalty_Inputs!$C$54+Q25*Loyalty_Inputs!$C$35*Loyalty_Inputs!$C$32*Loyalty_Inputs!$C$15/0.3-Q28</f>
        <v>226254582.469308</v>
      </c>
      <c r="R29" s="8" t="n">
        <f aca="false">R26*Loyalty_Inputs!$C$35+R27*Loyalty_Inputs!$C$38+R25*Loyalty_Inputs!$C$35*Loyalty_Inputs!$C$26+R25*Loyalty_Inputs!$C$52*Loyalty_Inputs!$C$29*Loyalty_Inputs!$C$54+R25*Loyalty_Inputs!$C$35*Loyalty_Inputs!$C$32*Loyalty_Inputs!$C$15/0.3-R28</f>
        <v>281916008.540974</v>
      </c>
      <c r="S29" s="8" t="n">
        <f aca="false">S26*Loyalty_Inputs!$C$35+S27*Loyalty_Inputs!$C$38+S25*Loyalty_Inputs!$C$35*Loyalty_Inputs!$C$26+S25*Loyalty_Inputs!$C$52*Loyalty_Inputs!$C$29*Loyalty_Inputs!$C$54+S25*Loyalty_Inputs!$C$35*Loyalty_Inputs!$C$32*Loyalty_Inputs!$C$15/0.3-S28</f>
        <v>309369716.815448</v>
      </c>
      <c r="T29" s="8" t="n">
        <f aca="false">T26*Loyalty_Inputs!$C$35+T27*Loyalty_Inputs!$C$38+T25*Loyalty_Inputs!$C$35*Loyalty_Inputs!$C$26+T25*Loyalty_Inputs!$C$52*Loyalty_Inputs!$C$29*Loyalty_Inputs!$C$54+T25*Loyalty_Inputs!$C$35*Loyalty_Inputs!$C$32*Loyalty_Inputs!$C$15/0.3-T28</f>
        <v>336411619.465806</v>
      </c>
      <c r="U29" s="8" t="n">
        <f aca="false">U26*Loyalty_Inputs!$C$35+U27*Loyalty_Inputs!$C$38+U25*Loyalty_Inputs!$C$35*Loyalty_Inputs!$C$26+U25*Loyalty_Inputs!$C$52*Loyalty_Inputs!$C$29*Loyalty_Inputs!$C$54+U25*Loyalty_Inputs!$C$35*Loyalty_Inputs!$C$32*Loyalty_Inputs!$C$15/0.3-U28</f>
        <v>363047893.576408</v>
      </c>
      <c r="V29" s="8" t="n">
        <f aca="false">V26*Loyalty_Inputs!$C$35+V27*Loyalty_Inputs!$C$38+V25*Loyalty_Inputs!$C$35*Loyalty_Inputs!$C$26+V25*Loyalty_Inputs!$C$52*Loyalty_Inputs!$C$29*Loyalty_Inputs!$C$54+V25*Loyalty_Inputs!$C$35*Loyalty_Inputs!$C$32*Loyalty_Inputs!$C$15/0.3-V28</f>
        <v>389284623.575351</v>
      </c>
      <c r="W29" s="8" t="n">
        <f aca="false">W26*Loyalty_Inputs!$C$35+W27*Loyalty_Inputs!$C$38+W25*Loyalty_Inputs!$C$35*Loyalty_Inputs!$C$26+W25*Loyalty_Inputs!$C$52*Loyalty_Inputs!$C$29*Loyalty_Inputs!$C$54+W25*Loyalty_Inputs!$C$35*Loyalty_Inputs!$C$32*Loyalty_Inputs!$C$15/0.3-W28</f>
        <v>415127802.62431</v>
      </c>
      <c r="X29" s="8" t="n">
        <f aca="false">X26*Loyalty_Inputs!$C$35+X27*Loyalty_Inputs!$C$38+X25*Loyalty_Inputs!$C$35*Loyalty_Inputs!$C$26+X25*Loyalty_Inputs!$C$52*Loyalty_Inputs!$C$29*Loyalty_Inputs!$C$54+X25*Loyalty_Inputs!$C$35*Loyalty_Inputs!$C$32*Loyalty_Inputs!$C$15/0.3-X28</f>
        <v>440583333.987535</v>
      </c>
      <c r="Y29" s="8" t="n">
        <f aca="false">Y26*Loyalty_Inputs!$C$35+Y27*Loyalty_Inputs!$C$38+Y25*Loyalty_Inputs!$C$35*Loyalty_Inputs!$C$26+Y25*Loyalty_Inputs!$C$52*Loyalty_Inputs!$C$29*Loyalty_Inputs!$C$54+Y25*Loyalty_Inputs!$C$35*Loyalty_Inputs!$C$32*Loyalty_Inputs!$C$15/0.3-Y28</f>
        <v>465657032.380311</v>
      </c>
      <c r="Z29" s="8" t="n">
        <f aca="false">Z26*Loyalty_Inputs!$C$35+Z27*Loyalty_Inputs!$C$38+Z25*Loyalty_Inputs!$C$35*Loyalty_Inputs!$C$26+Z25*Loyalty_Inputs!$C$52*Loyalty_Inputs!$C$29*Loyalty_Inputs!$C$54+Z25*Loyalty_Inputs!$C$35*Loyalty_Inputs!$C$32*Loyalty_Inputs!$C$15/0.3-Z28</f>
        <v>490354625.297196</v>
      </c>
      <c r="AA29" s="8" t="n">
        <f aca="false">AA26*Loyalty_Inputs!$C$35+AA27*Loyalty_Inputs!$C$38+AA25*Loyalty_Inputs!$C$35*Loyalty_Inputs!$C$26+AA25*Loyalty_Inputs!$C$52*Loyalty_Inputs!$C$29*Loyalty_Inputs!$C$54+AA25*Loyalty_Inputs!$C$35*Loyalty_Inputs!$C$32*Loyalty_Inputs!$C$15/0.3-AA28</f>
        <v>514681754.320327</v>
      </c>
      <c r="AB29" s="8" t="n">
        <f aca="false">AB26*Loyalty_Inputs!$C$35+AB27*Loyalty_Inputs!$C$38+AB25*Loyalty_Inputs!$C$35*Loyalty_Inputs!$C$26+AB25*Loyalty_Inputs!$C$52*Loyalty_Inputs!$C$29*Loyalty_Inputs!$C$54+AB25*Loyalty_Inputs!$C$35*Loyalty_Inputs!$C$32*Loyalty_Inputs!$C$15/0.3-AB28</f>
        <v>538643976.408112</v>
      </c>
      <c r="AC29" s="8" t="n">
        <f aca="false">AC26*Loyalty_Inputs!$C$35+AC27*Loyalty_Inputs!$C$38+AC25*Loyalty_Inputs!$C$35*Loyalty_Inputs!$C$26+AC25*Loyalty_Inputs!$C$52*Loyalty_Inputs!$C$29*Loyalty_Inputs!$C$54+AC25*Loyalty_Inputs!$C$35*Loyalty_Inputs!$C$32*Loyalty_Inputs!$C$15/0.3-AC28</f>
        <v>562246765.164579</v>
      </c>
      <c r="AD29" s="8" t="n">
        <f aca="false">AD26*Loyalty_Inputs!$C$35+AD27*Loyalty_Inputs!$C$38+AD25*Loyalty_Inputs!$C$35*Loyalty_Inputs!$C$26+AD25*Loyalty_Inputs!$C$52*Loyalty_Inputs!$C$29*Loyalty_Inputs!$C$54+AD25*Loyalty_Inputs!$C$35*Loyalty_Inputs!$C$32*Loyalty_Inputs!$C$15/0.3-AD28</f>
        <v>585495512.0897</v>
      </c>
      <c r="AE29" s="8" t="n">
        <f aca="false">AE26*Loyalty_Inputs!$C$35+AE27*Loyalty_Inputs!$C$38+AE25*Loyalty_Inputs!$C$35*Loyalty_Inputs!$C$26+AE25*Loyalty_Inputs!$C$52*Loyalty_Inputs!$C$29*Loyalty_Inputs!$C$54+AE25*Loyalty_Inputs!$C$35*Loyalty_Inputs!$C$32*Loyalty_Inputs!$C$15/0.3-AE28</f>
        <v>608395527.810944</v>
      </c>
      <c r="AF29" s="8" t="n">
        <f aca="false">AF26*Loyalty_Inputs!$C$35+AF27*Loyalty_Inputs!$C$38+AF25*Loyalty_Inputs!$C$35*Loyalty_Inputs!$C$26+AF25*Loyalty_Inputs!$C$52*Loyalty_Inputs!$C$29*Loyalty_Inputs!$C$54+AF25*Loyalty_Inputs!$C$35*Loyalty_Inputs!$C$32*Loyalty_Inputs!$C$15/0.3-AF28</f>
        <v>630952043.296369</v>
      </c>
      <c r="AG29" s="8" t="n">
        <f aca="false">AG26*Loyalty_Inputs!$C$35+AG27*Loyalty_Inputs!$C$38+AG25*Loyalty_Inputs!$C$35*Loyalty_Inputs!$C$26+AG25*Loyalty_Inputs!$C$52*Loyalty_Inputs!$C$29*Loyalty_Inputs!$C$54+AG25*Loyalty_Inputs!$C$35*Loyalty_Inputs!$C$32*Loyalty_Inputs!$C$15/0.3-AG28</f>
        <v>653170211.049512</v>
      </c>
      <c r="AH29" s="8" t="n">
        <f aca="false">AH26*Loyalty_Inputs!$C$35+AH27*Loyalty_Inputs!$C$38+AH25*Loyalty_Inputs!$C$35*Loyalty_Inputs!$C$26+AH25*Loyalty_Inputs!$C$52*Loyalty_Inputs!$C$29*Loyalty_Inputs!$C$54+AH25*Loyalty_Inputs!$C$35*Loyalty_Inputs!$C$32*Loyalty_Inputs!$C$15/0.3-AH28</f>
        <v>675055106.286359</v>
      </c>
      <c r="AI29" s="8" t="n">
        <f aca="false">AI26*Loyalty_Inputs!$C$35+AI27*Loyalty_Inputs!$C$38+AI25*Loyalty_Inputs!$C$35*Loyalty_Inputs!$C$26+AI25*Loyalty_Inputs!$C$52*Loyalty_Inputs!$C$29*Loyalty_Inputs!$C$54+AI25*Loyalty_Inputs!$C$35*Loyalty_Inputs!$C$32*Loyalty_Inputs!$C$15/0.3-AI28</f>
        <v>696611728.094653</v>
      </c>
      <c r="AJ29" s="8" t="n">
        <f aca="false">AJ26*Loyalty_Inputs!$C$35+AJ27*Loyalty_Inputs!$C$38+AJ25*Loyalty_Inputs!$C$35*Loyalty_Inputs!$C$26+AJ25*Loyalty_Inputs!$C$52*Loyalty_Inputs!$C$29*Loyalty_Inputs!$C$54+AJ25*Loyalty_Inputs!$C$35*Loyalty_Inputs!$C$32*Loyalty_Inputs!$C$15/0.3-AJ28</f>
        <v>717845000.575822</v>
      </c>
      <c r="AK29" s="8" t="n">
        <f aca="false">AK26*Loyalty_Inputs!$C$35+AK27*Loyalty_Inputs!$C$38+AK25*Loyalty_Inputs!$C$35*Loyalty_Inputs!$C$26+AK25*Loyalty_Inputs!$C$52*Loyalty_Inputs!$C$29*Loyalty_Inputs!$C$54+AK25*Loyalty_Inputs!$C$35*Loyalty_Inputs!$C$32*Loyalty_Inputs!$C$15/0.3-AK28</f>
        <v>738759773.969774</v>
      </c>
      <c r="AL29" s="8" t="n">
        <f aca="false">AL26*Loyalty_Inputs!$C$35+AL27*Loyalty_Inputs!$C$38+AL25*Loyalty_Inputs!$C$35*Loyalty_Inputs!$C$26+AL25*Loyalty_Inputs!$C$52*Loyalty_Inputs!$C$29*Loyalty_Inputs!$C$54+AL25*Loyalty_Inputs!$C$35*Loyalty_Inputs!$C$32*Loyalty_Inputs!$C$15/0.3-AL28</f>
        <v>759360825.762817</v>
      </c>
    </row>
    <row r="30" customFormat="false" ht="15" hidden="false" customHeight="false" outlineLevel="0" collapsed="false">
      <c r="A30" s="2" t="s">
        <v>467</v>
      </c>
      <c r="B30" s="4" t="s">
        <v>468</v>
      </c>
      <c r="C30" s="8" t="n">
        <f aca="false">C26</f>
        <v>0</v>
      </c>
      <c r="D30" s="8" t="n">
        <f aca="false">D26</f>
        <v>0</v>
      </c>
      <c r="E30" s="8" t="n">
        <f aca="false">E26</f>
        <v>0</v>
      </c>
      <c r="F30" s="8" t="n">
        <f aca="false">F26</f>
        <v>0</v>
      </c>
      <c r="G30" s="8" t="n">
        <f aca="false">G26</f>
        <v>0</v>
      </c>
      <c r="H30" s="8" t="n">
        <f aca="false">H26</f>
        <v>67.5</v>
      </c>
      <c r="I30" s="8" t="n">
        <f aca="false">I26</f>
        <v>133.9875</v>
      </c>
      <c r="J30" s="8" t="n">
        <f aca="false">J26</f>
        <v>199.4776875</v>
      </c>
      <c r="K30" s="8" t="n">
        <f aca="false">K26</f>
        <v>263.9855221875</v>
      </c>
      <c r="L30" s="8" t="n">
        <f aca="false">L26</f>
        <v>327.525739354688</v>
      </c>
      <c r="M30" s="8" t="n">
        <f aca="false">M26</f>
        <v>390.112853264367</v>
      </c>
      <c r="N30" s="8" t="n">
        <f aca="false">N26</f>
        <v>495.636160465402</v>
      </c>
      <c r="O30" s="8" t="n">
        <f aca="false">O26</f>
        <v>710.951618058421</v>
      </c>
      <c r="P30" s="8" t="n">
        <f aca="false">P26</f>
        <v>1034.41234378754</v>
      </c>
      <c r="Q30" s="8" t="n">
        <f aca="false">Q26</f>
        <v>1464.39615863073</v>
      </c>
      <c r="R30" s="8" t="n">
        <f aca="false">R26</f>
        <v>1999.30521625127</v>
      </c>
      <c r="S30" s="8" t="n">
        <f aca="false">S26</f>
        <v>2637.5656380075</v>
      </c>
      <c r="T30" s="8" t="n">
        <f aca="false">T26</f>
        <v>3266.25215343739</v>
      </c>
      <c r="U30" s="8" t="n">
        <f aca="false">U26</f>
        <v>3885.50837113583</v>
      </c>
      <c r="V30" s="8" t="n">
        <f aca="false">V26</f>
        <v>4495.47574556879</v>
      </c>
      <c r="W30" s="8" t="n">
        <f aca="false">W26</f>
        <v>5096.29360938526</v>
      </c>
      <c r="X30" s="8" t="n">
        <f aca="false">X26</f>
        <v>5688.09920524448</v>
      </c>
      <c r="Y30" s="8" t="n">
        <f aca="false">Y26</f>
        <v>6271.02771716581</v>
      </c>
      <c r="Z30" s="8" t="n">
        <f aca="false">Z26</f>
        <v>6845.21230140833</v>
      </c>
      <c r="AA30" s="8" t="n">
        <f aca="false">AA26</f>
        <v>7410.7841168872</v>
      </c>
      <c r="AB30" s="8" t="n">
        <f aca="false">AB26</f>
        <v>7967.87235513389</v>
      </c>
      <c r="AC30" s="8" t="n">
        <f aca="false">AC26</f>
        <v>8516.60426980688</v>
      </c>
      <c r="AD30" s="8" t="n">
        <f aca="false">AD26</f>
        <v>9057.10520575978</v>
      </c>
      <c r="AE30" s="8" t="n">
        <f aca="false">AE26</f>
        <v>9589.49862767338</v>
      </c>
      <c r="AF30" s="8" t="n">
        <f aca="false">AF26</f>
        <v>10113.9061482583</v>
      </c>
      <c r="AG30" s="8" t="n">
        <f aca="false">AG26</f>
        <v>10630.4475560344</v>
      </c>
      <c r="AH30" s="8" t="n">
        <f aca="false">AH26</f>
        <v>11139.2408426939</v>
      </c>
      <c r="AI30" s="8" t="n">
        <f aca="false">AI26</f>
        <v>11640.4022300535</v>
      </c>
      <c r="AJ30" s="8" t="n">
        <f aca="false">AJ26</f>
        <v>12134.0461966027</v>
      </c>
      <c r="AK30" s="8" t="n">
        <f aca="false">AK26</f>
        <v>12620.2855036536</v>
      </c>
      <c r="AL30" s="8" t="n">
        <f aca="false">AL26</f>
        <v>13099.2312210988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8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469</v>
      </c>
      <c r="B1" s="4"/>
      <c r="C1" s="4"/>
      <c r="D1" s="4"/>
    </row>
    <row r="2" customFormat="false" ht="15" hidden="false" customHeight="false" outlineLevel="0" collapsed="false">
      <c r="A2" s="4"/>
      <c r="B2" s="4"/>
      <c r="C2" s="4"/>
      <c r="D2" s="4"/>
    </row>
    <row r="3" customFormat="false" ht="15" hidden="false" customHeight="false" outlineLevel="0" collapsed="false">
      <c r="A3" s="5" t="s">
        <v>470</v>
      </c>
      <c r="B3" s="5" t="s">
        <v>471</v>
      </c>
      <c r="C3" s="5" t="s">
        <v>472</v>
      </c>
      <c r="D3" s="5" t="s">
        <v>473</v>
      </c>
    </row>
    <row r="4" customFormat="false" ht="15" hidden="false" customHeight="false" outlineLevel="0" collapsed="false">
      <c r="A4" s="21" t="s">
        <v>474</v>
      </c>
      <c r="B4" s="15" t="n">
        <f aca="false">SUM(Loyalty_Monthly!C6:I6)</f>
        <v>1800000000</v>
      </c>
      <c r="C4" s="29" t="n">
        <f aca="false">B4/Inputs!$C$11</f>
        <v>148760.330578512</v>
      </c>
      <c r="D4" s="18" t="n">
        <f aca="false">B4/B12</f>
        <v>0.515735826021728</v>
      </c>
    </row>
    <row r="5" customFormat="false" ht="15" hidden="false" customHeight="false" outlineLevel="0" collapsed="false">
      <c r="A5" s="21" t="s">
        <v>475</v>
      </c>
      <c r="B5" s="15" t="n">
        <f aca="false">SUM(Loyalty_Monthly!C7:I7)</f>
        <v>360000000</v>
      </c>
      <c r="C5" s="29" t="n">
        <f aca="false">B5/Inputs!$C$11</f>
        <v>29752.0661157025</v>
      </c>
      <c r="D5" s="18" t="n">
        <f aca="false">B5/B12</f>
        <v>0.103147165204346</v>
      </c>
    </row>
    <row r="6" customFormat="false" ht="15" hidden="false" customHeight="false" outlineLevel="0" collapsed="false">
      <c r="A6" s="21" t="s">
        <v>476</v>
      </c>
      <c r="B6" s="15" t="n">
        <f aca="false">SUM(Loyalty_Monthly!C8:I8)</f>
        <v>250000000</v>
      </c>
      <c r="C6" s="29" t="n">
        <f aca="false">B6/Inputs!$C$11</f>
        <v>20661.1570247934</v>
      </c>
      <c r="D6" s="18" t="n">
        <f aca="false">B6/B12</f>
        <v>0.0716299758363511</v>
      </c>
    </row>
    <row r="7" customFormat="false" ht="15" hidden="false" customHeight="false" outlineLevel="0" collapsed="false">
      <c r="A7" s="21" t="s">
        <v>287</v>
      </c>
      <c r="B7" s="15" t="n">
        <f aca="false">SUM(Loyalty_Monthly!C9:I9)</f>
        <v>253995682.5</v>
      </c>
      <c r="C7" s="29" t="n">
        <f aca="false">B7/Inputs!$C$11</f>
        <v>20991.3787190083</v>
      </c>
      <c r="D7" s="18" t="n">
        <f aca="false">B7/B12</f>
        <v>0.07277481840005</v>
      </c>
    </row>
    <row r="8" customFormat="false" ht="15" hidden="false" customHeight="false" outlineLevel="0" collapsed="false">
      <c r="A8" s="21" t="s">
        <v>477</v>
      </c>
      <c r="B8" s="15" t="n">
        <f aca="false">SUM(Loyalty_Monthly!C10:I10)</f>
        <v>212625000</v>
      </c>
      <c r="C8" s="29" t="n">
        <f aca="false">B8/Inputs!$C$11</f>
        <v>17572.3140495868</v>
      </c>
      <c r="D8" s="18" t="n">
        <f aca="false">B8/B12</f>
        <v>0.0609212944488166</v>
      </c>
    </row>
    <row r="9" customFormat="false" ht="15" hidden="false" customHeight="false" outlineLevel="0" collapsed="false">
      <c r="A9" s="21" t="s">
        <v>432</v>
      </c>
      <c r="B9" s="15" t="n">
        <f aca="false">SUM(Loyalty_Monthly!C11:I11)</f>
        <v>350220000</v>
      </c>
      <c r="C9" s="29" t="n">
        <f aca="false">B9/Inputs!$C$11</f>
        <v>28943.8016528926</v>
      </c>
      <c r="D9" s="18" t="n">
        <f aca="false">B9/B12</f>
        <v>0.100345000549628</v>
      </c>
    </row>
    <row r="10" customFormat="false" ht="15" hidden="false" customHeight="false" outlineLevel="0" collapsed="false">
      <c r="A10" s="21" t="s">
        <v>434</v>
      </c>
      <c r="B10" s="15" t="n">
        <f aca="false">SUM(Loyalty_Monthly!C12:I12)</f>
        <v>179985000</v>
      </c>
      <c r="C10" s="29" t="n">
        <f aca="false">B10/Inputs!$C$11</f>
        <v>14874.7933884298</v>
      </c>
      <c r="D10" s="18" t="n">
        <f aca="false">B10/B12</f>
        <v>0.0515692848036226</v>
      </c>
    </row>
    <row r="11" customFormat="false" ht="15" hidden="false" customHeight="false" outlineLevel="0" collapsed="false">
      <c r="A11" s="21" t="s">
        <v>478</v>
      </c>
      <c r="B11" s="15" t="n">
        <f aca="false">SUM(Loyalty_Monthly!C13:I13)</f>
        <v>83333250</v>
      </c>
      <c r="C11" s="29" t="n">
        <f aca="false">B11/Inputs!$C$11</f>
        <v>6887.04545454546</v>
      </c>
      <c r="D11" s="18" t="n">
        <f aca="false">B11/B12</f>
        <v>0.0238766347354584</v>
      </c>
    </row>
    <row r="12" customFormat="false" ht="15" hidden="false" customHeight="false" outlineLevel="0" collapsed="false">
      <c r="A12" s="30" t="s">
        <v>479</v>
      </c>
      <c r="B12" s="24" t="n">
        <f aca="false">SUM(B4:B11)</f>
        <v>3490158932.5</v>
      </c>
      <c r="C12" s="31" t="n">
        <f aca="false">B12/Inputs!$C$11</f>
        <v>288442.886983471</v>
      </c>
      <c r="D12" s="4"/>
    </row>
    <row r="13" customFormat="false" ht="15" hidden="false" customHeight="false" outlineLevel="0" collapsed="false">
      <c r="A13" s="21" t="s">
        <v>480</v>
      </c>
      <c r="B13" s="8" t="n">
        <f aca="false">B12/Loyalty_Inputs!$C$7</f>
        <v>23267.7262166667</v>
      </c>
      <c r="C13" s="4"/>
      <c r="D13" s="4"/>
    </row>
    <row r="14" customFormat="false" ht="15" hidden="false" customHeight="false" outlineLevel="0" collapsed="false">
      <c r="A14" s="21" t="s">
        <v>481</v>
      </c>
      <c r="B14" s="8" t="n">
        <f aca="false">B12-B4</f>
        <v>1690158932.5</v>
      </c>
      <c r="C14" s="4"/>
      <c r="D1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21" min="3" style="0" width="15"/>
    <col collapsed="false" customWidth="true" hidden="false" outlineLevel="0" max="22" min="22" style="0" width="36"/>
    <col collapsed="false" customWidth="true" hidden="false" outlineLevel="0" max="23" min="23" style="0" width="15"/>
  </cols>
  <sheetData>
    <row r="1" customFormat="false" ht="17.35" hidden="false" customHeight="false" outlineLevel="0" collapsed="false">
      <c r="A1" s="1" t="s">
        <v>482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customFormat="false" ht="15" hidden="false" customHeight="false" outlineLevel="0" collapsed="false">
      <c r="A2" s="4" t="s">
        <v>483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customFormat="false" ht="60" hidden="false" customHeight="true" outlineLevel="0" collapsed="false">
      <c r="A4" s="5" t="s">
        <v>484</v>
      </c>
      <c r="B4" s="5" t="s">
        <v>485</v>
      </c>
      <c r="C4" s="5" t="s">
        <v>486</v>
      </c>
      <c r="D4" s="5" t="s">
        <v>487</v>
      </c>
      <c r="E4" s="5" t="s">
        <v>488</v>
      </c>
      <c r="F4" s="5" t="s">
        <v>489</v>
      </c>
      <c r="G4" s="5" t="s">
        <v>490</v>
      </c>
      <c r="H4" s="5" t="s">
        <v>491</v>
      </c>
      <c r="I4" s="5" t="s">
        <v>492</v>
      </c>
      <c r="J4" s="5" t="s">
        <v>493</v>
      </c>
      <c r="K4" s="5" t="s">
        <v>494</v>
      </c>
      <c r="L4" s="5" t="s">
        <v>495</v>
      </c>
      <c r="M4" s="5" t="s">
        <v>496</v>
      </c>
      <c r="N4" s="5" t="s">
        <v>497</v>
      </c>
      <c r="O4" s="5" t="s">
        <v>498</v>
      </c>
      <c r="P4" s="5" t="s">
        <v>499</v>
      </c>
      <c r="Q4" s="5" t="s">
        <v>500</v>
      </c>
      <c r="R4" s="5" t="s">
        <v>501</v>
      </c>
      <c r="S4" s="5" t="s">
        <v>502</v>
      </c>
      <c r="T4" s="5" t="s">
        <v>503</v>
      </c>
      <c r="U4" s="5" t="s">
        <v>504</v>
      </c>
      <c r="V4" s="5" t="s">
        <v>505</v>
      </c>
      <c r="W4" s="5" t="s">
        <v>506</v>
      </c>
    </row>
    <row r="5" customFormat="false" ht="15" hidden="false" customHeight="false" outlineLevel="0" collapsed="false">
      <c r="A5" s="30" t="s">
        <v>507</v>
      </c>
      <c r="B5" s="21" t="s">
        <v>508</v>
      </c>
      <c r="C5" s="10" t="n">
        <v>1</v>
      </c>
      <c r="D5" s="10" t="n">
        <v>1</v>
      </c>
      <c r="E5" s="20" t="n">
        <v>0.002</v>
      </c>
      <c r="F5" s="10" t="n">
        <v>0</v>
      </c>
      <c r="G5" s="6" t="n">
        <v>0</v>
      </c>
      <c r="H5" s="10" t="n">
        <v>0</v>
      </c>
      <c r="I5" s="6" t="n">
        <v>0</v>
      </c>
      <c r="J5" s="10" t="n">
        <v>0.02</v>
      </c>
      <c r="K5" s="32" t="n">
        <v>0.5</v>
      </c>
      <c r="L5" s="8" t="n">
        <f aca="false">Loyalty_Inputs!$C$53*Loyalty_Inputs!$C$24*Loyalty_Inputs!$C$25*((1-Loyalty_Inputs!$C$50)+Loyalty_Inputs!$C$50*D5)*(1-(1-Loyalty_Inputs!$C$24)^12)/Loyalty_Inputs!$C$24*Loyalty_Inputs!$C$47*Loyalty_Inputs!$C$34</f>
        <v>1121725222.62553</v>
      </c>
      <c r="M5" s="8" t="n">
        <f aca="false">Loyalty_Inputs!$C$53*Loyalty_Inputs!$C$50*E5*(1-(1-Loyalty_Inputs!$C$24)^12)/Loyalty_Inputs!$C$24*Loyalty_Inputs!$C$28*Loyalty_Inputs!$C$34</f>
        <v>397214351.643369</v>
      </c>
      <c r="N5" s="8" t="n">
        <f aca="false">Loyalty_Inputs!$C$53*Loyalty_Inputs!$C$50*F5*G5/(1+Inputs!$C$10)*(1-Loyalty_Inputs!$C$31)</f>
        <v>0</v>
      </c>
      <c r="O5" s="8" t="n">
        <f aca="false">Loyalty_Inputs!$C$53*Loyalty_Inputs!$C$50*H5*I5/(1+Inputs!$C$10)</f>
        <v>0</v>
      </c>
      <c r="P5" s="8" t="n">
        <f aca="false">-(Prizes!$E$34*52/12+Prizes!$C$64)</f>
        <v>-292575833.333333</v>
      </c>
      <c r="Q5" s="8" t="n">
        <f aca="false">SUM(L5:P5)</f>
        <v>1226363740.93557</v>
      </c>
      <c r="R5" s="8" t="n">
        <f aca="false">Q5*(1-J5)</f>
        <v>1201836466.11686</v>
      </c>
      <c r="S5" s="8" t="n">
        <f aca="false">Loyalty_Inputs!$C$53*((1-Loyalty_Inputs!$C$50)+Loyalty_Inputs!$C$50*C5)</f>
        <v>1485000</v>
      </c>
      <c r="T5" s="18" t="n">
        <f aca="false">0.03+0.97*C5</f>
        <v>1</v>
      </c>
      <c r="U5" s="33" t="n">
        <f aca="false">IF(S5&gt;0,Prizes!$C$34/S5,0)</f>
        <v>0.000911784511784512</v>
      </c>
      <c r="V5" s="21" t="s">
        <v>509</v>
      </c>
      <c r="W5" s="21" t="s">
        <v>509</v>
      </c>
    </row>
    <row r="6" customFormat="false" ht="15" hidden="false" customHeight="false" outlineLevel="0" collapsed="false">
      <c r="A6" s="30" t="s">
        <v>510</v>
      </c>
      <c r="B6" s="21" t="s">
        <v>511</v>
      </c>
      <c r="C6" s="10" t="n">
        <v>0</v>
      </c>
      <c r="D6" s="10" t="n">
        <v>0.7</v>
      </c>
      <c r="E6" s="20" t="n">
        <v>0.0036</v>
      </c>
      <c r="F6" s="10" t="n">
        <v>0</v>
      </c>
      <c r="G6" s="6" t="n">
        <v>0</v>
      </c>
      <c r="H6" s="10" t="n">
        <v>0</v>
      </c>
      <c r="I6" s="6" t="n">
        <v>0</v>
      </c>
      <c r="J6" s="10" t="n">
        <v>0.03</v>
      </c>
      <c r="K6" s="32" t="n">
        <v>0.8</v>
      </c>
      <c r="L6" s="8" t="n">
        <f aca="false">Loyalty_Inputs!$C$53*Loyalty_Inputs!$C$24*Loyalty_Inputs!$C$25*((1-Loyalty_Inputs!$C$50)+Loyalty_Inputs!$C$50*D6)*(1-(1-Loyalty_Inputs!$C$24)^12)/Loyalty_Inputs!$C$24*Loyalty_Inputs!$C$47*Loyalty_Inputs!$C$34</f>
        <v>886162925.874171</v>
      </c>
      <c r="M6" s="8" t="n">
        <f aca="false">Loyalty_Inputs!$C$53*Loyalty_Inputs!$C$50*E6*(1-(1-Loyalty_Inputs!$C$24)^12)/Loyalty_Inputs!$C$24*Loyalty_Inputs!$C$28*Loyalty_Inputs!$C$34</f>
        <v>714985832.958064</v>
      </c>
      <c r="N6" s="8" t="n">
        <f aca="false">Loyalty_Inputs!$C$53*Loyalty_Inputs!$C$50*F6*G6/(1+Inputs!$C$10)*(1-Loyalty_Inputs!$C$31)</f>
        <v>0</v>
      </c>
      <c r="O6" s="8" t="n">
        <f aca="false">Loyalty_Inputs!$C$53*Loyalty_Inputs!$C$50*H6*I6/(1+Inputs!$C$10)</f>
        <v>0</v>
      </c>
      <c r="P6" s="8" t="n">
        <f aca="false">-(Prizes!$E$34*52/12+Prizes!$C$64)</f>
        <v>-292575833.333333</v>
      </c>
      <c r="Q6" s="8" t="n">
        <f aca="false">SUM(L6:P6)</f>
        <v>1308572925.4989</v>
      </c>
      <c r="R6" s="8" t="n">
        <f aca="false">Q6*(1-J6)</f>
        <v>1269315737.73393</v>
      </c>
      <c r="S6" s="8" t="n">
        <f aca="false">Loyalty_Inputs!$C$53*((1-Loyalty_Inputs!$C$50)+Loyalty_Inputs!$C$50*C6)</f>
        <v>445500</v>
      </c>
      <c r="T6" s="18" t="n">
        <f aca="false">0.03+0.97*C6</f>
        <v>0.03</v>
      </c>
      <c r="U6" s="33" t="n">
        <f aca="false">IF(S6&gt;0,Prizes!$C$34/S6,0)</f>
        <v>0.00303928170594837</v>
      </c>
      <c r="V6" s="21" t="s">
        <v>509</v>
      </c>
      <c r="W6" s="21" t="s">
        <v>512</v>
      </c>
    </row>
    <row r="7" customFormat="false" ht="15" hidden="false" customHeight="false" outlineLevel="0" collapsed="false">
      <c r="A7" s="30" t="s">
        <v>513</v>
      </c>
      <c r="B7" s="21" t="s">
        <v>514</v>
      </c>
      <c r="C7" s="10" t="n">
        <v>0</v>
      </c>
      <c r="D7" s="10" t="n">
        <v>0.6</v>
      </c>
      <c r="E7" s="20" t="n">
        <v>0.0024</v>
      </c>
      <c r="F7" s="10" t="n">
        <v>0</v>
      </c>
      <c r="G7" s="6" t="n">
        <v>0</v>
      </c>
      <c r="H7" s="10" t="n">
        <v>0</v>
      </c>
      <c r="I7" s="6" t="n">
        <v>0</v>
      </c>
      <c r="J7" s="10" t="n">
        <v>0.05</v>
      </c>
      <c r="K7" s="32" t="n">
        <v>0.6</v>
      </c>
      <c r="L7" s="8" t="n">
        <f aca="false">Loyalty_Inputs!$C$53*Loyalty_Inputs!$C$24*Loyalty_Inputs!$C$25*((1-Loyalty_Inputs!$C$50)+Loyalty_Inputs!$C$50*D7)*(1-(1-Loyalty_Inputs!$C$24)^12)/Loyalty_Inputs!$C$24*Loyalty_Inputs!$C$47*Loyalty_Inputs!$C$34</f>
        <v>807642160.290384</v>
      </c>
      <c r="M7" s="8" t="n">
        <f aca="false">Loyalty_Inputs!$C$53*Loyalty_Inputs!$C$50*E7*(1-(1-Loyalty_Inputs!$C$24)^12)/Loyalty_Inputs!$C$24*Loyalty_Inputs!$C$28*Loyalty_Inputs!$C$34</f>
        <v>476657221.972042</v>
      </c>
      <c r="N7" s="8" t="n">
        <f aca="false">Loyalty_Inputs!$C$53*Loyalty_Inputs!$C$50*F7*G7/(1+Inputs!$C$10)*(1-Loyalty_Inputs!$C$31)</f>
        <v>0</v>
      </c>
      <c r="O7" s="8" t="n">
        <f aca="false">Loyalty_Inputs!$C$53*Loyalty_Inputs!$C$50*H7*I7/(1+Inputs!$C$10)</f>
        <v>0</v>
      </c>
      <c r="P7" s="8" t="n">
        <f aca="false">-(Prizes!$E$34*52/12+Prizes!$C$64)</f>
        <v>-292575833.333333</v>
      </c>
      <c r="Q7" s="8" t="n">
        <f aca="false">SUM(L7:P7)</f>
        <v>991723548.929093</v>
      </c>
      <c r="R7" s="8" t="n">
        <f aca="false">Q7*(1-J7)</f>
        <v>942137371.482638</v>
      </c>
      <c r="S7" s="8" t="n">
        <f aca="false">Loyalty_Inputs!$C$53*((1-Loyalty_Inputs!$C$50)+Loyalty_Inputs!$C$50*C7)</f>
        <v>445500</v>
      </c>
      <c r="T7" s="18" t="n">
        <f aca="false">0.03+0.97*C7</f>
        <v>0.03</v>
      </c>
      <c r="U7" s="33" t="n">
        <f aca="false">IF(S7&gt;0,Prizes!$C$34/S7,0)</f>
        <v>0.00303928170594837</v>
      </c>
      <c r="V7" s="21" t="s">
        <v>509</v>
      </c>
      <c r="W7" s="21" t="s">
        <v>515</v>
      </c>
    </row>
    <row r="8" customFormat="false" ht="15" hidden="false" customHeight="false" outlineLevel="0" collapsed="false">
      <c r="A8" s="30" t="s">
        <v>516</v>
      </c>
      <c r="B8" s="21" t="s">
        <v>517</v>
      </c>
      <c r="C8" s="10" t="n">
        <v>0.04</v>
      </c>
      <c r="D8" s="10" t="n">
        <v>0.8</v>
      </c>
      <c r="E8" s="20" t="n">
        <v>0.0028</v>
      </c>
      <c r="F8" s="10" t="n">
        <v>0</v>
      </c>
      <c r="G8" s="6" t="n">
        <v>0</v>
      </c>
      <c r="H8" s="10" t="n">
        <v>0.04</v>
      </c>
      <c r="I8" s="6" t="n">
        <v>7500</v>
      </c>
      <c r="J8" s="10" t="n">
        <v>0.4</v>
      </c>
      <c r="K8" s="32" t="n">
        <v>0.7</v>
      </c>
      <c r="L8" s="8" t="n">
        <f aca="false">Loyalty_Inputs!$C$53*Loyalty_Inputs!$C$24*Loyalty_Inputs!$C$25*((1-Loyalty_Inputs!$C$50)+Loyalty_Inputs!$C$50*D8)*(1-(1-Loyalty_Inputs!$C$24)^12)/Loyalty_Inputs!$C$24*Loyalty_Inputs!$C$47*Loyalty_Inputs!$C$34</f>
        <v>964683691.457959</v>
      </c>
      <c r="M8" s="8" t="n">
        <f aca="false">Loyalty_Inputs!$C$53*Loyalty_Inputs!$C$50*E8*(1-(1-Loyalty_Inputs!$C$24)^12)/Loyalty_Inputs!$C$24*Loyalty_Inputs!$C$28*Loyalty_Inputs!$C$34</f>
        <v>556100092.300716</v>
      </c>
      <c r="N8" s="8" t="n">
        <f aca="false">Loyalty_Inputs!$C$53*Loyalty_Inputs!$C$50*F8*G8/(1+Inputs!$C$10)*(1-Loyalty_Inputs!$C$31)</f>
        <v>0</v>
      </c>
      <c r="O8" s="8" t="n">
        <f aca="false">Loyalty_Inputs!$C$53*Loyalty_Inputs!$C$50*H8*I8/(1+Inputs!$C$10)</f>
        <v>278437500</v>
      </c>
      <c r="P8" s="8" t="n">
        <f aca="false">-(Prizes!$E$34*52/12+Prizes!$C$64)</f>
        <v>-292575833.333333</v>
      </c>
      <c r="Q8" s="8" t="n">
        <f aca="false">SUM(L8:P8)</f>
        <v>1506645450.42534</v>
      </c>
      <c r="R8" s="8" t="n">
        <f aca="false">Q8*(1-J8)</f>
        <v>903987270.255205</v>
      </c>
      <c r="S8" s="8" t="n">
        <f aca="false">Loyalty_Inputs!$C$53*((1-Loyalty_Inputs!$C$50)+Loyalty_Inputs!$C$50*C8)</f>
        <v>487080</v>
      </c>
      <c r="T8" s="18" t="n">
        <f aca="false">0.03+0.97*C8</f>
        <v>0.0688</v>
      </c>
      <c r="U8" s="33" t="n">
        <f aca="false">IF(S8&gt;0,Prizes!$C$34/S8,0)</f>
        <v>0.00277983082861132</v>
      </c>
      <c r="V8" s="21" t="s">
        <v>518</v>
      </c>
      <c r="W8" s="21" t="s">
        <v>515</v>
      </c>
    </row>
    <row r="9" customFormat="false" ht="15" hidden="false" customHeight="false" outlineLevel="0" collapsed="false">
      <c r="A9" s="30" t="s">
        <v>519</v>
      </c>
      <c r="B9" s="21" t="s">
        <v>520</v>
      </c>
      <c r="C9" s="10" t="n">
        <v>1</v>
      </c>
      <c r="D9" s="10" t="n">
        <v>1</v>
      </c>
      <c r="E9" s="20" t="n">
        <v>0.005</v>
      </c>
      <c r="F9" s="10" t="n">
        <v>0.03</v>
      </c>
      <c r="G9" s="6" t="n">
        <v>9999</v>
      </c>
      <c r="H9" s="10" t="n">
        <v>0</v>
      </c>
      <c r="I9" s="6" t="n">
        <v>0</v>
      </c>
      <c r="J9" s="10" t="n">
        <v>0.05</v>
      </c>
      <c r="K9" s="32" t="n">
        <v>1</v>
      </c>
      <c r="L9" s="8" t="n">
        <f aca="false">Loyalty_Inputs!$C$53*Loyalty_Inputs!$C$24*Loyalty_Inputs!$C$25*((1-Loyalty_Inputs!$C$50)+Loyalty_Inputs!$C$50*D9)*(1-(1-Loyalty_Inputs!$C$24)^12)/Loyalty_Inputs!$C$24*Loyalty_Inputs!$C$47*Loyalty_Inputs!$C$34</f>
        <v>1121725222.62553</v>
      </c>
      <c r="M9" s="8" t="n">
        <f aca="false">Loyalty_Inputs!$C$53*Loyalty_Inputs!$C$50*E9*(1-(1-Loyalty_Inputs!$C$24)^12)/Loyalty_Inputs!$C$24*Loyalty_Inputs!$C$28*Loyalty_Inputs!$C$34</f>
        <v>993035879.108421</v>
      </c>
      <c r="N9" s="8" t="n">
        <f aca="false">Loyalty_Inputs!$C$53*Loyalty_Inputs!$C$50*F9*G9/(1+Inputs!$C$10)*(1-Loyalty_Inputs!$C$31)</f>
        <v>208807242.1875</v>
      </c>
      <c r="O9" s="8" t="n">
        <f aca="false">Loyalty_Inputs!$C$53*Loyalty_Inputs!$C$50*H9*I9/(1+Inputs!$C$10)</f>
        <v>0</v>
      </c>
      <c r="P9" s="8" t="n">
        <f aca="false">-(Prizes!$E$34*52/12+Prizes!$C$64)</f>
        <v>-292575833.333333</v>
      </c>
      <c r="Q9" s="8" t="n">
        <f aca="false">SUM(L9:P9)</f>
        <v>2030992510.58812</v>
      </c>
      <c r="R9" s="8" t="n">
        <f aca="false">Q9*(1-J9)</f>
        <v>1929442885.05872</v>
      </c>
      <c r="S9" s="8" t="n">
        <f aca="false">Loyalty_Inputs!$C$53*((1-Loyalty_Inputs!$C$50)+Loyalty_Inputs!$C$50*C9)</f>
        <v>1485000</v>
      </c>
      <c r="T9" s="18" t="n">
        <f aca="false">0.03+0.97*C9</f>
        <v>1</v>
      </c>
      <c r="U9" s="33" t="n">
        <f aca="false">IF(S9&gt;0,Prizes!$C$34/S9,0)</f>
        <v>0.000911784511784512</v>
      </c>
      <c r="V9" s="21" t="s">
        <v>521</v>
      </c>
      <c r="W9" s="21" t="s">
        <v>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8" min="3" style="0" width="15"/>
  </cols>
  <sheetData>
    <row r="1" customFormat="false" ht="17.35" hidden="false" customHeight="false" outlineLevel="0" collapsed="false">
      <c r="A1" s="1" t="s">
        <v>522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customFormat="false" ht="15" hidden="false" customHeight="false" outlineLevel="0" collapsed="false">
      <c r="A3" s="5" t="s">
        <v>165</v>
      </c>
      <c r="B3" s="5"/>
      <c r="C3" s="5" t="n">
        <v>1</v>
      </c>
      <c r="D3" s="5" t="n">
        <v>2</v>
      </c>
      <c r="E3" s="5" t="n">
        <v>3</v>
      </c>
      <c r="F3" s="5" t="n">
        <v>4</v>
      </c>
      <c r="G3" s="5" t="n">
        <v>5</v>
      </c>
      <c r="H3" s="5" t="n">
        <v>6</v>
      </c>
      <c r="I3" s="5" t="n">
        <v>7</v>
      </c>
      <c r="J3" s="5" t="n">
        <v>8</v>
      </c>
      <c r="K3" s="5" t="n">
        <v>9</v>
      </c>
      <c r="L3" s="5" t="n">
        <v>10</v>
      </c>
      <c r="M3" s="5" t="n">
        <v>11</v>
      </c>
      <c r="N3" s="5" t="n">
        <v>12</v>
      </c>
      <c r="O3" s="5" t="n">
        <v>13</v>
      </c>
      <c r="P3" s="5" t="n">
        <v>14</v>
      </c>
      <c r="Q3" s="5" t="n">
        <v>15</v>
      </c>
      <c r="R3" s="5" t="n">
        <v>16</v>
      </c>
      <c r="S3" s="5" t="n">
        <v>17</v>
      </c>
      <c r="T3" s="5" t="n">
        <v>18</v>
      </c>
      <c r="U3" s="5" t="n">
        <v>19</v>
      </c>
      <c r="V3" s="5" t="n">
        <v>20</v>
      </c>
      <c r="W3" s="5" t="n">
        <v>21</v>
      </c>
      <c r="X3" s="5" t="n">
        <v>22</v>
      </c>
      <c r="Y3" s="5" t="n">
        <v>23</v>
      </c>
      <c r="Z3" s="5" t="n">
        <v>24</v>
      </c>
      <c r="AA3" s="5" t="n">
        <v>25</v>
      </c>
      <c r="AB3" s="5" t="n">
        <v>26</v>
      </c>
      <c r="AC3" s="5" t="n">
        <v>27</v>
      </c>
      <c r="AD3" s="5" t="n">
        <v>28</v>
      </c>
      <c r="AE3" s="5" t="n">
        <v>29</v>
      </c>
      <c r="AF3" s="5" t="n">
        <v>30</v>
      </c>
      <c r="AG3" s="5" t="n">
        <v>31</v>
      </c>
      <c r="AH3" s="5" t="n">
        <v>32</v>
      </c>
      <c r="AI3" s="5" t="n">
        <v>33</v>
      </c>
      <c r="AJ3" s="5" t="n">
        <v>34</v>
      </c>
      <c r="AK3" s="5" t="n">
        <v>35</v>
      </c>
      <c r="AL3" s="5" t="n">
        <v>36</v>
      </c>
    </row>
    <row r="4" customFormat="false" ht="15" hidden="false" customHeight="false" outlineLevel="0" collapsed="false">
      <c r="A4" s="4" t="s">
        <v>523</v>
      </c>
      <c r="B4" s="4"/>
      <c r="C4" s="8" t="n">
        <f aca="false">(Monthly_I!C16+Monthly_I!C30+Monthly_I!C44+Monthly_I!C58)*(1-Inputs!$C$14)</f>
        <v>0</v>
      </c>
      <c r="D4" s="8" t="n">
        <f aca="false">(Monthly_I!D16+Monthly_I!D30+Monthly_I!D44+Monthly_I!D58)*(1-Inputs!$C$14)</f>
        <v>402523817.142857</v>
      </c>
      <c r="E4" s="8" t="n">
        <f aca="false">(Monthly_I!E16+Monthly_I!E30+Monthly_I!E44+Monthly_I!E58)*(1-Inputs!$C$14)</f>
        <v>538141541.425714</v>
      </c>
      <c r="F4" s="8" t="n">
        <f aca="false">(Monthly_I!F16+Monthly_I!F30+Monthly_I!F44+Monthly_I!F58)*(1-Inputs!$C$14)</f>
        <v>2776091159.2083</v>
      </c>
      <c r="G4" s="8" t="n">
        <f aca="false">(Monthly_I!G16+Monthly_I!G30+Monthly_I!G44+Monthly_I!G58)*(1-Inputs!$C$14)</f>
        <v>2572015985.28062</v>
      </c>
      <c r="H4" s="8" t="n">
        <f aca="false">(Monthly_I!H16+Monthly_I!H30+Monthly_I!H44+Monthly_I!H58)*(1-Inputs!$C$14)</f>
        <v>3859826122.33223</v>
      </c>
      <c r="I4" s="8" t="n">
        <f aca="false">(Monthly_I!I16+Monthly_I!I30+Monthly_I!I44+Monthly_I!I58)*(1-Inputs!$C$14)</f>
        <v>3690047425.68167</v>
      </c>
      <c r="J4" s="8" t="n">
        <f aca="false">(Monthly_I!J16+Monthly_I!J30+Monthly_I!J44+Monthly_I!J58)*(1-Inputs!$C$14)</f>
        <v>3636835800.97611</v>
      </c>
      <c r="K4" s="8" t="n">
        <f aca="false">(Monthly_I!K16+Monthly_I!K30+Monthly_I!K44+Monthly_I!K58)*(1-Inputs!$C$14)</f>
        <v>4908590810.64045</v>
      </c>
      <c r="L4" s="8" t="n">
        <f aca="false">(Monthly_I!L16+Monthly_I!L30+Monthly_I!L44+Monthly_I!L58)*(1-Inputs!$C$14)</f>
        <v>4722998876.22892</v>
      </c>
      <c r="M4" s="8" t="n">
        <f aca="false">(Monthly_I!M16+Monthly_I!M30+Monthly_I!M44+Monthly_I!M58)*(1-Inputs!$C$14)</f>
        <v>4654212261.31197</v>
      </c>
      <c r="N4" s="8" t="n">
        <f aca="false">(Monthly_I!N16+Monthly_I!N30+Monthly_I!N44+Monthly_I!N58)*(1-Inputs!$C$14)</f>
        <v>4586431226.76197</v>
      </c>
      <c r="O4" s="8" t="n">
        <f aca="false">(Monthly_I!O16+Monthly_I!O30+Monthly_I!O44+Monthly_I!O58)*(1-Inputs!$C$14)</f>
        <v>4519641025.13745</v>
      </c>
      <c r="P4" s="8" t="n">
        <f aca="false">(Monthly_I!P16+Monthly_I!P30+Monthly_I!P44+Monthly_I!P58)*(1-Inputs!$C$14)</f>
        <v>4453827125.86503</v>
      </c>
      <c r="Q4" s="8" t="n">
        <f aca="false">(Monthly_I!Q16+Monthly_I!Q30+Monthly_I!Q44+Monthly_I!Q58)*(1-Inputs!$C$14)</f>
        <v>4388975212.04297</v>
      </c>
      <c r="R4" s="8" t="n">
        <f aca="false">(Monthly_I!R16+Monthly_I!R30+Monthly_I!R44+Monthly_I!R58)*(1-Inputs!$C$14)</f>
        <v>4325071177.29183</v>
      </c>
      <c r="S4" s="8" t="n">
        <f aca="false">(Monthly_I!S16+Monthly_I!S30+Monthly_I!S44+Monthly_I!S58)*(1-Inputs!$C$14)</f>
        <v>4262101122.65168</v>
      </c>
      <c r="T4" s="8" t="n">
        <f aca="false">(Monthly_I!T16+Monthly_I!T30+Monthly_I!T44+Monthly_I!T58)*(1-Inputs!$C$14)</f>
        <v>4200051353.52515</v>
      </c>
      <c r="U4" s="8" t="n">
        <f aca="false">(Monthly_I!U16+Monthly_I!U30+Monthly_I!U44+Monthly_I!U58)*(1-Inputs!$C$14)</f>
        <v>4138908376.66559</v>
      </c>
      <c r="V4" s="8" t="n">
        <f aca="false">(Monthly_I!V16+Monthly_I!V30+Monthly_I!V44+Monthly_I!V58)*(1-Inputs!$C$14)</f>
        <v>4078658897.20972</v>
      </c>
      <c r="W4" s="8" t="n">
        <f aca="false">(Monthly_I!W16+Monthly_I!W30+Monthly_I!W44+Monthly_I!W58)*(1-Inputs!$C$14)</f>
        <v>4019289815.75411</v>
      </c>
      <c r="X4" s="8" t="n">
        <f aca="false">(Monthly_I!X16+Monthly_I!X30+Monthly_I!X44+Monthly_I!X58)*(1-Inputs!$C$14)</f>
        <v>3960788225.47477</v>
      </c>
      <c r="Y4" s="8" t="n">
        <f aca="false">(Monthly_I!Y16+Monthly_I!Y30+Monthly_I!Y44+Monthly_I!Y58)*(1-Inputs!$C$14)</f>
        <v>3903141409.28937</v>
      </c>
      <c r="Z4" s="8" t="n">
        <f aca="false">(Monthly_I!Z16+Monthly_I!Z30+Monthly_I!Z44+Monthly_I!Z58)*(1-Inputs!$C$14)</f>
        <v>3846336837.06126</v>
      </c>
      <c r="AA4" s="8" t="n">
        <f aca="false">(Monthly_I!AA16+Monthly_I!AA30+Monthly_I!AA44+Monthly_I!AA58)*(1-Inputs!$C$14)</f>
        <v>3790362162.84485</v>
      </c>
      <c r="AB4" s="8" t="n">
        <f aca="false">(Monthly_I!AB16+Monthly_I!AB30+Monthly_I!AB44+Monthly_I!AB58)*(1-Inputs!$C$14)</f>
        <v>3735205222.17161</v>
      </c>
      <c r="AC4" s="8" t="n">
        <f aca="false">(Monthly_I!AC16+Monthly_I!AC30+Monthly_I!AC44+Monthly_I!AC58)*(1-Inputs!$C$14)</f>
        <v>3680854029.37615</v>
      </c>
      <c r="AD4" s="8" t="n">
        <f aca="false">(Monthly_I!AD16+Monthly_I!AD30+Monthly_I!AD44+Monthly_I!AD58)*(1-Inputs!$C$14)</f>
        <v>3627296774.96183</v>
      </c>
      <c r="AE4" s="8" t="n">
        <f aca="false">(Monthly_I!AE16+Monthly_I!AE30+Monthly_I!AE44+Monthly_I!AE58)*(1-Inputs!$C$14)</f>
        <v>3574521823.00514</v>
      </c>
      <c r="AF4" s="8" t="n">
        <f aca="false">(Monthly_I!AF16+Monthly_I!AF30+Monthly_I!AF44+Monthly_I!AF58)*(1-Inputs!$C$14)</f>
        <v>3522517708.59856</v>
      </c>
      <c r="AG4" s="8" t="n">
        <f aca="false">(Monthly_I!AG16+Monthly_I!AG30+Monthly_I!AG44+Monthly_I!AG58)*(1-Inputs!$C$14)</f>
        <v>3471273135.33104</v>
      </c>
      <c r="AH4" s="8" t="n">
        <f aca="false">(Monthly_I!AH16+Monthly_I!AH30+Monthly_I!AH44+Monthly_I!AH58)*(1-Inputs!$C$14)</f>
        <v>3420776972.80573</v>
      </c>
      <c r="AI4" s="8" t="n">
        <f aca="false">(Monthly_I!AI16+Monthly_I!AI30+Monthly_I!AI44+Monthly_I!AI58)*(1-Inputs!$C$14)</f>
        <v>3371018254.19433</v>
      </c>
      <c r="AJ4" s="8" t="n">
        <f aca="false">(Monthly_I!AJ16+Monthly_I!AJ30+Monthly_I!AJ44+Monthly_I!AJ58)*(1-Inputs!$C$14)</f>
        <v>3321986173.8276</v>
      </c>
      <c r="AK4" s="8" t="n">
        <f aca="false">(Monthly_I!AK16+Monthly_I!AK30+Monthly_I!AK44+Monthly_I!AK58)*(1-Inputs!$C$14)</f>
        <v>3273670084.82135</v>
      </c>
      <c r="AL4" s="8" t="n">
        <f aca="false">(Monthly_I!AL16+Monthly_I!AL30+Monthly_I!AL44+Monthly_I!AL58)*(1-Inputs!$C$14)</f>
        <v>3226059496.73751</v>
      </c>
    </row>
    <row r="5" customFormat="false" ht="15" hidden="false" customHeight="false" outlineLevel="0" collapsed="false">
      <c r="A5" s="4" t="s">
        <v>524</v>
      </c>
      <c r="B5" s="4"/>
      <c r="C5" s="8" t="n">
        <f aca="false">(Monthly_I!C19+Monthly_I!C33+Monthly_I!C47+Monthly_I!C61)*(1-Inputs!$C$14)</f>
        <v>0</v>
      </c>
      <c r="D5" s="8" t="n">
        <f aca="false">(Monthly_I!D19+Monthly_I!D33+Monthly_I!D47+Monthly_I!D61)*(1-Inputs!$C$14)</f>
        <v>-871.2</v>
      </c>
      <c r="E5" s="8" t="n">
        <f aca="false">(Monthly_I!E19+Monthly_I!E33+Monthly_I!E47+Monthly_I!E61)*(1-Inputs!$C$14)</f>
        <v>-1695.93732</v>
      </c>
      <c r="F5" s="8" t="n">
        <f aca="false">(Monthly_I!F19+Monthly_I!F33+Monthly_I!F47+Monthly_I!F61)*(1-Inputs!$C$14)</f>
        <v>-9444.93345279</v>
      </c>
      <c r="G5" s="8" t="n">
        <f aca="false">(Monthly_I!G19+Monthly_I!G33+Monthly_I!G47+Monthly_I!G61)*(1-Inputs!$C$14)</f>
        <v>-17055.7287147529</v>
      </c>
      <c r="H5" s="8" t="n">
        <f aca="false">(Monthly_I!H19+Monthly_I!H33+Monthly_I!H47+Monthly_I!H61)*(1-Inputs!$C$14)</f>
        <v>-23840.6686361652</v>
      </c>
      <c r="I5" s="8" t="n">
        <f aca="false">(Monthly_I!I19+Monthly_I!I33+Monthly_I!I47+Monthly_I!I61)*(1-Inputs!$C$14)</f>
        <v>-30524.9271037461</v>
      </c>
      <c r="J5" s="8" t="n">
        <f aca="false">(Monthly_I!J19+Monthly_I!J33+Monthly_I!J47+Monthly_I!J61)*(1-Inputs!$C$14)</f>
        <v>-29982.0005727012</v>
      </c>
      <c r="K5" s="8" t="n">
        <f aca="false">(Monthly_I!K19+Monthly_I!K33+Monthly_I!K47+Monthly_I!K61)*(1-Inputs!$C$14)</f>
        <v>-36576.2832259394</v>
      </c>
      <c r="L5" s="8" t="n">
        <f aca="false">(Monthly_I!L19+Monthly_I!L33+Monthly_I!L47+Monthly_I!L61)*(1-Inputs!$C$14)</f>
        <v>-43072.7035059294</v>
      </c>
      <c r="M5" s="8" t="n">
        <f aca="false">(Monthly_I!M19+Monthly_I!M33+Monthly_I!M47+Monthly_I!M61)*(1-Inputs!$C$14)</f>
        <v>-42344.7160986076</v>
      </c>
      <c r="N5" s="8" t="n">
        <f aca="false">(Monthly_I!N19+Monthly_I!N33+Monthly_I!N47+Monthly_I!N61)*(1-Inputs!$C$14)</f>
        <v>-41628.6740375562</v>
      </c>
      <c r="O5" s="8" t="n">
        <f aca="false">(Monthly_I!O19+Monthly_I!O33+Monthly_I!O47+Monthly_I!O61)*(1-Inputs!$C$14)</f>
        <v>-40924.3852266453</v>
      </c>
      <c r="P5" s="8" t="n">
        <f aca="false">(Monthly_I!P19+Monthly_I!P33+Monthly_I!P47+Monthly_I!P61)*(1-Inputs!$C$14)</f>
        <v>-40231.6606148638</v>
      </c>
      <c r="Q5" s="8" t="n">
        <f aca="false">(Monthly_I!Q19+Monthly_I!Q33+Monthly_I!Q47+Monthly_I!Q61)*(1-Inputs!$C$14)</f>
        <v>-39550.3141485546</v>
      </c>
      <c r="R5" s="8" t="n">
        <f aca="false">(Monthly_I!R19+Monthly_I!R33+Monthly_I!R47+Monthly_I!R61)*(1-Inputs!$C$14)</f>
        <v>-38880.1627243934</v>
      </c>
      <c r="S5" s="8" t="n">
        <f aca="false">(Monthly_I!S19+Monthly_I!S33+Monthly_I!S47+Monthly_I!S61)*(1-Inputs!$C$14)</f>
        <v>-38221.026143099</v>
      </c>
      <c r="T5" s="8" t="n">
        <f aca="false">(Monthly_I!T19+Monthly_I!T33+Monthly_I!T47+Monthly_I!T61)*(1-Inputs!$C$14)</f>
        <v>-37572.7270638641</v>
      </c>
      <c r="U5" s="8" t="n">
        <f aca="false">(Monthly_I!U19+Monthly_I!U33+Monthly_I!U47+Monthly_I!U61)*(1-Inputs!$C$14)</f>
        <v>-36935.0909594957</v>
      </c>
      <c r="V5" s="8" t="n">
        <f aca="false">(Monthly_I!V19+Monthly_I!V33+Monthly_I!V47+Monthly_I!V61)*(1-Inputs!$C$14)</f>
        <v>-36307.9460722535</v>
      </c>
      <c r="W5" s="8" t="n">
        <f aca="false">(Monthly_I!W19+Monthly_I!W33+Monthly_I!W47+Monthly_I!W61)*(1-Inputs!$C$14)</f>
        <v>-35691.123370376</v>
      </c>
      <c r="X5" s="8" t="n">
        <f aca="false">(Monthly_I!X19+Monthly_I!X33+Monthly_I!X47+Monthly_I!X61)*(1-Inputs!$C$14)</f>
        <v>-35084.4565052837</v>
      </c>
      <c r="Y5" s="8" t="n">
        <f aca="false">(Monthly_I!Y19+Monthly_I!Y33+Monthly_I!Y47+Monthly_I!Y61)*(1-Inputs!$C$14)</f>
        <v>-34487.7817694484</v>
      </c>
      <c r="Z5" s="8" t="n">
        <f aca="false">(Monthly_I!Z19+Monthly_I!Z33+Monthly_I!Z47+Monthly_I!Z61)*(1-Inputs!$C$14)</f>
        <v>-33900.9380549189</v>
      </c>
      <c r="AA5" s="8" t="n">
        <f aca="false">(Monthly_I!AA19+Monthly_I!AA33+Monthly_I!AA47+Monthly_I!AA61)*(1-Inputs!$C$14)</f>
        <v>-33323.7668124924</v>
      </c>
      <c r="AB5" s="8" t="n">
        <f aca="false">(Monthly_I!AB19+Monthly_I!AB33+Monthly_I!AB47+Monthly_I!AB61)*(1-Inputs!$C$14)</f>
        <v>-32756.1120115223</v>
      </c>
      <c r="AC5" s="8" t="n">
        <f aca="false">(Monthly_I!AC19+Monthly_I!AC33+Monthly_I!AC47+Monthly_I!AC61)*(1-Inputs!$C$14)</f>
        <v>-32197.8201003515</v>
      </c>
      <c r="AD5" s="8" t="n">
        <f aca="false">(Monthly_I!AD19+Monthly_I!AD33+Monthly_I!AD47+Monthly_I!AD61)*(1-Inputs!$C$14)</f>
        <v>-31648.7399673628</v>
      </c>
      <c r="AE5" s="8" t="n">
        <f aca="false">(Monthly_I!AE19+Monthly_I!AE33+Monthly_I!AE47+Monthly_I!AE61)*(1-Inputs!$C$14)</f>
        <v>-31108.7229026356</v>
      </c>
      <c r="AF5" s="8" t="n">
        <f aca="false">(Monthly_I!AF19+Monthly_I!AF33+Monthly_I!AF47+Monthly_I!AF61)*(1-Inputs!$C$14)</f>
        <v>-30577.6225602007</v>
      </c>
      <c r="AG5" s="8" t="n">
        <f aca="false">(Monthly_I!AG19+Monthly_I!AG33+Monthly_I!AG47+Monthly_I!AG61)*(1-Inputs!$C$14)</f>
        <v>-30055.294920883</v>
      </c>
      <c r="AH5" s="8" t="n">
        <f aca="false">(Monthly_I!AH19+Monthly_I!AH33+Monthly_I!AH47+Monthly_I!AH61)*(1-Inputs!$C$14)</f>
        <v>-29541.5982557229</v>
      </c>
      <c r="AI5" s="8" t="n">
        <f aca="false">(Monthly_I!AI19+Monthly_I!AI33+Monthly_I!AI47+Monthly_I!AI61)*(1-Inputs!$C$14)</f>
        <v>-29036.3930899688</v>
      </c>
      <c r="AJ5" s="8" t="n">
        <f aca="false">(Monthly_I!AJ19+Monthly_I!AJ33+Monthly_I!AJ47+Monthly_I!AJ61)*(1-Inputs!$C$14)</f>
        <v>-28539.5421676305</v>
      </c>
      <c r="AK5" s="8" t="n">
        <f aca="false">(Monthly_I!AK19+Monthly_I!AK33+Monthly_I!AK47+Monthly_I!AK61)*(1-Inputs!$C$14)</f>
        <v>-28050.9104165849</v>
      </c>
      <c r="AL5" s="8" t="n">
        <f aca="false">(Monthly_I!AL19+Monthly_I!AL33+Monthly_I!AL47+Monthly_I!AL61)*(1-Inputs!$C$14)</f>
        <v>-27570.3649142262</v>
      </c>
    </row>
    <row r="6" customFormat="false" ht="15" hidden="false" customHeight="false" outlineLevel="0" collapsed="false">
      <c r="A6" s="4" t="s">
        <v>525</v>
      </c>
      <c r="B6" s="4"/>
      <c r="C6" s="15" t="n">
        <f aca="false">Loyalty_Monthly!C29</f>
        <v>0</v>
      </c>
      <c r="D6" s="15" t="n">
        <f aca="false">Loyalty_Monthly!D29</f>
        <v>0</v>
      </c>
      <c r="E6" s="15" t="n">
        <f aca="false">Loyalty_Monthly!E29</f>
        <v>0</v>
      </c>
      <c r="F6" s="15" t="n">
        <f aca="false">Loyalty_Monthly!F29</f>
        <v>0</v>
      </c>
      <c r="G6" s="15" t="n">
        <f aca="false">Loyalty_Monthly!G29</f>
        <v>19789820.8928571</v>
      </c>
      <c r="H6" s="15" t="n">
        <f aca="false">Loyalty_Monthly!H29</f>
        <v>22693220.8928571</v>
      </c>
      <c r="I6" s="15" t="n">
        <f aca="false">Loyalty_Monthly!I29</f>
        <v>25553069.8928571</v>
      </c>
      <c r="J6" s="15" t="n">
        <f aca="false">Loyalty_Monthly!J29</f>
        <v>28370021.1578571</v>
      </c>
      <c r="K6" s="15" t="n">
        <f aca="false">Loyalty_Monthly!K29</f>
        <v>31144718.1538821</v>
      </c>
      <c r="L6" s="15" t="n">
        <f aca="false">Loyalty_Monthly!L29</f>
        <v>33877794.6949668</v>
      </c>
      <c r="M6" s="15" t="n">
        <f aca="false">Loyalty_Monthly!M29</f>
        <v>49433258.6682923</v>
      </c>
      <c r="N6" s="15" t="n">
        <f aca="false">Loyalty_Monthly!N29</f>
        <v>86625372.3285804</v>
      </c>
      <c r="O6" s="15" t="n">
        <f aca="false">Loyalty_Monthly!O29</f>
        <v>128540012.351062</v>
      </c>
      <c r="P6" s="15" t="n">
        <f aca="false">Loyalty_Monthly!P29</f>
        <v>175106340.840305</v>
      </c>
      <c r="Q6" s="15" t="n">
        <f aca="false">Loyalty_Monthly!Q29</f>
        <v>226254582.469308</v>
      </c>
      <c r="R6" s="15" t="n">
        <f aca="false">Loyalty_Monthly!R29</f>
        <v>281916008.540974</v>
      </c>
      <c r="S6" s="15" t="n">
        <f aca="false">Loyalty_Monthly!S29</f>
        <v>309369716.815448</v>
      </c>
      <c r="T6" s="15" t="n">
        <f aca="false">Loyalty_Monthly!T29</f>
        <v>336411619.465806</v>
      </c>
      <c r="U6" s="15" t="n">
        <f aca="false">Loyalty_Monthly!U29</f>
        <v>363047893.576408</v>
      </c>
      <c r="V6" s="15" t="n">
        <f aca="false">Loyalty_Monthly!V29</f>
        <v>389284623.575351</v>
      </c>
      <c r="W6" s="15" t="n">
        <f aca="false">Loyalty_Monthly!W29</f>
        <v>415127802.62431</v>
      </c>
      <c r="X6" s="15" t="n">
        <f aca="false">Loyalty_Monthly!X29</f>
        <v>440583333.987535</v>
      </c>
      <c r="Y6" s="15" t="n">
        <f aca="false">Loyalty_Monthly!Y29</f>
        <v>465657032.380311</v>
      </c>
      <c r="Z6" s="15" t="n">
        <f aca="false">Loyalty_Monthly!Z29</f>
        <v>490354625.297196</v>
      </c>
      <c r="AA6" s="15" t="n">
        <f aca="false">Loyalty_Monthly!AA29</f>
        <v>514681754.320327</v>
      </c>
      <c r="AB6" s="15" t="n">
        <f aca="false">Loyalty_Monthly!AB29</f>
        <v>538643976.408112</v>
      </c>
      <c r="AC6" s="15" t="n">
        <f aca="false">Loyalty_Monthly!AC29</f>
        <v>562246765.164579</v>
      </c>
      <c r="AD6" s="15" t="n">
        <f aca="false">Loyalty_Monthly!AD29</f>
        <v>585495512.0897</v>
      </c>
      <c r="AE6" s="15" t="n">
        <f aca="false">Loyalty_Monthly!AE29</f>
        <v>608395527.810944</v>
      </c>
      <c r="AF6" s="15" t="n">
        <f aca="false">Loyalty_Monthly!AF29</f>
        <v>630952043.296369</v>
      </c>
      <c r="AG6" s="15" t="n">
        <f aca="false">Loyalty_Monthly!AG29</f>
        <v>653170211.049512</v>
      </c>
      <c r="AH6" s="15" t="n">
        <f aca="false">Loyalty_Monthly!AH29</f>
        <v>675055106.286359</v>
      </c>
      <c r="AI6" s="15" t="n">
        <f aca="false">Loyalty_Monthly!AI29</f>
        <v>696611728.094653</v>
      </c>
      <c r="AJ6" s="15" t="n">
        <f aca="false">Loyalty_Monthly!AJ29</f>
        <v>717845000.575822</v>
      </c>
      <c r="AK6" s="15" t="n">
        <f aca="false">Loyalty_Monthly!AK29</f>
        <v>738759773.969774</v>
      </c>
      <c r="AL6" s="15" t="n">
        <f aca="false">Loyalty_Monthly!AL29</f>
        <v>759360825.762817</v>
      </c>
    </row>
    <row r="7" customFormat="false" ht="15" hidden="false" customHeight="false" outlineLevel="0" collapsed="false">
      <c r="A7" s="4" t="s">
        <v>526</v>
      </c>
      <c r="B7" s="4"/>
      <c r="C7" s="15" t="n">
        <f aca="false">Loyalty_Monthly!C30</f>
        <v>0</v>
      </c>
      <c r="D7" s="15" t="n">
        <f aca="false">Loyalty_Monthly!D30</f>
        <v>0</v>
      </c>
      <c r="E7" s="15" t="n">
        <f aca="false">Loyalty_Monthly!E30</f>
        <v>0</v>
      </c>
      <c r="F7" s="15" t="n">
        <f aca="false">Loyalty_Monthly!F30</f>
        <v>0</v>
      </c>
      <c r="G7" s="15" t="n">
        <f aca="false">Loyalty_Monthly!G30</f>
        <v>0</v>
      </c>
      <c r="H7" s="15" t="n">
        <f aca="false">Loyalty_Monthly!H30</f>
        <v>67.5</v>
      </c>
      <c r="I7" s="15" t="n">
        <f aca="false">Loyalty_Monthly!I30</f>
        <v>133.9875</v>
      </c>
      <c r="J7" s="15" t="n">
        <f aca="false">Loyalty_Monthly!J30</f>
        <v>199.4776875</v>
      </c>
      <c r="K7" s="15" t="n">
        <f aca="false">Loyalty_Monthly!K30</f>
        <v>263.9855221875</v>
      </c>
      <c r="L7" s="15" t="n">
        <f aca="false">Loyalty_Monthly!L30</f>
        <v>327.525739354688</v>
      </c>
      <c r="M7" s="15" t="n">
        <f aca="false">Loyalty_Monthly!M30</f>
        <v>390.112853264367</v>
      </c>
      <c r="N7" s="15" t="n">
        <f aca="false">Loyalty_Monthly!N30</f>
        <v>495.636160465402</v>
      </c>
      <c r="O7" s="15" t="n">
        <f aca="false">Loyalty_Monthly!O30</f>
        <v>710.951618058421</v>
      </c>
      <c r="P7" s="15" t="n">
        <f aca="false">Loyalty_Monthly!P30</f>
        <v>1034.41234378754</v>
      </c>
      <c r="Q7" s="15" t="n">
        <f aca="false">Loyalty_Monthly!Q30</f>
        <v>1464.39615863073</v>
      </c>
      <c r="R7" s="15" t="n">
        <f aca="false">Loyalty_Monthly!R30</f>
        <v>1999.30521625127</v>
      </c>
      <c r="S7" s="15" t="n">
        <f aca="false">Loyalty_Monthly!S30</f>
        <v>2637.5656380075</v>
      </c>
      <c r="T7" s="15" t="n">
        <f aca="false">Loyalty_Monthly!T30</f>
        <v>3266.25215343739</v>
      </c>
      <c r="U7" s="15" t="n">
        <f aca="false">Loyalty_Monthly!U30</f>
        <v>3885.50837113583</v>
      </c>
      <c r="V7" s="15" t="n">
        <f aca="false">Loyalty_Monthly!V30</f>
        <v>4495.47574556879</v>
      </c>
      <c r="W7" s="15" t="n">
        <f aca="false">Loyalty_Monthly!W30</f>
        <v>5096.29360938526</v>
      </c>
      <c r="X7" s="15" t="n">
        <f aca="false">Loyalty_Monthly!X30</f>
        <v>5688.09920524448</v>
      </c>
      <c r="Y7" s="15" t="n">
        <f aca="false">Loyalty_Monthly!Y30</f>
        <v>6271.02771716581</v>
      </c>
      <c r="Z7" s="15" t="n">
        <f aca="false">Loyalty_Monthly!Z30</f>
        <v>6845.21230140833</v>
      </c>
      <c r="AA7" s="15" t="n">
        <f aca="false">Loyalty_Monthly!AA30</f>
        <v>7410.7841168872</v>
      </c>
      <c r="AB7" s="15" t="n">
        <f aca="false">Loyalty_Monthly!AB30</f>
        <v>7967.87235513389</v>
      </c>
      <c r="AC7" s="15" t="n">
        <f aca="false">Loyalty_Monthly!AC30</f>
        <v>8516.60426980688</v>
      </c>
      <c r="AD7" s="15" t="n">
        <f aca="false">Loyalty_Monthly!AD30</f>
        <v>9057.10520575978</v>
      </c>
      <c r="AE7" s="15" t="n">
        <f aca="false">Loyalty_Monthly!AE30</f>
        <v>9589.49862767338</v>
      </c>
      <c r="AF7" s="15" t="n">
        <f aca="false">Loyalty_Monthly!AF30</f>
        <v>10113.9061482583</v>
      </c>
      <c r="AG7" s="15" t="n">
        <f aca="false">Loyalty_Monthly!AG30</f>
        <v>10630.4475560344</v>
      </c>
      <c r="AH7" s="15" t="n">
        <f aca="false">Loyalty_Monthly!AH30</f>
        <v>11139.2408426939</v>
      </c>
      <c r="AI7" s="15" t="n">
        <f aca="false">Loyalty_Monthly!AI30</f>
        <v>11640.4022300535</v>
      </c>
      <c r="AJ7" s="15" t="n">
        <f aca="false">Loyalty_Monthly!AJ30</f>
        <v>12134.0461966027</v>
      </c>
      <c r="AK7" s="15" t="n">
        <f aca="false">Loyalty_Monthly!AK30</f>
        <v>12620.2855036536</v>
      </c>
      <c r="AL7" s="15" t="n">
        <f aca="false">Loyalty_Monthly!AL30</f>
        <v>13099.2312210988</v>
      </c>
    </row>
    <row r="8" customFormat="false" ht="15" hidden="false" customHeight="false" outlineLevel="0" collapsed="false">
      <c r="A8" s="4" t="s">
        <v>527</v>
      </c>
      <c r="B8" s="4"/>
      <c r="C8" s="8" t="n">
        <f aca="false">(Monthly_I!C$5+C4+C6)/(Monthly_I!C$4+C5+C7)</f>
        <v>18500</v>
      </c>
      <c r="D8" s="8" t="n">
        <f aca="false">(Monthly_I!D$5+D4+D6)/(Monthly_I!D$4+D5+D7)</f>
        <v>18622.613263857</v>
      </c>
      <c r="E8" s="8" t="n">
        <f aca="false">(Monthly_I!E$5+E4+E6)/(Monthly_I!E$4+E5+E7)</f>
        <v>18669.384579368</v>
      </c>
      <c r="F8" s="8" t="n">
        <f aca="false">(Monthly_I!F$5+F4+F6)/(Monthly_I!F$4+F5+F7)</f>
        <v>19393.0899178315</v>
      </c>
      <c r="G8" s="8" t="n">
        <f aca="false">(Monthly_I!G$5+G4+G6)/(Monthly_I!G$4+G5+G7)</f>
        <v>19395.4616300066</v>
      </c>
      <c r="H8" s="8" t="n">
        <f aca="false">(Monthly_I!H$5+H4+H6)/(Monthly_I!H$4+H5+H7)</f>
        <v>19854.5050422564</v>
      </c>
      <c r="I8" s="8" t="n">
        <f aca="false">(Monthly_I!I$5+I4+I6)/(Monthly_I!I$4+I5+I7)</f>
        <v>19864.0042063154</v>
      </c>
      <c r="J8" s="8" t="n">
        <f aca="false">(Monthly_I!J$5+J4+J6)/(Monthly_I!J$4+J5+J7)</f>
        <v>19864.7516240901</v>
      </c>
      <c r="K8" s="8" t="n">
        <f aca="false">(Monthly_I!K$5+K4+K6)/(Monthly_I!K$4+K5+K7)</f>
        <v>20348.3099005033</v>
      </c>
      <c r="L8" s="8" t="n">
        <f aca="false">(Monthly_I!L$5+L4+L6)/(Monthly_I!L$4+L5+L7)</f>
        <v>20359.4440563152</v>
      </c>
      <c r="M8" s="8" t="n">
        <f aca="false">(Monthly_I!M$5+M4+M6)/(Monthly_I!M$4+M5+M7)</f>
        <v>20364.5753462255</v>
      </c>
      <c r="N8" s="8" t="n">
        <f aca="false">(Monthly_I!N$5+N4+N6)/(Monthly_I!N$4+N5+N7)</f>
        <v>20377.0280592341</v>
      </c>
      <c r="O8" s="8" t="n">
        <f aca="false">(Monthly_I!O$5+O4+O6)/(Monthly_I!O$4+O5+O7)</f>
        <v>20390.7221484521</v>
      </c>
      <c r="P8" s="8" t="n">
        <f aca="false">(Monthly_I!P$5+P4+P6)/(Monthly_I!P$4+P5+P7)</f>
        <v>20405.6905603657</v>
      </c>
      <c r="Q8" s="8" t="n">
        <f aca="false">(Monthly_I!Q$5+Q4+Q6)/(Monthly_I!Q$4+Q5+Q7)</f>
        <v>20421.9666198756</v>
      </c>
      <c r="R8" s="8" t="n">
        <f aca="false">(Monthly_I!R$5+R4+R6)/(Monthly_I!R$4+R5+R7)</f>
        <v>20439.5840138566</v>
      </c>
      <c r="S8" s="8" t="n">
        <f aca="false">(Monthly_I!S$5+S4+S6)/(Monthly_I!S$4+S5+S7)</f>
        <v>20446.4238415646</v>
      </c>
      <c r="T8" s="8" t="n">
        <f aca="false">(Monthly_I!T$5+T4+T6)/(Monthly_I!T$4+T5+T7)</f>
        <v>20453.3621315675</v>
      </c>
      <c r="U8" s="8" t="n">
        <f aca="false">(Monthly_I!U$5+U4+U6)/(Monthly_I!U$4+U5+U7)</f>
        <v>20460.4002746136</v>
      </c>
      <c r="V8" s="8" t="n">
        <f aca="false">(Monthly_I!V$5+V4+V6)/(Monthly_I!V$4+V5+V7)</f>
        <v>20467.5396795642</v>
      </c>
      <c r="W8" s="8" t="n">
        <f aca="false">(Monthly_I!W$5+W4+W6)/(Monthly_I!W$4+W5+W7)</f>
        <v>20474.7817735826</v>
      </c>
      <c r="X8" s="8" t="n">
        <f aca="false">(Monthly_I!X$5+X4+X6)/(Monthly_I!X$4+X5+X7)</f>
        <v>20482.1280023227</v>
      </c>
      <c r="Y8" s="8" t="n">
        <f aca="false">(Monthly_I!Y$5+Y4+Y6)/(Monthly_I!Y$4+Y5+Y7)</f>
        <v>20489.579830119</v>
      </c>
      <c r="Z8" s="8" t="n">
        <f aca="false">(Monthly_I!Z$5+Z4+Z6)/(Monthly_I!Z$4+Z5+Z7)</f>
        <v>20497.1387401762</v>
      </c>
      <c r="AA8" s="8" t="n">
        <f aca="false">(Monthly_I!AA$5+AA4+AA6)/(Monthly_I!AA$4+AA5+AA7)</f>
        <v>20504.8062347595</v>
      </c>
      <c r="AB8" s="8" t="n">
        <f aca="false">(Monthly_I!AB$5+AB4+AB6)/(Monthly_I!AB$4+AB5+AB7)</f>
        <v>20512.5838353852</v>
      </c>
      <c r="AC8" s="8" t="n">
        <f aca="false">(Monthly_I!AC$5+AC4+AC6)/(Monthly_I!AC$4+AC5+AC7)</f>
        <v>20520.4730830107</v>
      </c>
      <c r="AD8" s="8" t="n">
        <f aca="false">(Monthly_I!AD$5+AD4+AD6)/(Monthly_I!AD$4+AD5+AD7)</f>
        <v>20528.4755382257</v>
      </c>
      <c r="AE8" s="8" t="n">
        <f aca="false">(Monthly_I!AE$5+AE4+AE6)/(Monthly_I!AE$4+AE5+AE7)</f>
        <v>20536.5927814428</v>
      </c>
      <c r="AF8" s="8" t="n">
        <f aca="false">(Monthly_I!AF$5+AF4+AF6)/(Monthly_I!AF$4+AF5+AF7)</f>
        <v>20544.8264130879</v>
      </c>
      <c r="AG8" s="8" t="n">
        <f aca="false">(Monthly_I!AG$5+AG4+AG6)/(Monthly_I!AG$4+AG5+AG7)</f>
        <v>20553.1780537908</v>
      </c>
      <c r="AH8" s="8" t="n">
        <f aca="false">(Monthly_I!AH$5+AH4+AH6)/(Monthly_I!AH$4+AH5+AH7)</f>
        <v>20561.6493445756</v>
      </c>
      <c r="AI8" s="8" t="n">
        <f aca="false">(Monthly_I!AI$5+AI4+AI6)/(Monthly_I!AI$4+AI5+AI7)</f>
        <v>20570.2419470506</v>
      </c>
      <c r="AJ8" s="8" t="n">
        <f aca="false">(Monthly_I!AJ$5+AJ4+AJ6)/(Monthly_I!AJ$4+AJ5+AJ7)</f>
        <v>20578.957543598</v>
      </c>
      <c r="AK8" s="8" t="n">
        <f aca="false">(Monthly_I!AK$5+AK4+AK6)/(Monthly_I!AK$4+AK5+AK7)</f>
        <v>20587.797837563</v>
      </c>
      <c r="AL8" s="8" t="n">
        <f aca="false">(Monthly_I!AL$5+AL4+AL6)/(Monthly_I!AL$4+AL5+AL7)</f>
        <v>20596.7645534425</v>
      </c>
    </row>
    <row r="9" customFormat="false" ht="15" hidden="false" customHeight="false" outlineLevel="0" collapsed="false">
      <c r="A9" s="4" t="s">
        <v>528</v>
      </c>
      <c r="B9" s="4"/>
      <c r="C9" s="18" t="n">
        <f aca="false">C8/Inputs!$C$8-1</f>
        <v>0</v>
      </c>
      <c r="D9" s="18" t="n">
        <f aca="false">D8/Inputs!$C$8-1</f>
        <v>0.00662774399227062</v>
      </c>
      <c r="E9" s="18" t="n">
        <f aca="false">E8/Inputs!$C$8-1</f>
        <v>0.00915592320908187</v>
      </c>
      <c r="F9" s="18" t="n">
        <f aca="false">F8/Inputs!$C$8-1</f>
        <v>0.0482751306935956</v>
      </c>
      <c r="G9" s="18" t="n">
        <f aca="false">G8/Inputs!$C$8-1</f>
        <v>0.0484033313517085</v>
      </c>
      <c r="H9" s="18" t="n">
        <f aca="false">H8/Inputs!$C$8-1</f>
        <v>0.0732164887706135</v>
      </c>
      <c r="I9" s="18" t="n">
        <f aca="false">I8/Inputs!$C$8-1</f>
        <v>0.0737299570981322</v>
      </c>
      <c r="J9" s="18" t="n">
        <f aca="false">J8/Inputs!$C$8-1</f>
        <v>0.0737703580589246</v>
      </c>
      <c r="K9" s="18" t="n">
        <f aca="false">K8/Inputs!$C$8-1</f>
        <v>0.0999086432704477</v>
      </c>
      <c r="L9" s="18" t="n">
        <f aca="false">L8/Inputs!$C$8-1</f>
        <v>0.100510489530549</v>
      </c>
      <c r="M9" s="18" t="n">
        <f aca="false">M8/Inputs!$C$8-1</f>
        <v>0.10078785655273</v>
      </c>
      <c r="N9" s="18" t="n">
        <f aca="false">N8/Inputs!$C$8-1</f>
        <v>0.101460976174816</v>
      </c>
      <c r="O9" s="18" t="n">
        <f aca="false">O8/Inputs!$C$8-1</f>
        <v>0.102201197213625</v>
      </c>
      <c r="P9" s="18" t="n">
        <f aca="false">P8/Inputs!$C$8-1</f>
        <v>0.103010300560308</v>
      </c>
      <c r="Q9" s="18" t="n">
        <f aca="false">Q8/Inputs!$C$8-1</f>
        <v>0.103890087560842</v>
      </c>
      <c r="R9" s="18" t="n">
        <f aca="false">R8/Inputs!$C$8-1</f>
        <v>0.104842379127383</v>
      </c>
      <c r="S9" s="18" t="n">
        <f aca="false">S8/Inputs!$C$8-1</f>
        <v>0.10521209954403</v>
      </c>
      <c r="T9" s="18" t="n">
        <f aca="false">T8/Inputs!$C$8-1</f>
        <v>0.105587142246889</v>
      </c>
      <c r="U9" s="18" t="n">
        <f aca="false">U8/Inputs!$C$8-1</f>
        <v>0.105967582411544</v>
      </c>
      <c r="V9" s="18" t="n">
        <f aca="false">V8/Inputs!$C$8-1</f>
        <v>0.106353496192661</v>
      </c>
      <c r="W9" s="18" t="n">
        <f aca="false">W8/Inputs!$C$8-1</f>
        <v>0.106744960734195</v>
      </c>
      <c r="X9" s="18" t="n">
        <f aca="false">X8/Inputs!$C$8-1</f>
        <v>0.107142054179606</v>
      </c>
      <c r="Y9" s="18" t="n">
        <f aca="false">Y8/Inputs!$C$8-1</f>
        <v>0.107544855682107</v>
      </c>
      <c r="Z9" s="18" t="n">
        <f aca="false">Z8/Inputs!$C$8-1</f>
        <v>0.107953445414928</v>
      </c>
      <c r="AA9" s="18" t="n">
        <f aca="false">AA8/Inputs!$C$8-1</f>
        <v>0.108367904581596</v>
      </c>
      <c r="AB9" s="18" t="n">
        <f aca="false">AB8/Inputs!$C$8-1</f>
        <v>0.108788315426225</v>
      </c>
      <c r="AC9" s="18" t="n">
        <f aca="false">AC8/Inputs!$C$8-1</f>
        <v>0.109214761243819</v>
      </c>
      <c r="AD9" s="18" t="n">
        <f aca="false">AD8/Inputs!$C$8-1</f>
        <v>0.109647326390579</v>
      </c>
      <c r="AE9" s="18" t="n">
        <f aca="false">AE8/Inputs!$C$8-1</f>
        <v>0.110086096294208</v>
      </c>
      <c r="AF9" s="18" t="n">
        <f aca="false">AF8/Inputs!$C$8-1</f>
        <v>0.110531157464212</v>
      </c>
      <c r="AG9" s="18" t="n">
        <f aca="false">AG8/Inputs!$C$8-1</f>
        <v>0.110982597502208</v>
      </c>
      <c r="AH9" s="18" t="n">
        <f aca="false">AH8/Inputs!$C$8-1</f>
        <v>0.111440505112197</v>
      </c>
      <c r="AI9" s="18" t="n">
        <f aca="false">AI8/Inputs!$C$8-1</f>
        <v>0.111904970110845</v>
      </c>
      <c r="AJ9" s="18" t="n">
        <f aca="false">AJ8/Inputs!$C$8-1</f>
        <v>0.112376083437731</v>
      </c>
      <c r="AK9" s="18" t="n">
        <f aca="false">AK8/Inputs!$C$8-1</f>
        <v>0.112853937165567</v>
      </c>
      <c r="AL9" s="18" t="n">
        <f aca="false">AL8/Inputs!$C$8-1</f>
        <v>0.113338624510403</v>
      </c>
    </row>
    <row r="10" customFormat="false" ht="15" hidden="false" customHeight="false" outlineLevel="0" collapsed="false">
      <c r="A10" s="4" t="s">
        <v>529</v>
      </c>
      <c r="B10" s="4"/>
      <c r="C10" s="18" t="n">
        <f aca="false">(Monthly_I!C$5+C4)/(Monthly_I!C$4+C5)/Inputs!$C$8-1</f>
        <v>0</v>
      </c>
      <c r="D10" s="18" t="n">
        <f aca="false">(Monthly_I!D$5+D4)/(Monthly_I!D$4+D5)/Inputs!$C$8-1</f>
        <v>0.00662774399227062</v>
      </c>
      <c r="E10" s="18" t="n">
        <f aca="false">(Monthly_I!E$5+E4)/(Monthly_I!E$4+E5)/Inputs!$C$8-1</f>
        <v>0.00915592320908187</v>
      </c>
      <c r="F10" s="18" t="n">
        <f aca="false">(Monthly_I!F$5+F4)/(Monthly_I!F$4+F5)/Inputs!$C$8-1</f>
        <v>0.0482751306935956</v>
      </c>
      <c r="G10" s="18" t="n">
        <f aca="false">(Monthly_I!G$5+G4)/(Monthly_I!G$4+G5)/Inputs!$C$8-1</f>
        <v>0.0480738568779495</v>
      </c>
      <c r="H10" s="18" t="n">
        <f aca="false">(Monthly_I!H$5+H4)/(Monthly_I!H$4+H5)/Inputs!$C$8-1</f>
        <v>0.0728547786833382</v>
      </c>
      <c r="I10" s="18" t="n">
        <f aca="false">(Monthly_I!I$5+I4)/(Monthly_I!I$4+I5)/Inputs!$C$8-1</f>
        <v>0.0733353964549308</v>
      </c>
      <c r="J10" s="18" t="n">
        <f aca="false">(Monthly_I!J$5+J4)/(Monthly_I!J$4+J5)/Inputs!$C$8-1</f>
        <v>0.0733432744748175</v>
      </c>
      <c r="K10" s="18" t="n">
        <f aca="false">(Monthly_I!K$5+K4)/(Monthly_I!K$4+K5)/Inputs!$C$8-1</f>
        <v>0.0994497340156499</v>
      </c>
      <c r="L10" s="18" t="n">
        <f aca="false">(Monthly_I!L$5+L4)/(Monthly_I!L$4+L5)/Inputs!$C$8-1</f>
        <v>0.100017462828669</v>
      </c>
      <c r="M10" s="18" t="n">
        <f aca="false">(Monthly_I!M$5+M4)/(Monthly_I!M$4+M5)/Inputs!$C$8-1</f>
        <v>0.100024668915345</v>
      </c>
      <c r="N10" s="18" t="n">
        <f aca="false">(Monthly_I!N$5+N4)/(Monthly_I!N$4+N5)/Inputs!$C$8-1</f>
        <v>0.100031884445121</v>
      </c>
      <c r="O10" s="18" t="n">
        <f aca="false">(Monthly_I!O$5+O4)/(Monthly_I!O$4+O5)/Inputs!$C$8-1</f>
        <v>0.100039109436459</v>
      </c>
      <c r="P10" s="18" t="n">
        <f aca="false">(Monthly_I!P$5+P4)/(Monthly_I!P$4+P5)/Inputs!$C$8-1</f>
        <v>0.10004634390786</v>
      </c>
      <c r="Q10" s="18" t="n">
        <f aca="false">(Monthly_I!Q$5+Q4)/(Monthly_I!Q$4+Q5)/Inputs!$C$8-1</f>
        <v>0.100053587877873</v>
      </c>
      <c r="R10" s="18" t="n">
        <f aca="false">(Monthly_I!R$5+R4)/(Monthly_I!R$4+R5)/Inputs!$C$8-1</f>
        <v>0.10006084136509</v>
      </c>
      <c r="S10" s="18" t="n">
        <f aca="false">(Monthly_I!S$5+S4)/(Monthly_I!S$4+S5)/Inputs!$C$8-1</f>
        <v>0.100068104388149</v>
      </c>
      <c r="T10" s="18" t="n">
        <f aca="false">(Monthly_I!T$5+T4)/(Monthly_I!T$4+T5)/Inputs!$C$8-1</f>
        <v>0.100075376965732</v>
      </c>
      <c r="U10" s="18" t="n">
        <f aca="false">(Monthly_I!U$5+U4)/(Monthly_I!U$4+U5)/Inputs!$C$8-1</f>
        <v>0.100082659116564</v>
      </c>
      <c r="V10" s="18" t="n">
        <f aca="false">(Monthly_I!V$5+V4)/(Monthly_I!V$4+V5)/Inputs!$C$8-1</f>
        <v>0.100089950859419</v>
      </c>
      <c r="W10" s="18" t="n">
        <f aca="false">(Monthly_I!W$5+W4)/(Monthly_I!W$4+W5)/Inputs!$C$8-1</f>
        <v>0.100097252213113</v>
      </c>
      <c r="X10" s="18" t="n">
        <f aca="false">(Monthly_I!X$5+X4)/(Monthly_I!X$4+X5)/Inputs!$C$8-1</f>
        <v>0.100104563196507</v>
      </c>
      <c r="Y10" s="18" t="n">
        <f aca="false">(Monthly_I!Y$5+Y4)/(Monthly_I!Y$4+Y5)/Inputs!$C$8-1</f>
        <v>0.100111883828509</v>
      </c>
      <c r="Z10" s="18" t="n">
        <f aca="false">(Monthly_I!Z$5+Z4)/(Monthly_I!Z$4+Z5)/Inputs!$C$8-1</f>
        <v>0.100119214128072</v>
      </c>
      <c r="AA10" s="18" t="n">
        <f aca="false">(Monthly_I!AA$5+AA4)/(Monthly_I!AA$4+AA5)/Inputs!$C$8-1</f>
        <v>0.100126554114194</v>
      </c>
      <c r="AB10" s="18" t="n">
        <f aca="false">(Monthly_I!AB$5+AB4)/(Monthly_I!AB$4+AB5)/Inputs!$C$8-1</f>
        <v>0.100133903805919</v>
      </c>
      <c r="AC10" s="18" t="n">
        <f aca="false">(Monthly_I!AC$5+AC4)/(Monthly_I!AC$4+AC5)/Inputs!$C$8-1</f>
        <v>0.100141263222336</v>
      </c>
      <c r="AD10" s="18" t="n">
        <f aca="false">(Monthly_I!AD$5+AD4)/(Monthly_I!AD$4+AD5)/Inputs!$C$8-1</f>
        <v>0.10014863238258</v>
      </c>
      <c r="AE10" s="18" t="n">
        <f aca="false">(Monthly_I!AE$5+AE4)/(Monthly_I!AE$4+AE5)/Inputs!$C$8-1</f>
        <v>0.100156011305834</v>
      </c>
      <c r="AF10" s="18" t="n">
        <f aca="false">(Monthly_I!AF$5+AF4)/(Monthly_I!AF$4+AF5)/Inputs!$C$8-1</f>
        <v>0.100163400011323</v>
      </c>
      <c r="AG10" s="18" t="n">
        <f aca="false">(Monthly_I!AG$5+AG4)/(Monthly_I!AG$4+AG5)/Inputs!$C$8-1</f>
        <v>0.100170798518322</v>
      </c>
      <c r="AH10" s="18" t="n">
        <f aca="false">(Monthly_I!AH$5+AH4)/(Monthly_I!AH$4+AH5)/Inputs!$C$8-1</f>
        <v>0.100178206846151</v>
      </c>
      <c r="AI10" s="18" t="n">
        <f aca="false">(Monthly_I!AI$5+AI4)/(Monthly_I!AI$4+AI5)/Inputs!$C$8-1</f>
        <v>0.100185625014176</v>
      </c>
      <c r="AJ10" s="18" t="n">
        <f aca="false">(Monthly_I!AJ$5+AJ4)/(Monthly_I!AJ$4+AJ5)/Inputs!$C$8-1</f>
        <v>0.100193053041808</v>
      </c>
      <c r="AK10" s="18" t="n">
        <f aca="false">(Monthly_I!AK$5+AK4)/(Monthly_I!AK$4+AK5)/Inputs!$C$8-1</f>
        <v>0.100200490948508</v>
      </c>
      <c r="AL10" s="18" t="n">
        <f aca="false">(Monthly_I!AL$5+AL4)/(Monthly_I!AL$4+AL5)/Inputs!$C$8-1</f>
        <v>0.100207938753781</v>
      </c>
    </row>
    <row r="11" customFormat="false" ht="15" hidden="false" customHeight="false" outlineLevel="0" collapsed="false">
      <c r="A11" s="4" t="s">
        <v>530</v>
      </c>
      <c r="B11" s="4"/>
      <c r="C11" s="8" t="n">
        <f aca="false">(Monthly_I!C18+Monthly_I!C17)*(1-Inputs!$C$14)-Monthly_I!C17+(Monthly_I!C32+Monthly_I!C31)*(1-Inputs!$C$14)-Monthly_I!C31+(Monthly_I!C46+Monthly_I!C45)*(1-Inputs!$C$14)-Monthly_I!C45+(Monthly_I!C60+Monthly_I!C59)*(1-Inputs!$C$14)-Monthly_I!C59</f>
        <v>-1800000000</v>
      </c>
      <c r="D11" s="8" t="n">
        <f aca="false">(Monthly_I!D18+Monthly_I!D17)*(1-Inputs!$C$14)-Monthly_I!D17+(Monthly_I!D32+Monthly_I!D31)*(1-Inputs!$C$14)-Monthly_I!D31+(Monthly_I!D46+Monthly_I!D45)*(1-Inputs!$C$14)-Monthly_I!D45+(Monthly_I!D60+Monthly_I!D59)*(1-Inputs!$C$14)-Monthly_I!D59</f>
        <v>-817743082.857143</v>
      </c>
      <c r="E11" s="8" t="n">
        <f aca="false">(Monthly_I!E18+Monthly_I!E17)*(1-Inputs!$C$14)-Monthly_I!E17+(Monthly_I!E32+Monthly_I!E31)*(1-Inputs!$C$14)-Monthly_I!E31+(Monthly_I!E46+Monthly_I!E45)*(1-Inputs!$C$14)-Monthly_I!E45+(Monthly_I!E60+Monthly_I!E59)*(1-Inputs!$C$14)-Monthly_I!E59</f>
        <v>-669456745.705286</v>
      </c>
      <c r="F11" s="8" t="n">
        <f aca="false">(Monthly_I!F18+Monthly_I!F17)*(1-Inputs!$C$14)-Monthly_I!F17+(Monthly_I!F32+Monthly_I!F31)*(1-Inputs!$C$14)-Monthly_I!F31+(Monthly_I!F46+Monthly_I!F45)*(1-Inputs!$C$14)-Monthly_I!F45+(Monthly_I!F60+Monthly_I!F59)*(1-Inputs!$C$14)-Monthly_I!F59</f>
        <v>1229227240.82367</v>
      </c>
      <c r="G11" s="8" t="n">
        <f aca="false">(Monthly_I!G18+Monthly_I!G17)*(1-Inputs!$C$14)-Monthly_I!G17+(Monthly_I!G32+Monthly_I!G31)*(1-Inputs!$C$14)-Monthly_I!G31+(Monthly_I!G46+Monthly_I!G45)*(1-Inputs!$C$14)-Monthly_I!G45+(Monthly_I!G60+Monthly_I!G59)*(1-Inputs!$C$14)-Monthly_I!G59</f>
        <v>1150616445.48981</v>
      </c>
      <c r="H11" s="8" t="n">
        <f aca="false">(Monthly_I!H18+Monthly_I!H17)*(1-Inputs!$C$14)-Monthly_I!H17+(Monthly_I!H32+Monthly_I!H31)*(1-Inputs!$C$14)-Monthly_I!H31+(Monthly_I!H46+Monthly_I!H45)*(1-Inputs!$C$14)-Monthly_I!H45+(Monthly_I!H60+Monthly_I!H59)*(1-Inputs!$C$14)-Monthly_I!H59</f>
        <v>3196863631.44734</v>
      </c>
      <c r="I11" s="8" t="n">
        <f aca="false">(Monthly_I!I18+Monthly_I!I17)*(1-Inputs!$C$14)-Monthly_I!I17+(Monthly_I!I32+Monthly_I!I31)*(1-Inputs!$C$14)-Monthly_I!I31+(Monthly_I!I46+Monthly_I!I45)*(1-Inputs!$C$14)-Monthly_I!I45+(Monthly_I!I60+Monthly_I!I59)*(1-Inputs!$C$14)-Monthly_I!I59</f>
        <v>3139746193.5416</v>
      </c>
      <c r="J11" s="8" t="n">
        <f aca="false">(Monthly_I!J18+Monthly_I!J17)*(1-Inputs!$C$14)-Monthly_I!J17+(Monthly_I!J32+Monthly_I!J31)*(1-Inputs!$C$14)-Monthly_I!J31+(Monthly_I!J46+Monthly_I!J45)*(1-Inputs!$C$14)-Monthly_I!J45+(Monthly_I!J60+Monthly_I!J59)*(1-Inputs!$C$14)-Monthly_I!J59</f>
        <v>3093498565.23434</v>
      </c>
      <c r="K11" s="8" t="n">
        <f aca="false">(Monthly_I!K18+Monthly_I!K17)*(1-Inputs!$C$14)-Monthly_I!K17+(Monthly_I!K32+Monthly_I!K31)*(1-Inputs!$C$14)-Monthly_I!K31+(Monthly_I!K46+Monthly_I!K45)*(1-Inputs!$C$14)-Monthly_I!K45+(Monthly_I!K60+Monthly_I!K59)*(1-Inputs!$C$14)-Monthly_I!K59</f>
        <v>4155545660.2112</v>
      </c>
      <c r="L11" s="8" t="n">
        <f aca="false">(Monthly_I!L18+Monthly_I!L17)*(1-Inputs!$C$14)-Monthly_I!L17+(Monthly_I!L32+Monthly_I!L31)*(1-Inputs!$C$14)-Monthly_I!L31+(Monthly_I!L46+Monthly_I!L45)*(1-Inputs!$C$14)-Monthly_I!L45+(Monthly_I!L60+Monthly_I!L59)*(1-Inputs!$C$14)-Monthly_I!L59</f>
        <v>4084441872.36436</v>
      </c>
      <c r="M11" s="8" t="n">
        <f aca="false">(Monthly_I!M18+Monthly_I!M17)*(1-Inputs!$C$14)-Monthly_I!M17+(Monthly_I!M32+Monthly_I!M31)*(1-Inputs!$C$14)-Monthly_I!M31+(Monthly_I!M46+Monthly_I!M45)*(1-Inputs!$C$14)-Monthly_I!M45+(Monthly_I!M60+Monthly_I!M59)*(1-Inputs!$C$14)-Monthly_I!M59</f>
        <v>4024418419.34646</v>
      </c>
      <c r="N11" s="8" t="n">
        <f aca="false">(Monthly_I!N18+Monthly_I!N17)*(1-Inputs!$C$14)-Monthly_I!N17+(Monthly_I!N32+Monthly_I!N31)*(1-Inputs!$C$14)-Monthly_I!N31+(Monthly_I!N46+Monthly_I!N45)*(1-Inputs!$C$14)-Monthly_I!N45+(Monthly_I!N60+Monthly_I!N59)*(1-Inputs!$C$14)-Monthly_I!N59</f>
        <v>3965277333.11338</v>
      </c>
      <c r="O11" s="8" t="n">
        <f aca="false">(Monthly_I!O18+Monthly_I!O17)*(1-Inputs!$C$14)-Monthly_I!O17+(Monthly_I!O32+Monthly_I!O31)*(1-Inputs!$C$14)-Monthly_I!O31+(Monthly_I!O46+Monthly_I!O45)*(1-Inputs!$C$14)-Monthly_I!O45+(Monthly_I!O60+Monthly_I!O59)*(1-Inputs!$C$14)-Monthly_I!O59</f>
        <v>3907005612.03692</v>
      </c>
      <c r="P11" s="8" t="n">
        <f aca="false">(Monthly_I!P18+Monthly_I!P17)*(1-Inputs!$C$14)-Monthly_I!P17+(Monthly_I!P32+Monthly_I!P31)*(1-Inputs!$C$14)-Monthly_I!P31+(Monthly_I!P46+Monthly_I!P45)*(1-Inputs!$C$14)-Monthly_I!P45+(Monthly_I!P60+Monthly_I!P59)*(1-Inputs!$C$14)-Monthly_I!P59</f>
        <v>3849590446.44959</v>
      </c>
      <c r="Q11" s="8" t="n">
        <f aca="false">(Monthly_I!Q18+Monthly_I!Q17)*(1-Inputs!$C$14)-Monthly_I!Q17+(Monthly_I!Q32+Monthly_I!Q31)*(1-Inputs!$C$14)-Monthly_I!Q31+(Monthly_I!Q46+Monthly_I!Q45)*(1-Inputs!$C$14)-Monthly_I!Q45+(Monthly_I!Q60+Monthly_I!Q59)*(1-Inputs!$C$14)-Monthly_I!Q59</f>
        <v>3793019215.80557</v>
      </c>
      <c r="R11" s="8" t="n">
        <f aca="false">(Monthly_I!R18+Monthly_I!R17)*(1-Inputs!$C$14)-Monthly_I!R17+(Monthly_I!R32+Monthly_I!R31)*(1-Inputs!$C$14)-Monthly_I!R31+(Monthly_I!R46+Monthly_I!R45)*(1-Inputs!$C$14)-Monthly_I!R45+(Monthly_I!R60+Monthly_I!R59)*(1-Inputs!$C$14)-Monthly_I!R59</f>
        <v>3737279485.88382</v>
      </c>
      <c r="S11" s="8" t="n">
        <f aca="false">(Monthly_I!S18+Monthly_I!S17)*(1-Inputs!$C$14)-Monthly_I!S17+(Monthly_I!S32+Monthly_I!S31)*(1-Inputs!$C$14)-Monthly_I!S31+(Monthly_I!S46+Monthly_I!S45)*(1-Inputs!$C$14)-Monthly_I!S45+(Monthly_I!S60+Monthly_I!S59)*(1-Inputs!$C$14)-Monthly_I!S59</f>
        <v>3682359006.03256</v>
      </c>
      <c r="T11" s="8" t="n">
        <f aca="false">(Monthly_I!T18+Monthly_I!T17)*(1-Inputs!$C$14)-Monthly_I!T17+(Monthly_I!T32+Monthly_I!T31)*(1-Inputs!$C$14)-Monthly_I!T31+(Monthly_I!T46+Monthly_I!T45)*(1-Inputs!$C$14)-Monthly_I!T45+(Monthly_I!T60+Monthly_I!T59)*(1-Inputs!$C$14)-Monthly_I!T59</f>
        <v>3628245706.45456</v>
      </c>
      <c r="U11" s="8" t="n">
        <f aca="false">(Monthly_I!U18+Monthly_I!U17)*(1-Inputs!$C$14)-Monthly_I!U17+(Monthly_I!U32+Monthly_I!U31)*(1-Inputs!$C$14)-Monthly_I!U31+(Monthly_I!U46+Monthly_I!U45)*(1-Inputs!$C$14)-Monthly_I!U45+(Monthly_I!U60+Monthly_I!U59)*(1-Inputs!$C$14)-Monthly_I!U59</f>
        <v>3574927695.53268</v>
      </c>
      <c r="V11" s="8" t="n">
        <f aca="false">(Monthly_I!V18+Monthly_I!V17)*(1-Inputs!$C$14)-Monthly_I!V17+(Monthly_I!V32+Monthly_I!V31)*(1-Inputs!$C$14)-Monthly_I!V31+(Monthly_I!V46+Monthly_I!V45)*(1-Inputs!$C$14)-Monthly_I!V45+(Monthly_I!V60+Monthly_I!V59)*(1-Inputs!$C$14)-Monthly_I!V59</f>
        <v>3522393257.19493</v>
      </c>
      <c r="W11" s="8" t="n">
        <f aca="false">(Monthly_I!W18+Monthly_I!W17)*(1-Inputs!$C$14)-Monthly_I!W17+(Monthly_I!W32+Monthly_I!W31)*(1-Inputs!$C$14)-Monthly_I!W31+(Monthly_I!W46+Monthly_I!W45)*(1-Inputs!$C$14)-Monthly_I!W45+(Monthly_I!W60+Monthly_I!W59)*(1-Inputs!$C$14)-Monthly_I!W59</f>
        <v>3470630848.31864</v>
      </c>
      <c r="X11" s="8" t="n">
        <f aca="false">(Monthly_I!X18+Monthly_I!X17)*(1-Inputs!$C$14)-Monthly_I!X17+(Monthly_I!X32+Monthly_I!X31)*(1-Inputs!$C$14)-Monthly_I!X31+(Monthly_I!X46+Monthly_I!X45)*(1-Inputs!$C$14)-Monthly_I!X45+(Monthly_I!X60+Monthly_I!X59)*(1-Inputs!$C$14)-Monthly_I!X59</f>
        <v>3419629096.17305</v>
      </c>
      <c r="Y11" s="8" t="n">
        <f aca="false">(Monthly_I!Y18+Monthly_I!Y17)*(1-Inputs!$C$14)-Monthly_I!Y17+(Monthly_I!Y32+Monthly_I!Y31)*(1-Inputs!$C$14)-Monthly_I!Y31+(Monthly_I!Y46+Monthly_I!Y45)*(1-Inputs!$C$14)-Monthly_I!Y45+(Monthly_I!Y60+Monthly_I!Y59)*(1-Inputs!$C$14)-Monthly_I!Y59</f>
        <v>3369376795.89972</v>
      </c>
      <c r="Z11" s="8" t="n">
        <f aca="false">(Monthly_I!Z18+Monthly_I!Z17)*(1-Inputs!$C$14)-Monthly_I!Z17+(Monthly_I!Z32+Monthly_I!Z31)*(1-Inputs!$C$14)-Monthly_I!Z31+(Monthly_I!Z46+Monthly_I!Z45)*(1-Inputs!$C$14)-Monthly_I!Z45+(Monthly_I!Z60+Monthly_I!Z59)*(1-Inputs!$C$14)-Monthly_I!Z59</f>
        <v>3319862908.03031</v>
      </c>
      <c r="AA11" s="8" t="n">
        <f aca="false">(Monthly_I!AA18+Monthly_I!AA17)*(1-Inputs!$C$14)-Monthly_I!AA17+(Monthly_I!AA32+Monthly_I!AA31)*(1-Inputs!$C$14)-Monthly_I!AA31+(Monthly_I!AA46+Monthly_I!AA45)*(1-Inputs!$C$14)-Monthly_I!AA45+(Monthly_I!AA60+Monthly_I!AA59)*(1-Inputs!$C$14)-Monthly_I!AA59</f>
        <v>3271076556.04112</v>
      </c>
      <c r="AB11" s="8" t="n">
        <f aca="false">(Monthly_I!AB18+Monthly_I!AB17)*(1-Inputs!$C$14)-Monthly_I!AB17+(Monthly_I!AB32+Monthly_I!AB31)*(1-Inputs!$C$14)-Monthly_I!AB31+(Monthly_I!AB46+Monthly_I!AB45)*(1-Inputs!$C$14)-Monthly_I!AB45+(Monthly_I!AB60+Monthly_I!AB59)*(1-Inputs!$C$14)-Monthly_I!AB59</f>
        <v>3223007023.94378</v>
      </c>
      <c r="AC11" s="8" t="n">
        <f aca="false">(Monthly_I!AC18+Monthly_I!AC17)*(1-Inputs!$C$14)-Monthly_I!AC17+(Monthly_I!AC32+Monthly_I!AC31)*(1-Inputs!$C$14)-Monthly_I!AC31+(Monthly_I!AC46+Monthly_I!AC45)*(1-Inputs!$C$14)-Monthly_I!AC45+(Monthly_I!AC60+Monthly_I!AC59)*(1-Inputs!$C$14)-Monthly_I!AC59</f>
        <v>3175643753.91167</v>
      </c>
      <c r="AD11" s="8" t="n">
        <f aca="false">(Monthly_I!AD18+Monthly_I!AD17)*(1-Inputs!$C$14)-Monthly_I!AD17+(Monthly_I!AD32+Monthly_I!AD31)*(1-Inputs!$C$14)-Monthly_I!AD31+(Monthly_I!AD46+Monthly_I!AD45)*(1-Inputs!$C$14)-Monthly_I!AD45+(Monthly_I!AD60+Monthly_I!AD59)*(1-Inputs!$C$14)-Monthly_I!AD59</f>
        <v>3128976343.94149</v>
      </c>
      <c r="AE11" s="8" t="n">
        <f aca="false">(Monthly_I!AE18+Monthly_I!AE17)*(1-Inputs!$C$14)-Monthly_I!AE17+(Monthly_I!AE32+Monthly_I!AE31)*(1-Inputs!$C$14)-Monthly_I!AE31+(Monthly_I!AE46+Monthly_I!AE45)*(1-Inputs!$C$14)-Monthly_I!AE45+(Monthly_I!AE60+Monthly_I!AE59)*(1-Inputs!$C$14)-Monthly_I!AE59</f>
        <v>3082994545.54943</v>
      </c>
      <c r="AF11" s="8" t="n">
        <f aca="false">(Monthly_I!AF18+Monthly_I!AF17)*(1-Inputs!$C$14)-Monthly_I!AF17+(Monthly_I!AF32+Monthly_I!AF31)*(1-Inputs!$C$14)-Monthly_I!AF31+(Monthly_I!AF46+Monthly_I!AF45)*(1-Inputs!$C$14)-Monthly_I!AF45+(Monthly_I!AF60+Monthly_I!AF59)*(1-Inputs!$C$14)-Monthly_I!AF59</f>
        <v>3037688261.50142</v>
      </c>
      <c r="AG11" s="8" t="n">
        <f aca="false">(Monthly_I!AG18+Monthly_I!AG17)*(1-Inputs!$C$14)-Monthly_I!AG17+(Monthly_I!AG32+Monthly_I!AG31)*(1-Inputs!$C$14)-Monthly_I!AG31+(Monthly_I!AG46+Monthly_I!AG45)*(1-Inputs!$C$14)-Monthly_I!AG45+(Monthly_I!AG60+Monthly_I!AG59)*(1-Inputs!$C$14)-Monthly_I!AG59</f>
        <v>2993047543.57711</v>
      </c>
      <c r="AH11" s="8" t="n">
        <f aca="false">(Monthly_I!AH18+Monthly_I!AH17)*(1-Inputs!$C$14)-Monthly_I!AH17+(Monthly_I!AH32+Monthly_I!AH31)*(1-Inputs!$C$14)-Monthly_I!AH31+(Monthly_I!AH46+Monthly_I!AH45)*(1-Inputs!$C$14)-Monthly_I!AH45+(Monthly_I!AH60+Monthly_I!AH59)*(1-Inputs!$C$14)-Monthly_I!AH59</f>
        <v>2949062590.3668</v>
      </c>
      <c r="AI11" s="8" t="n">
        <f aca="false">(Monthly_I!AI18+Monthly_I!AI17)*(1-Inputs!$C$14)-Monthly_I!AI17+(Monthly_I!AI32+Monthly_I!AI31)*(1-Inputs!$C$14)-Monthly_I!AI31+(Monthly_I!AI46+Monthly_I!AI45)*(1-Inputs!$C$14)-Monthly_I!AI45+(Monthly_I!AI60+Monthly_I!AI59)*(1-Inputs!$C$14)-Monthly_I!AI59</f>
        <v>2905723745.10109</v>
      </c>
      <c r="AJ11" s="8" t="n">
        <f aca="false">(Monthly_I!AJ18+Monthly_I!AJ17)*(1-Inputs!$C$14)-Monthly_I!AJ17+(Monthly_I!AJ32+Monthly_I!AJ31)*(1-Inputs!$C$14)-Monthly_I!AJ31+(Monthly_I!AJ46+Monthly_I!AJ45)*(1-Inputs!$C$14)-Monthly_I!AJ45+(Monthly_I!AJ60+Monthly_I!AJ59)*(1-Inputs!$C$14)-Monthly_I!AJ59</f>
        <v>2863021493.51264</v>
      </c>
      <c r="AK11" s="8" t="n">
        <f aca="false">(Monthly_I!AK18+Monthly_I!AK17)*(1-Inputs!$C$14)-Monthly_I!AK17+(Monthly_I!AK32+Monthly_I!AK31)*(1-Inputs!$C$14)-Monthly_I!AK31+(Monthly_I!AK46+Monthly_I!AK45)*(1-Inputs!$C$14)-Monthly_I!AK45+(Monthly_I!AK60+Monthly_I!AK59)*(1-Inputs!$C$14)-Monthly_I!AK59</f>
        <v>2820946461.72958</v>
      </c>
      <c r="AL11" s="8" t="n">
        <f aca="false">(Monthly_I!AL18+Monthly_I!AL17)*(1-Inputs!$C$14)-Monthly_I!AL17+(Monthly_I!AL32+Monthly_I!AL31)*(1-Inputs!$C$14)-Monthly_I!AL31+(Monthly_I!AL46+Monthly_I!AL45)*(1-Inputs!$C$14)-Monthly_I!AL45+(Monthly_I!AL60+Monthly_I!AL59)*(1-Inputs!$C$14)-Monthly_I!AL59</f>
        <v>2779489414.20013</v>
      </c>
    </row>
    <row r="12" customFormat="false" ht="15" hidden="false" customHeight="false" outlineLevel="0" collapsed="false">
      <c r="A12" s="4" t="s">
        <v>531</v>
      </c>
      <c r="B12" s="4"/>
      <c r="C12" s="15" t="n">
        <f aca="false">Loyalty_Monthly!C23</f>
        <v>0</v>
      </c>
      <c r="D12" s="15" t="n">
        <f aca="false">Loyalty_Monthly!D23</f>
        <v>-600000000</v>
      </c>
      <c r="E12" s="15" t="n">
        <f aca="false">Loyalty_Monthly!E23</f>
        <v>-600000000</v>
      </c>
      <c r="F12" s="15" t="n">
        <f aca="false">Loyalty_Monthly!F23</f>
        <v>-600000000</v>
      </c>
      <c r="G12" s="15" t="n">
        <f aca="false">Loyalty_Monthly!G23</f>
        <v>-573000801.160714</v>
      </c>
      <c r="H12" s="15" t="n">
        <f aca="false">Loyalty_Monthly!H23</f>
        <v>-305864874.017857</v>
      </c>
      <c r="I12" s="15" t="n">
        <f aca="false">Loyalty_Monthly!I23</f>
        <v>-288934578.000714</v>
      </c>
      <c r="J12" s="15" t="n">
        <f aca="false">Loyalty_Monthly!J23</f>
        <v>-1272207445.53578</v>
      </c>
      <c r="K12" s="15" t="n">
        <f aca="false">Loyalty_Monthly!K23</f>
        <v>-1255681038.66042</v>
      </c>
      <c r="L12" s="15" t="n">
        <f aca="false">Loyalty_Monthly!L23</f>
        <v>-1239352948.66757</v>
      </c>
      <c r="M12" s="15" t="n">
        <f aca="false">Loyalty_Monthly!M23</f>
        <v>-1252238029.00909</v>
      </c>
      <c r="N12" s="15" t="n">
        <f aca="false">Loyalty_Monthly!N23</f>
        <v>-1245390032.59232</v>
      </c>
      <c r="O12" s="15" t="n">
        <f aca="false">Loyalty_Monthly!O23</f>
        <v>-551487234.982034</v>
      </c>
      <c r="P12" s="15" t="n">
        <f aca="false">Loyalty_Monthly!P23</f>
        <v>-579970472.903676</v>
      </c>
      <c r="Q12" s="15" t="n">
        <f aca="false">Loyalty_Monthly!Q23</f>
        <v>-581171113.93086</v>
      </c>
      <c r="R12" s="15" t="n">
        <f aca="false">Loyalty_Monthly!R23</f>
        <v>-555416549.226319</v>
      </c>
      <c r="S12" s="15" t="n">
        <f aca="false">Loyalty_Monthly!S23</f>
        <v>-341906762.39921</v>
      </c>
      <c r="T12" s="15" t="n">
        <f aca="false">Loyalty_Monthly!T23</f>
        <v>-180359093.014027</v>
      </c>
      <c r="U12" s="15" t="n">
        <f aca="false">Loyalty_Monthly!U23</f>
        <v>-20749995.6614656</v>
      </c>
      <c r="V12" s="15" t="n">
        <f aca="false">Loyalty_Monthly!V23</f>
        <v>136943792.522865</v>
      </c>
      <c r="W12" s="15" t="n">
        <f aca="false">Loyalty_Monthly!W23</f>
        <v>292745255.248983</v>
      </c>
      <c r="X12" s="15" t="n">
        <f aca="false">Loyalty_Monthly!X23</f>
        <v>446677100.422389</v>
      </c>
      <c r="Y12" s="15" t="n">
        <f aca="false">Loyalty_Monthly!Y23</f>
        <v>598761763.453713</v>
      </c>
      <c r="Z12" s="15" t="n">
        <f aca="false">Loyalty_Monthly!Z23</f>
        <v>749021410.528661</v>
      </c>
      <c r="AA12" s="15" t="n">
        <f aca="false">Loyalty_Monthly!AA23</f>
        <v>897477941.83871</v>
      </c>
      <c r="AB12" s="15" t="n">
        <f aca="false">Loyalty_Monthly!AB23</f>
        <v>1044152994.77304</v>
      </c>
      <c r="AC12" s="15" t="n">
        <f aca="false">Loyalty_Monthly!AC23</f>
        <v>1189067947.07215</v>
      </c>
      <c r="AD12" s="15" t="n">
        <f aca="false">Loyalty_Monthly!AD23</f>
        <v>1332243919.94368</v>
      </c>
      <c r="AE12" s="15" t="n">
        <f aca="false">Loyalty_Monthly!AE23</f>
        <v>1473701781.14075</v>
      </c>
      <c r="AF12" s="15" t="n">
        <f aca="false">Loyalty_Monthly!AF23</f>
        <v>1613462148.00345</v>
      </c>
      <c r="AG12" s="15" t="n">
        <f aca="false">Loyalty_Monthly!AG23</f>
        <v>1751545390.4638</v>
      </c>
      <c r="AH12" s="15" t="n">
        <f aca="false">Loyalty_Monthly!AH23</f>
        <v>1887971634.01463</v>
      </c>
      <c r="AI12" s="15" t="n">
        <f aca="false">Loyalty_Monthly!AI23</f>
        <v>2022760762.64285</v>
      </c>
      <c r="AJ12" s="15" t="n">
        <f aca="false">Loyalty_Monthly!AJ23</f>
        <v>2155932421.72753</v>
      </c>
      <c r="AK12" s="15" t="n">
        <f aca="false">Loyalty_Monthly!AK23</f>
        <v>2287506020.90319</v>
      </c>
      <c r="AL12" s="15" t="n">
        <f aca="false">Loyalty_Monthly!AL23</f>
        <v>2417500736.88875</v>
      </c>
    </row>
    <row r="13" customFormat="false" ht="15" hidden="false" customHeight="false" outlineLevel="0" collapsed="false">
      <c r="A13" s="4" t="s">
        <v>532</v>
      </c>
      <c r="B13" s="4"/>
      <c r="C13" s="8" t="n">
        <f aca="false">C11+C12</f>
        <v>-1800000000</v>
      </c>
      <c r="D13" s="8" t="n">
        <f aca="false">N(C13)+D11+D12</f>
        <v>-3217743082.85714</v>
      </c>
      <c r="E13" s="8" t="n">
        <f aca="false">N(D13)+E11+E12</f>
        <v>-4487199828.56243</v>
      </c>
      <c r="F13" s="8" t="n">
        <f aca="false">N(E13)+F11+F12</f>
        <v>-3857972587.73875</v>
      </c>
      <c r="G13" s="8" t="n">
        <f aca="false">N(F13)+G11+G12</f>
        <v>-3280356943.40966</v>
      </c>
      <c r="H13" s="8" t="n">
        <f aca="false">N(G13)+H11+H12</f>
        <v>-389358185.980171</v>
      </c>
      <c r="I13" s="8" t="n">
        <f aca="false">N(H13)+I11+I12</f>
        <v>2461453429.56071</v>
      </c>
      <c r="J13" s="8" t="n">
        <f aca="false">N(I13)+J11+J12</f>
        <v>4282744549.25928</v>
      </c>
      <c r="K13" s="8" t="n">
        <f aca="false">N(J13)+K11+K12</f>
        <v>7182609170.81006</v>
      </c>
      <c r="L13" s="8" t="n">
        <f aca="false">N(K13)+L11+L12</f>
        <v>10027698094.5069</v>
      </c>
      <c r="M13" s="8" t="n">
        <f aca="false">N(L13)+M11+M12</f>
        <v>12799878484.8442</v>
      </c>
      <c r="N13" s="8" t="n">
        <f aca="false">N(M13)+N11+N12</f>
        <v>15519765785.3653</v>
      </c>
      <c r="O13" s="8" t="n">
        <f aca="false">N(N13)+O11+O12</f>
        <v>18875284162.4202</v>
      </c>
      <c r="P13" s="8" t="n">
        <f aca="false">N(O13)+P11+P12</f>
        <v>22144904135.9661</v>
      </c>
      <c r="Q13" s="8" t="n">
        <f aca="false">N(P13)+Q11+Q12</f>
        <v>25356752237.8408</v>
      </c>
      <c r="R13" s="8" t="n">
        <f aca="false">N(Q13)+R11+R12</f>
        <v>28538615174.4983</v>
      </c>
      <c r="S13" s="8" t="n">
        <f aca="false">N(R13)+S11+S12</f>
        <v>31879067418.1316</v>
      </c>
      <c r="T13" s="8" t="n">
        <f aca="false">N(S13)+T11+T12</f>
        <v>35326954031.5722</v>
      </c>
      <c r="U13" s="8" t="n">
        <f aca="false">N(T13)+U11+U12</f>
        <v>38881131731.4434</v>
      </c>
      <c r="V13" s="8" t="n">
        <f aca="false">N(U13)+V11+V12</f>
        <v>42540468781.1612</v>
      </c>
      <c r="W13" s="8" t="n">
        <f aca="false">N(V13)+W11+W12</f>
        <v>46303844884.7288</v>
      </c>
      <c r="X13" s="8" t="n">
        <f aca="false">N(W13)+X11+X12</f>
        <v>50170151081.3242</v>
      </c>
      <c r="Y13" s="8" t="n">
        <f aca="false">N(X13)+Y11+Y12</f>
        <v>54138289640.6777</v>
      </c>
      <c r="Z13" s="8" t="n">
        <f aca="false">N(Y13)+Z11+Z12</f>
        <v>58207173959.2366</v>
      </c>
      <c r="AA13" s="8" t="n">
        <f aca="false">N(Z13)+AA11+AA12</f>
        <v>62375728457.1165</v>
      </c>
      <c r="AB13" s="8" t="n">
        <f aca="false">N(AA13)+AB11+AB12</f>
        <v>66642888475.8333</v>
      </c>
      <c r="AC13" s="8" t="n">
        <f aca="false">N(AB13)+AC11+AC12</f>
        <v>71007600176.8171</v>
      </c>
      <c r="AD13" s="8" t="n">
        <f aca="false">N(AC13)+AD11+AD12</f>
        <v>75468820440.7023</v>
      </c>
      <c r="AE13" s="8" t="n">
        <f aca="false">N(AD13)+AE11+AE12</f>
        <v>80025516767.3925</v>
      </c>
      <c r="AF13" s="8" t="n">
        <f aca="false">N(AE13)+AF11+AF12</f>
        <v>84676667176.8973</v>
      </c>
      <c r="AG13" s="8" t="n">
        <f aca="false">N(AF13)+AG11+AG12</f>
        <v>89421260110.9383</v>
      </c>
      <c r="AH13" s="8" t="n">
        <f aca="false">N(AG13)+AH11+AH12</f>
        <v>94258294335.3197</v>
      </c>
      <c r="AI13" s="8" t="n">
        <f aca="false">N(AH13)+AI11+AI12</f>
        <v>99186778843.0636</v>
      </c>
      <c r="AJ13" s="8" t="n">
        <f aca="false">N(AI13)+AJ11+AJ12</f>
        <v>104205732758.304</v>
      </c>
      <c r="AK13" s="8" t="n">
        <f aca="false">N(AJ13)+AK11+AK12</f>
        <v>109314185240.937</v>
      </c>
      <c r="AL13" s="8" t="n">
        <f aca="false">N(AK13)+AL11+AL12</f>
        <v>114511175392.025</v>
      </c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customFormat="false" ht="15" hidden="false" customHeight="false" outlineLevel="0" collapsed="false">
      <c r="A15" s="3" t="s">
        <v>533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customFormat="false" ht="15" hidden="false" customHeight="false" outlineLevel="0" collapsed="false">
      <c r="A16" s="4" t="s">
        <v>534</v>
      </c>
      <c r="B16" s="4"/>
      <c r="C16" s="27" t="n">
        <f aca="false">N9</f>
        <v>0.101460976174816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customFormat="false" ht="15" hidden="false" customHeight="false" outlineLevel="0" collapsed="false">
      <c r="A17" s="4" t="s">
        <v>535</v>
      </c>
      <c r="B17" s="4"/>
      <c r="C17" s="27" t="n">
        <f aca="false">Z9</f>
        <v>0.107953445414928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customFormat="false" ht="15" hidden="false" customHeight="false" outlineLevel="0" collapsed="false">
      <c r="A18" s="4" t="s">
        <v>536</v>
      </c>
      <c r="B18" s="4"/>
      <c r="C18" s="27" t="n">
        <f aca="false">AL9</f>
        <v>0.113338624510403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customFormat="false" ht="15" hidden="false" customHeight="false" outlineLevel="0" collapsed="false">
      <c r="A19" s="4" t="s">
        <v>537</v>
      </c>
      <c r="B19" s="4"/>
      <c r="C19" s="27" t="n">
        <f aca="false">Z10</f>
        <v>0.100119214128072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customFormat="false" ht="15" hidden="false" customHeight="false" outlineLevel="0" collapsed="false">
      <c r="A20" s="4" t="s">
        <v>538</v>
      </c>
      <c r="B20" s="4"/>
      <c r="C20" s="24" t="n">
        <f aca="false">Z8</f>
        <v>20497.1387401762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customFormat="false" ht="15" hidden="false" customHeight="false" outlineLevel="0" collapsed="false">
      <c r="A21" s="4" t="s">
        <v>539</v>
      </c>
      <c r="B21" s="4"/>
      <c r="C21" s="24" t="n">
        <f aca="false">SUM(C4:N4)+SUM(C6:N6)</f>
        <v>36645202303.673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customFormat="false" ht="15" hidden="false" customHeight="false" outlineLevel="0" collapsed="false">
      <c r="A22" s="4" t="s">
        <v>540</v>
      </c>
      <c r="B22" s="4"/>
      <c r="C22" s="24" t="n">
        <f aca="false">SUM(O4:Z4)+SUM(O6:Z6)</f>
        <v>54118444169.8929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customFormat="false" ht="15" hidden="false" customHeight="false" outlineLevel="0" collapsed="false">
      <c r="A23" s="4" t="s">
        <v>541</v>
      </c>
      <c r="B23" s="4"/>
      <c r="C23" s="24" t="n">
        <f aca="false">SUM(AA4:AL4)+SUM(AA6:AL6)</f>
        <v>49696760063.5047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customFormat="false" ht="15" hidden="false" customHeight="false" outlineLevel="0" collapsed="false">
      <c r="A24" s="4" t="s">
        <v>542</v>
      </c>
      <c r="B24" s="4"/>
      <c r="C24" s="24" t="n">
        <f aca="false">Z13</f>
        <v>58207173959.2366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customFormat="false" ht="15" hidden="false" customHeight="false" outlineLevel="0" collapsed="false">
      <c r="A25" s="4" t="s">
        <v>543</v>
      </c>
      <c r="B25" s="4"/>
      <c r="C25" s="24" t="n">
        <f aca="false">AL13</f>
        <v>114511175392.025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544</v>
      </c>
      <c r="B1" s="4"/>
    </row>
    <row r="2" customFormat="false" ht="15" hidden="false" customHeight="false" outlineLevel="0" collapsed="false">
      <c r="A2" s="4"/>
      <c r="B2" s="4"/>
    </row>
    <row r="3" customFormat="false" ht="15" hidden="false" customHeight="false" outlineLevel="0" collapsed="false">
      <c r="A3" s="4" t="s">
        <v>545</v>
      </c>
      <c r="B3" s="7" t="n">
        <v>0.05</v>
      </c>
    </row>
    <row r="4" customFormat="false" ht="15" hidden="false" customHeight="false" outlineLevel="0" collapsed="false">
      <c r="A4" s="4" t="s">
        <v>546</v>
      </c>
      <c r="B4" s="7" t="n">
        <v>0.8</v>
      </c>
    </row>
    <row r="5" customFormat="false" ht="15" hidden="false" customHeight="false" outlineLevel="0" collapsed="false">
      <c r="A5" s="4" t="s">
        <v>547</v>
      </c>
      <c r="B5" s="34" t="n">
        <v>1.2</v>
      </c>
    </row>
    <row r="6" customFormat="false" ht="15" hidden="false" customHeight="false" outlineLevel="0" collapsed="false">
      <c r="A6" s="4" t="s">
        <v>548</v>
      </c>
      <c r="B6" s="7" t="n">
        <v>0.02</v>
      </c>
    </row>
    <row r="7" customFormat="false" ht="15" hidden="false" customHeight="false" outlineLevel="0" collapsed="false">
      <c r="A7" s="4" t="s">
        <v>549</v>
      </c>
      <c r="B7" s="19" t="n">
        <v>0.012</v>
      </c>
    </row>
    <row r="8" customFormat="false" ht="15" hidden="false" customHeight="false" outlineLevel="0" collapsed="false">
      <c r="A8" s="4" t="s">
        <v>550</v>
      </c>
      <c r="B8" s="19" t="n">
        <v>0.01</v>
      </c>
    </row>
    <row r="9" customFormat="false" ht="15" hidden="false" customHeight="false" outlineLevel="0" collapsed="false">
      <c r="A9" s="4"/>
      <c r="B9" s="4"/>
    </row>
    <row r="10" customFormat="false" ht="15" hidden="false" customHeight="false" outlineLevel="0" collapsed="false">
      <c r="A10" s="4" t="s">
        <v>551</v>
      </c>
      <c r="B10" s="24" t="n">
        <f aca="false">ROUNDUP(2*(NORMSINV(1-B3/2)+NORMSINV(B4))^2*B5^2/B6^2,0)</f>
        <v>56512</v>
      </c>
    </row>
    <row r="11" customFormat="false" ht="15" hidden="false" customHeight="false" outlineLevel="0" collapsed="false">
      <c r="A11" s="4" t="s">
        <v>552</v>
      </c>
      <c r="B11" s="24" t="n">
        <f aca="false">ROUNDUP((NORMSINV(1-B3/2)*SQRT(2*((B7+B8)/2)*(1-(B7+B8)/2))+NORMSINV(B4)*SQRT(B7*(1-B7)+B8*(1-B8)))^2/(B8-B7)^2,0)</f>
        <v>42693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"/>
    <col collapsed="false" customWidth="true" hidden="false" outlineLevel="0" max="9" min="3" style="0" width="15"/>
  </cols>
  <sheetData>
    <row r="1" customFormat="false" ht="17.35" hidden="false" customHeight="false" outlineLevel="0" collapsed="false">
      <c r="A1" s="1" t="s">
        <v>553</v>
      </c>
      <c r="B1" s="4"/>
      <c r="C1" s="4"/>
      <c r="D1" s="4"/>
      <c r="E1" s="4"/>
      <c r="F1" s="4"/>
      <c r="G1" s="4"/>
      <c r="H1" s="4"/>
      <c r="I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</row>
    <row r="3" customFormat="false" ht="15" hidden="false" customHeight="false" outlineLevel="0" collapsed="false">
      <c r="A3" s="5" t="s">
        <v>554</v>
      </c>
      <c r="B3" s="5" t="s">
        <v>555</v>
      </c>
      <c r="C3" s="5" t="s">
        <v>556</v>
      </c>
      <c r="D3" s="5" t="s">
        <v>557</v>
      </c>
      <c r="E3" s="5" t="s">
        <v>558</v>
      </c>
      <c r="F3" s="5" t="s">
        <v>559</v>
      </c>
      <c r="G3" s="5" t="s">
        <v>560</v>
      </c>
      <c r="H3" s="5" t="s">
        <v>561</v>
      </c>
      <c r="I3" s="5" t="s">
        <v>562</v>
      </c>
    </row>
    <row r="4" customFormat="false" ht="15" hidden="false" customHeight="false" outlineLevel="0" collapsed="false">
      <c r="A4" s="12" t="s">
        <v>42</v>
      </c>
      <c r="B4" s="12" t="s">
        <v>54</v>
      </c>
      <c r="C4" s="25" t="n">
        <v>25.5898055233215</v>
      </c>
      <c r="D4" s="25" t="n">
        <v>35.6008667931378</v>
      </c>
      <c r="E4" s="25" t="n">
        <v>47.5762583261645</v>
      </c>
      <c r="F4" s="20" t="n">
        <v>0.0621045044490559</v>
      </c>
      <c r="G4" s="10" t="n">
        <v>0.65</v>
      </c>
      <c r="H4" s="10" t="n">
        <v>0.65</v>
      </c>
      <c r="I4" s="10" t="n">
        <v>0.6220825</v>
      </c>
    </row>
    <row r="5" customFormat="false" ht="15" hidden="false" customHeight="false" outlineLevel="0" collapsed="false">
      <c r="A5" s="12" t="s">
        <v>43</v>
      </c>
      <c r="B5" s="12" t="s">
        <v>55</v>
      </c>
      <c r="C5" s="25" t="n">
        <v>28.2482168264645</v>
      </c>
      <c r="D5" s="25" t="n">
        <v>36.7957607023522</v>
      </c>
      <c r="E5" s="25" t="n">
        <v>45.8724990102713</v>
      </c>
      <c r="F5" s="20" t="n">
        <v>0.0454667169560562</v>
      </c>
      <c r="G5" s="10" t="n">
        <v>0.8</v>
      </c>
      <c r="H5" s="10" t="n">
        <v>0.8</v>
      </c>
      <c r="I5" s="10" t="n">
        <v>0.72628</v>
      </c>
    </row>
    <row r="6" customFormat="false" ht="15" hidden="false" customHeight="false" outlineLevel="0" collapsed="false">
      <c r="A6" s="12" t="s">
        <v>44</v>
      </c>
      <c r="B6" s="12" t="s">
        <v>56</v>
      </c>
      <c r="C6" s="25" t="n">
        <v>1.94767699427641</v>
      </c>
      <c r="D6" s="25" t="n">
        <v>3.27817083967645</v>
      </c>
      <c r="E6" s="25" t="n">
        <v>5.22354390823754</v>
      </c>
      <c r="F6" s="20" t="n">
        <v>0.00415002776329398</v>
      </c>
      <c r="G6" s="10" t="n">
        <v>0.9</v>
      </c>
      <c r="H6" s="10" t="n">
        <v>0.9</v>
      </c>
      <c r="I6" s="10" t="n">
        <v>0.768195</v>
      </c>
    </row>
    <row r="7" customFormat="false" ht="15" hidden="false" customHeight="false" outlineLevel="0" collapsed="false">
      <c r="A7" s="12" t="s">
        <v>45</v>
      </c>
      <c r="B7" s="12" t="s">
        <v>57</v>
      </c>
      <c r="C7" s="25" t="n">
        <v>0.864810738528508</v>
      </c>
      <c r="D7" s="25" t="n">
        <v>1.68271287228736</v>
      </c>
      <c r="E7" s="25" t="n">
        <v>2.83618420093816</v>
      </c>
      <c r="F7" s="20" t="n">
        <v>0.00296924761211748</v>
      </c>
      <c r="G7" s="10" t="n">
        <v>0.9</v>
      </c>
      <c r="H7" s="10" t="n">
        <v>0.9</v>
      </c>
      <c r="I7" s="10" t="n">
        <v>0.704115</v>
      </c>
    </row>
    <row r="8" customFormat="false" ht="15" hidden="false" customHeight="false" outlineLevel="0" collapsed="false">
      <c r="A8" s="12" t="s">
        <v>563</v>
      </c>
      <c r="B8" s="12" t="s">
        <v>564</v>
      </c>
      <c r="C8" s="25" t="n">
        <v>-3.24351760050461</v>
      </c>
      <c r="D8" s="25" t="n">
        <v>12.4156679415027</v>
      </c>
      <c r="E8" s="25" t="n">
        <v>30.6964064522154</v>
      </c>
      <c r="F8" s="20" t="n">
        <v>0.00865832287583845</v>
      </c>
      <c r="G8" s="10" t="n">
        <v>0.6375</v>
      </c>
      <c r="H8" s="10" t="n">
        <v>0.53543625</v>
      </c>
      <c r="I8" s="10" t="n">
        <v>0.415745625</v>
      </c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</row>
    <row r="10" customFormat="false" ht="15" hidden="false" customHeight="false" outlineLevel="0" collapsed="false">
      <c r="A10" s="3" t="s">
        <v>565</v>
      </c>
      <c r="B10" s="4"/>
      <c r="C10" s="4"/>
      <c r="D10" s="4"/>
      <c r="E10" s="4"/>
      <c r="F10" s="4"/>
      <c r="G10" s="4"/>
      <c r="H10" s="4"/>
      <c r="I10" s="4"/>
    </row>
    <row r="11" customFormat="false" ht="15" hidden="false" customHeight="false" outlineLevel="0" collapsed="false">
      <c r="A11" s="4" t="s">
        <v>566</v>
      </c>
      <c r="B11" s="4"/>
      <c r="C11" s="10" t="n">
        <v>0.0430584581752265</v>
      </c>
      <c r="D11" s="4"/>
      <c r="E11" s="4"/>
      <c r="F11" s="4"/>
      <c r="G11" s="4"/>
      <c r="H11" s="4"/>
      <c r="I11" s="4"/>
    </row>
    <row r="12" customFormat="false" ht="15" hidden="false" customHeight="false" outlineLevel="0" collapsed="false">
      <c r="A12" s="4" t="s">
        <v>567</v>
      </c>
      <c r="B12" s="4"/>
      <c r="C12" s="10" t="n">
        <v>0.091403675359755</v>
      </c>
      <c r="D12" s="4"/>
      <c r="E12" s="4"/>
      <c r="F12" s="4"/>
      <c r="G12" s="4"/>
      <c r="H12" s="4"/>
      <c r="I12" s="4"/>
    </row>
    <row r="13" customFormat="false" ht="15" hidden="false" customHeight="false" outlineLevel="0" collapsed="false">
      <c r="A13" s="4" t="s">
        <v>568</v>
      </c>
      <c r="B13" s="4"/>
      <c r="C13" s="10" t="n">
        <v>0.120543672429109</v>
      </c>
      <c r="D13" s="4"/>
      <c r="E13" s="4"/>
      <c r="F13" s="4"/>
      <c r="G13" s="4"/>
      <c r="H13" s="4"/>
      <c r="I13" s="4"/>
    </row>
    <row r="14" customFormat="false" ht="15" hidden="false" customHeight="false" outlineLevel="0" collapsed="false">
      <c r="A14" s="4" t="s">
        <v>569</v>
      </c>
      <c r="B14" s="4"/>
      <c r="C14" s="10" t="n">
        <v>0.5378</v>
      </c>
      <c r="D14" s="4"/>
      <c r="E14" s="4"/>
      <c r="F14" s="4"/>
      <c r="G14" s="4"/>
      <c r="H14" s="4"/>
      <c r="I14" s="4"/>
    </row>
    <row r="15" customFormat="false" ht="15" hidden="false" customHeight="false" outlineLevel="0" collapsed="false">
      <c r="A15" s="4" t="s">
        <v>570</v>
      </c>
      <c r="B15" s="4"/>
      <c r="C15" s="10" t="n">
        <v>0.41935</v>
      </c>
      <c r="D15" s="4"/>
      <c r="E15" s="4"/>
      <c r="F15" s="4"/>
      <c r="G15" s="4"/>
      <c r="H15" s="4"/>
      <c r="I15" s="4"/>
    </row>
    <row r="16" customFormat="false" ht="15" hidden="false" customHeight="false" outlineLevel="0" collapsed="false">
      <c r="A16" s="4" t="s">
        <v>571</v>
      </c>
      <c r="B16" s="4"/>
      <c r="C16" s="25" t="n">
        <v>89.5605132973347</v>
      </c>
      <c r="D16" s="4"/>
      <c r="E16" s="4"/>
      <c r="F16" s="4"/>
      <c r="G16" s="4"/>
      <c r="H16" s="4"/>
      <c r="I16" s="4"/>
    </row>
    <row r="17" customFormat="false" ht="15" hidden="false" customHeight="false" outlineLevel="0" collapsed="false">
      <c r="A17" s="4" t="s">
        <v>572</v>
      </c>
      <c r="B17" s="4"/>
      <c r="C17" s="32" t="n">
        <v>3.64623766458987</v>
      </c>
      <c r="D17" s="4"/>
      <c r="E17" s="4"/>
      <c r="F17" s="4"/>
      <c r="G17" s="4"/>
      <c r="H17" s="4"/>
      <c r="I17" s="4"/>
    </row>
    <row r="18" customFormat="false" ht="15" hidden="false" customHeight="false" outlineLevel="0" collapsed="false">
      <c r="A18" s="4" t="s">
        <v>573</v>
      </c>
      <c r="B18" s="4"/>
      <c r="C18" s="32" t="n">
        <v>2.59670110140124</v>
      </c>
      <c r="D18" s="4"/>
      <c r="E18" s="4"/>
      <c r="F18" s="4"/>
      <c r="G18" s="4"/>
      <c r="H18" s="4"/>
      <c r="I1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2026-10-07T05:22:19Z</dcterms:created>
  <dc:creator>openpyxl</dc:creator>
  <dc:description/>
  <dc:language>en-US</dc:language>
  <cp:lastModifiedBy/>
  <dcterms:modified xsi:type="dcterms:W3CDTF">2026-10-07T05:22:21Z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