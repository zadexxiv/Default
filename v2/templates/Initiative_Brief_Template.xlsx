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олнять" sheetId="1" state="visible" r:id="rId3"/>
    <sheet name="Портфель" sheetId="2" state="visible" r:id="rId4"/>
    <sheet name="I1" sheetId="3" state="visible" r:id="rId5"/>
    <sheet name="I2" sheetId="4" state="visible" r:id="rId6"/>
    <sheet name="I3" sheetId="5" state="visible" r:id="rId7"/>
    <sheet name="I4" sheetId="6" state="visible" r:id="rId8"/>
    <sheet name="Пустой шаблон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<sst xmlns="http://schemas.openxmlformats.org/spreadsheetml/2006/main" count="1071" uniqueCount="267">
  <si>
    <t xml:space="preserve">Карточка инициативы: от идеи к бизнес-кейсу</t>
  </si>
  <si>
    <t xml:space="preserve">Путь инициативы</t>
  </si>
  <si>
    <t xml:space="preserve">1. Идея → 2. Карточка (этот файл) → 3. Ревью у руководителя (15–20 мин) → 4. Передача финансам → 5. Бизнес-кейс (NPV / IRR) → 6. Инвест-комитет / SteerCo</t>
  </si>
  <si>
    <t xml:space="preserve">Что заполняете вы (PM)</t>
  </si>
  <si>
    <t xml:space="preserve">Блок 1 — одностраничник: проблема с цифрой, цель, сегмент, механика, доказательства, гипотеза, сроки, риски, какое решение нужно.</t>
  </si>
  <si>
    <t xml:space="preserve">Блок 2 — драйверы: каждое число в трёх сценариях, с источником, уверенностью и владельцем данных. Финансы считают по вашим драйверам, поэтому драйвер без источника = вопрос на ревью.</t>
  </si>
  <si>
    <t xml:space="preserve">Блок 3 — быстрый расчёт: проверка порядка цифр до финмодели (без дисконтирования, налогов и амортизации — это делают финансы).</t>
  </si>
  <si>
    <t xml:space="preserve">Блоки 4–6 — вопросы к финансам, KPI и стоп-критерии, чек-лист готовности (≥ 80% → можно передавать).</t>
  </si>
  <si>
    <t xml:space="preserve">Что делают финансы (не делайте за них)</t>
  </si>
  <si>
    <t xml:space="preserve">NPV / IRR / дисконтирование, налоги, амортизация CAPEX, аллокация общих затрат, учёт по МСФО, итоговый P&amp;L и влияние на EBITDA.</t>
  </si>
  <si>
    <t xml:space="preserve">Легенда</t>
  </si>
  <si>
    <t xml:space="preserve">Синий текст — ввод; чёрный — формулы; жёлтая заливка — не заполнено; списки выбора — Статус, Уверенность, Да / Нет.</t>
  </si>
  <si>
    <t xml:space="preserve">Лист «Портфель» собирает все карточки в одну таблицу и приоритизирует. Новую инициативу — копируйте лист «Пустой шаблон» и добавьте строку в «Портфель».</t>
  </si>
  <si>
    <t xml:space="preserve">Примеры I1–I4 заполнены по v2 (гипотезы до данных). Числа — ориентиры; замените фактом из выгрузок аналитиков.</t>
  </si>
  <si>
    <t xml:space="preserve">Портфель инициатив — сводка для руководителя</t>
  </si>
  <si>
    <t xml:space="preserve">Общие допущения</t>
  </si>
  <si>
    <t xml:space="preserve">Курс, сум за 1 USD</t>
  </si>
  <si>
    <t xml:space="preserve">НДС</t>
  </si>
  <si>
    <t xml:space="preserve">ID</t>
  </si>
  <si>
    <t xml:space="preserve">Инициатива</t>
  </si>
  <si>
    <t xml:space="preserve">Статус</t>
  </si>
  <si>
    <t xml:space="preserve">Старт, мес.</t>
  </si>
  <si>
    <t xml:space="preserve">Выручка 1-й год</t>
  </si>
  <si>
    <t xml:space="preserve">Вклад 24м: база</t>
  </si>
  <si>
    <t xml:space="preserve">Вклад 24м: пессимист</t>
  </si>
  <si>
    <t xml:space="preserve">Вклад 24м: оптимист</t>
  </si>
  <si>
    <t xml:space="preserve">CAPEX</t>
  </si>
  <si>
    <t xml:space="preserve">Окупаемость, мес.</t>
  </si>
  <si>
    <t xml:space="preserve">ΔARPU базы</t>
  </si>
  <si>
    <t xml:space="preserve">Уверенность</t>
  </si>
  <si>
    <t xml:space="preserve">Сложность (1–5)</t>
  </si>
  <si>
    <t xml:space="preserve">Приоритет</t>
  </si>
  <si>
    <t xml:space="preserve">Готовность к финансам</t>
  </si>
  <si>
    <t xml:space="preserve">I1</t>
  </si>
  <si>
    <t xml:space="preserve">Средняя</t>
  </si>
  <si>
    <t xml:space="preserve">I2</t>
  </si>
  <si>
    <t xml:space="preserve">Высокая</t>
  </si>
  <si>
    <t xml:space="preserve">I3</t>
  </si>
  <si>
    <t xml:space="preserve">I4</t>
  </si>
  <si>
    <t xml:space="preserve">Низкая</t>
  </si>
  <si>
    <t xml:space="preserve">Итого (база)</t>
  </si>
  <si>
    <t xml:space="preserve">Приоритет = вклад 24м (млрд) × уверенность (1 / 0,7 / 0,4) / сложность. Это ориентир для разговора, не решение.</t>
  </si>
  <si>
    <t xml:space="preserve">Карточка инициативы · I1</t>
  </si>
  <si>
    <t xml:space="preserve">Синее — ввод, чёрное — формулы. Блок 1 — для руководителя, блоки 2–4 — для передачи финансам.</t>
  </si>
  <si>
    <t xml:space="preserve">1. ОДНОСТРАНИЧНИК ДЛЯ РУКОВОДИТЕЛЯ</t>
  </si>
  <si>
    <t xml:space="preserve">Название</t>
  </si>
  <si>
    <t xml:space="preserve">I1 Sunset / Migration старых неэффективных линеек → ТП дороже на 10–15%</t>
  </si>
  <si>
    <t xml:space="preserve">Владелец (PM)</t>
  </si>
  <si>
    <t xml:space="preserve">[ФИО, PM тарифных планов]</t>
  </si>
  <si>
    <t xml:space="preserve">Дата / версия</t>
  </si>
  <si>
    <t xml:space="preserve">09.10.2026 · v0.3</t>
  </si>
  <si>
    <t xml:space="preserve">Discovery</t>
  </si>
  <si>
    <t xml:space="preserve">Проблема (1–2 предложения, с цифрой)</t>
  </si>
  <si>
    <t xml:space="preserve">~30% архивной базы (~1,06 млн) на старых линейках с низкой абонплатой (~20 тыс.) и дорогим сопровождением; ARPU когорты 18 500 сум.</t>
  </si>
  <si>
    <t xml:space="preserve">Цель и метрика успеха</t>
  </si>
  <si>
    <t xml:space="preserve">ARPU архивной когорты +5% за 12 мес. после старта; доп. отток ≤ 5%; −30% тарифных кодов.</t>
  </si>
  <si>
    <t xml:space="preserve">Целевой сегмент</t>
  </si>
  <si>
    <t xml:space="preserve">Абоненты неэффективных архивных линеек (без соцгруппы ж 55+, м 60+); список — из анализа D3.</t>
  </si>
  <si>
    <t xml:space="preserve">Что делаем (механика)</t>
  </si>
  <si>
    <t xml:space="preserve">T−60: «выберите сами» + бонус Loyalty; T−15: уведомление (было → стало); T0: перевод на ближайший ТП +10–15%; T+30: right-size. Две волны: апр и июл 2027.</t>
  </si>
  <si>
    <t xml:space="preserve">Почему сработает (бенчмарки, данные)</t>
  </si>
  <si>
    <t xml:space="preserve">T-Mobile (grandfathered → новые планы), Airtel, Telenor (ARPU +4%), РФ (индексация архива). Ucell 02/2026 — естественный эксперимент.</t>
  </si>
  <si>
    <t xml:space="preserve">Гипотеза: «Если…, то…, потому что…»</t>
  </si>
  <si>
    <t xml:space="preserve">Если перевести неэффективные линейки на ТП +10–15% с большим объёмом и бесплатной сменой, то ARPU когорты вырастет на ~5–6%, потому что ≥85% останутся на новом ТП.</t>
  </si>
  <si>
    <t xml:space="preserve">Срок запуска и ключевые этапы</t>
  </si>
  <si>
    <t xml:space="preserve">Mapping и биллинг: дек 2026 – мар 2027; волна 1 — апр 2027; разбор — май; волна 2 — июл 2027.</t>
  </si>
  <si>
    <t xml:space="preserve">Ключевые риски и как снижаем</t>
  </si>
  <si>
    <t xml:space="preserve">Регулятор (15 дней, социсключение, досье); отток (волны, контроль 5%); нагрузка на КЦ (скрипты, самообслуживание).</t>
  </si>
  <si>
    <t xml:space="preserve">Какое решение нужно от руководителя</t>
  </si>
  <si>
    <t xml:space="preserve">Согласовать направление и передать в финансы для бизнес-кейса; выделить ресурс биллинга на mapping.</t>
  </si>
  <si>
    <t xml:space="preserve">2. ДРАЙВЕРЫ ДЛЯ ФИНАНСОВ (каждое число — с источником и уверенностью)</t>
  </si>
  <si>
    <t xml:space="preserve">Параметр</t>
  </si>
  <si>
    <t xml:space="preserve">База</t>
  </si>
  <si>
    <t xml:space="preserve">Пессимист</t>
  </si>
  <si>
    <t xml:space="preserve">Оптимист</t>
  </si>
  <si>
    <t xml:space="preserve">Ед.</t>
  </si>
  <si>
    <t xml:space="preserve">Источник / как получено</t>
  </si>
  <si>
    <t xml:space="preserve">Кто даёт данные</t>
  </si>
  <si>
    <t xml:space="preserve">Размер целевой группы</t>
  </si>
  <si>
    <t xml:space="preserve">абон.</t>
  </si>
  <si>
    <t xml:space="preserve">Гипотеза: 30% когорты; факт — D1/D3</t>
  </si>
  <si>
    <t xml:space="preserve">Аналитика</t>
  </si>
  <si>
    <t xml:space="preserve">Охват коммуникацией</t>
  </si>
  <si>
    <t xml:space="preserve">%</t>
  </si>
  <si>
    <t xml:space="preserve">Продукт</t>
  </si>
  <si>
    <t xml:space="preserve">Принимают предложение / остаются на новом условии</t>
  </si>
  <si>
    <t xml:space="preserve">1 − даунгрейд − отток</t>
  </si>
  <si>
    <t xml:space="preserve">Аналитика / пилот</t>
  </si>
  <si>
    <t xml:space="preserve">Каннибализация (сделали бы и без нас)</t>
  </si>
  <si>
    <t xml:space="preserve">Прирост платежа на принявшего, с НДС</t>
  </si>
  <si>
    <t xml:space="preserve">сум/мес</t>
  </si>
  <si>
    <t xml:space="preserve">+12,5% к ~20 тыс. + апсейл 12% × 10 тыс.</t>
  </si>
  <si>
    <t xml:space="preserve">Продукт / прайсинг</t>
  </si>
  <si>
    <t xml:space="preserve">Доля даунгрейда (уходят на ТП дешевле)</t>
  </si>
  <si>
    <t xml:space="preserve">Бенчмарки; калибровка D7</t>
  </si>
  <si>
    <t xml:space="preserve">Аналитика (D7)</t>
  </si>
  <si>
    <t xml:space="preserve">Потеря платежа при даунгрейде, с НДС</t>
  </si>
  <si>
    <t xml:space="preserve">Доп. отток из-за инициативы</t>
  </si>
  <si>
    <t xml:space="preserve">AT&amp;T/T-Mobile/Индия; D7</t>
  </si>
  <si>
    <t xml:space="preserve">Платёж уходящих, с НДС</t>
  </si>
  <si>
    <t xml:space="preserve">Месяц старта эффекта (1 = первый месяц программы)</t>
  </si>
  <si>
    <t xml:space="preserve">мес.</t>
  </si>
  <si>
    <t xml:space="preserve">Месяцев до полного эффекта</t>
  </si>
  <si>
    <t xml:space="preserve">Разовые затраты (CAPEX / внедрение)</t>
  </si>
  <si>
    <t xml:space="preserve">сум</t>
  </si>
  <si>
    <t xml:space="preserve">Оценка биллинга (запросить)</t>
  </si>
  <si>
    <t xml:space="preserve">IT / биллинг / маркетинг</t>
  </si>
  <si>
    <t xml:space="preserve">Постоянные затраты в месяц (OPEX)</t>
  </si>
  <si>
    <t xml:space="preserve">OPEX 30 млн − экономия сопровождения ~60 млн</t>
  </si>
  <si>
    <t xml:space="preserve">Владельцы затрат</t>
  </si>
  <si>
    <t xml:space="preserve">Переменные затраты на принявшего</t>
  </si>
  <si>
    <t xml:space="preserve">Сеть / финансы</t>
  </si>
  <si>
    <t xml:space="preserve">Маржинальность доп. выручки</t>
  </si>
  <si>
    <t xml:space="preserve">Финансы</t>
  </si>
  <si>
    <t xml:space="preserve">База для ΔARPU: абонентов</t>
  </si>
  <si>
    <t xml:space="preserve">Архивная когорта T0</t>
  </si>
  <si>
    <t xml:space="preserve">База для ΔARPU: ARPU без НДС</t>
  </si>
  <si>
    <t xml:space="preserve">3. БЫСТРЫЙ РАСЧЁТ (sanity-check до финмодели; финансы уточнят NPV, налоги, амортизацию)</t>
  </si>
  <si>
    <t xml:space="preserve">Показатель</t>
  </si>
  <si>
    <t xml:space="preserve">Как считается</t>
  </si>
  <si>
    <t xml:space="preserve">Принявших, абон.</t>
  </si>
  <si>
    <t xml:space="preserve">Размер × охват × принятие × (1 − каннибализация)</t>
  </si>
  <si>
    <t xml:space="preserve">Даунгрейд, абон.</t>
  </si>
  <si>
    <t xml:space="preserve">Размер × доля даунгрейда</t>
  </si>
  <si>
    <t xml:space="preserve">Ушедших, абон.</t>
  </si>
  <si>
    <t xml:space="preserve">Размер × доп. отток</t>
  </si>
  <si>
    <t xml:space="preserve">Доп. выручка в месяц при полном эффекте, без НДС</t>
  </si>
  <si>
    <t xml:space="preserve">(Принявшие × прирост − даунгрейд × потеря − ушедшие × платёж) / (1 + НДС)</t>
  </si>
  <si>
    <t xml:space="preserve">Месяцев эффекта в 1-й год</t>
  </si>
  <si>
    <t xml:space="preserve">12 − месяц старта + 1</t>
  </si>
  <si>
    <t xml:space="preserve">Эффективных месяцев в 1-й год (с набором)</t>
  </si>
  <si>
    <t xml:space="preserve">Учитывает линейный набор эффекта</t>
  </si>
  <si>
    <t xml:space="preserve">Месяцев эффекта за 24 мес.</t>
  </si>
  <si>
    <t xml:space="preserve">24 − месяц старта + 1</t>
  </si>
  <si>
    <t xml:space="preserve">Эффективных месяцев за 24 мес.</t>
  </si>
  <si>
    <t xml:space="preserve">Доп. выручка за 1-й год</t>
  </si>
  <si>
    <t xml:space="preserve">Месячная × эффективные месяцы</t>
  </si>
  <si>
    <t xml:space="preserve">Доп. выручка за 24 мес.</t>
  </si>
  <si>
    <t xml:space="preserve">Затраты за 24 мес.</t>
  </si>
  <si>
    <t xml:space="preserve">CAPEX + OPEX × месяцы + перем. × принявшие × эфф. месяцы</t>
  </si>
  <si>
    <t xml:space="preserve">Вклад за 24 мес. (маржа − затраты)</t>
  </si>
  <si>
    <t xml:space="preserve">Выручка × маржа − затраты</t>
  </si>
  <si>
    <t xml:space="preserve">Окупаемость CAPEX после старта</t>
  </si>
  <si>
    <t xml:space="preserve">CAPEX / месячный вклад при полном эффекте</t>
  </si>
  <si>
    <t xml:space="preserve">ROI за 24 мес.</t>
  </si>
  <si>
    <t xml:space="preserve">x</t>
  </si>
  <si>
    <t xml:space="preserve">Вклад / затраты</t>
  </si>
  <si>
    <t xml:space="preserve">ΔARPU базы при полном эффекте</t>
  </si>
  <si>
    <t xml:space="preserve">Месячная выручка / (база × ARPU базы)</t>
  </si>
  <si>
    <t xml:space="preserve">Run-rate доп. выручки в год, USD</t>
  </si>
  <si>
    <t xml:space="preserve">$</t>
  </si>
  <si>
    <t xml:space="preserve">Месячная × 12 / курс</t>
  </si>
  <si>
    <t xml:space="preserve">4. ЧТО НУЖНО ОТ ФИНАНСОВ</t>
  </si>
  <si>
    <t xml:space="preserve">Вопрос / задача</t>
  </si>
  <si>
    <t xml:space="preserve">Комментарий</t>
  </si>
  <si>
    <t xml:space="preserve">Ставка дисконтирования (WACC) и горизонт для NPV / IRR</t>
  </si>
  <si>
    <t xml:space="preserve">Не начато</t>
  </si>
  <si>
    <t xml:space="preserve">Амортизация CAPEX, налог на прибыль, НДС в расчётах</t>
  </si>
  <si>
    <t xml:space="preserve">Аллокация общих затрат (сеть, IT, КЦ) — что считаем инкрементальным</t>
  </si>
  <si>
    <t xml:space="preserve">Учёт по МСФО (IFRS 15 — бонусы / кэшбэк / лояльность)</t>
  </si>
  <si>
    <t xml:space="preserve">Сценарии (пессимист / база / оптимист) и анализ чувствительности</t>
  </si>
  <si>
    <t xml:space="preserve">Валютный риск (закупка призов и оборудования в USD)</t>
  </si>
  <si>
    <t xml:space="preserve">5. KPI, КРИТЕРИИ УСПЕХА И СТОП-КРИТЕРИИ</t>
  </si>
  <si>
    <t xml:space="preserve">KPI</t>
  </si>
  <si>
    <t xml:space="preserve">Цель</t>
  </si>
  <si>
    <t xml:space="preserve">Стоп-критерий</t>
  </si>
  <si>
    <t xml:space="preserve">ΔARPU мигрантов vs контроль</t>
  </si>
  <si>
    <t xml:space="preserve">≥ +2 000 сум</t>
  </si>
  <si>
    <t xml:space="preserve">&lt; +500 сум</t>
  </si>
  <si>
    <t xml:space="preserve">Доп. отток волны</t>
  </si>
  <si>
    <t xml:space="preserve">≤ 4%</t>
  </si>
  <si>
    <t xml:space="preserve">&gt; 6%</t>
  </si>
  <si>
    <t xml:space="preserve">Закрыто тарифных кодов</t>
  </si>
  <si>
    <t xml:space="preserve">−30%</t>
  </si>
  <si>
    <t xml:space="preserve">—</t>
  </si>
  <si>
    <t xml:space="preserve">6. ГОТОВНОСТЬ К ПЕРЕДАЧЕ ФИНАНСАМ (Definition of Ready)</t>
  </si>
  <si>
    <t xml:space="preserve">Пункт</t>
  </si>
  <si>
    <t xml:space="preserve">Да / Нет</t>
  </si>
  <si>
    <t xml:space="preserve">Проблема и цель подтверждены данными, а не только гипотезой</t>
  </si>
  <si>
    <t xml:space="preserve">Да</t>
  </si>
  <si>
    <t xml:space="preserve">Размер целевой группы взят из выгрузки аналитиков</t>
  </si>
  <si>
    <t xml:space="preserve">У каждого драйвера указан источник и уровень уверенности</t>
  </si>
  <si>
    <t xml:space="preserve">Заполнены пессимистичный и оптимистичный сценарии</t>
  </si>
  <si>
    <t xml:space="preserve">CAPEX / OPEX оценены владельцами (IT, биллинг, маркетинг)</t>
  </si>
  <si>
    <t xml:space="preserve">Юридическая проверка пройдена или запрошена</t>
  </si>
  <si>
    <t xml:space="preserve">Нет</t>
  </si>
  <si>
    <t xml:space="preserve">Определены KPI, контрольная группа и стоп-критерии</t>
  </si>
  <si>
    <t xml:space="preserve">Таймлайн согласован с IT / биллингом</t>
  </si>
  <si>
    <t xml:space="preserve">Руководитель видел одностраничник и согласен с направлением</t>
  </si>
  <si>
    <t xml:space="preserve">Сформирован список вопросов к финансам</t>
  </si>
  <si>
    <t xml:space="preserve">Готовность</t>
  </si>
  <si>
    <t xml:space="preserve">Карточка инициативы · I2</t>
  </si>
  <si>
    <t xml:space="preserve">I2 More-for-More для когорты недооценённых линеек</t>
  </si>
  <si>
    <t xml:space="preserve">Готово к финансам</t>
  </si>
  <si>
    <t xml:space="preserve">~22% архивной базы (~775 тыс.) используют пакет полностью, но платят ниже актуальной линейки на 4–6 тыс. сум.</t>
  </si>
  <si>
    <t xml:space="preserve">ARPU когорты +4% за 12 мес.; даунгрейд ≤ 12%; доп. отток ≤ 3%; жалобы ≤ 2× нормы.</t>
  </si>
  <si>
    <t xml:space="preserve">Недооценённые архивные линейки (использование пакета ≥ 60%), без соцгруппы и без ТП волны 02/2026.</t>
  </si>
  <si>
    <t xml:space="preserve">+4 000…6 000 сум к абонплате + больше ГБ; бесплатный right-size рядом; уведомление ≥ 15 дней; пилот 10% с holdout → масштаб.</t>
  </si>
  <si>
    <t xml:space="preserve">РФ (+10–20% на архиве), AT&amp;T, T-Mobile, Индия, Казахстан; Ucell 02/2026 (+5 000 с +ГБ).</t>
  </si>
  <si>
    <t xml:space="preserve">Если поднять абонплату на 4–6 тыс. с добавлением ГБ и дать бесплатную альтернативу, то ≥ 85% останутся, потому что ценность пакета растёт и цена ниже актуальной линейки.</t>
  </si>
  <si>
    <t xml:space="preserve">Пилот 10% — дек 2026; разбор — 27.01.2027; масштаб — фев 2027.</t>
  </si>
  <si>
    <t xml:space="preserve">Комитет по конкуренции (точечность, досье); негатив «ненужные ГБ» (right-size); отток (стоп-критерий 1,5 п.п.).</t>
  </si>
  <si>
    <t xml:space="preserve">Утвердить пилот 10% в декабре и передать драйверы в финансы.</t>
  </si>
  <si>
    <t xml:space="preserve">Гипотеза: 22% когорты; факт — D3</t>
  </si>
  <si>
    <t xml:space="preserve">Решение по прайсу</t>
  </si>
  <si>
    <t xml:space="preserve">Бенчмарки; D7</t>
  </si>
  <si>
    <t xml:space="preserve">Маркетинг + КЦ + юр.</t>
  </si>
  <si>
    <t xml:space="preserve">ΔARPU vs holdout</t>
  </si>
  <si>
    <t xml:space="preserve">≥ +3%</t>
  </si>
  <si>
    <t xml:space="preserve">&lt; +1%</t>
  </si>
  <si>
    <t xml:space="preserve">Отток тест − контроль</t>
  </si>
  <si>
    <t xml:space="preserve">≤ 1,5 п.п.</t>
  </si>
  <si>
    <t xml:space="preserve">&gt; 1,5 п.п. за 45 дней</t>
  </si>
  <si>
    <t xml:space="preserve">Жалобы</t>
  </si>
  <si>
    <t xml:space="preserve">≤ 2× нормы</t>
  </si>
  <si>
    <t xml:space="preserve">&gt; 2× нормы</t>
  </si>
  <si>
    <t xml:space="preserve">Карточка инициативы · I3</t>
  </si>
  <si>
    <t xml:space="preserve">I3 Бустер при исчерпании трафика + роуминг-пакет по акции</t>
  </si>
  <si>
    <t xml:space="preserve">~15% архивной базы исчерпывают пакет до конца месяца; ~6% выезжают за рубеж (мигранты) и теряют связь / номер.</t>
  </si>
  <si>
    <t xml:space="preserve">+57 тыс. платящих за бустер / роуминг-пакет; LTV/CAC ≥ 5.</t>
  </si>
  <si>
    <t xml:space="preserve">Исчерпывающие пакет (D3/D5) + абоненты с роумингом / международными звонками (D9).</t>
  </si>
  <si>
    <t xml:space="preserve">Триггер «осталось 20% / 0%» → +5 ГБ в 1 клик (автопродление только по согласию); «Musofir» −50% первый месяц.</t>
  </si>
  <si>
    <t xml:space="preserve">Flytxt (+8% ARPU на контекстных офферах), бустеры Jio/Airtel; переводы мигрантов $18,9 млрд (2025).</t>
  </si>
  <si>
    <t xml:space="preserve">Если предложить пакет в момент исчерпания / выезда, то ≥ 10% купят, потому что потребность возникает прямо сейчас.</t>
  </si>
  <si>
    <t xml:space="preserve">Запуск A/B — дек 2026; масштаб — фев 2027.</t>
  </si>
  <si>
    <t xml:space="preserve">Навязчивость (лимит 2 касания/мес., opt-in); каннибализация (holdout).</t>
  </si>
  <si>
    <t xml:space="preserve">Утвердить запуск A/B в декабре.</t>
  </si>
  <si>
    <t xml:space="preserve">Исчерпывающие 528 тыс. + роуминг 211 тыс.</t>
  </si>
  <si>
    <t xml:space="preserve">A/B в декабре</t>
  </si>
  <si>
    <t xml:space="preserve">Доля докупающих сами (D5)</t>
  </si>
  <si>
    <t xml:space="preserve">Бустер 85%, роуминг 60% (оптовые затраты)</t>
  </si>
  <si>
    <t xml:space="preserve">Конверсия vs holdout</t>
  </si>
  <si>
    <t xml:space="preserve">+6 п.п.</t>
  </si>
  <si>
    <t xml:space="preserve">&lt; +2 п.п.</t>
  </si>
  <si>
    <t xml:space="preserve">Отписки от предложений</t>
  </si>
  <si>
    <t xml:space="preserve">≤ 2%</t>
  </si>
  <si>
    <t xml:space="preserve">&gt; 5%</t>
  </si>
  <si>
    <t xml:space="preserve">LTV/CAC</t>
  </si>
  <si>
    <t xml:space="preserve">≥ 5</t>
  </si>
  <si>
    <t xml:space="preserve">&lt; 2</t>
  </si>
  <si>
    <t xml:space="preserve">Карточка инициативы · I4</t>
  </si>
  <si>
    <t xml:space="preserve">I4 Ucell Club — программа лояльности (MVP → масштаб)</t>
  </si>
  <si>
    <t xml:space="preserve">Нет программы, поощряющей оплату вовремя и стаж; у конкурентов есть (Beeline BEEP, Mobiuz Bonus, розыгрыши авто).</t>
  </si>
  <si>
    <t xml:space="preserve">Оплата вовремя +2 п.п., отток участников −10%, переходы на ТП ≥ 60 тыс. +0,3 п.п./мес.; стоимость ≤ 1 900 сум на участника.</t>
  </si>
  <si>
    <t xml:space="preserve">Пользователи приложения (~1,5 млн при масштабе), из них ~20% архивные; MVP — 150 тыс.</t>
  </si>
  <si>
    <t xml:space="preserve">Кэшбэк 3–5% за оплату вовремя; сундук каждый день; Weekly Wins (1 354 приза); Monthly Grand (авто, путешествия, умра) в прямом эфире.</t>
  </si>
  <si>
    <t xml:space="preserve">Verizon Dollars 3% + Shine; T-Mobile Tuesdays (−27% оттока участников); Simon-Kucher: +43% CLTV у участников.</t>
  </si>
  <si>
    <t xml:space="preserve">Если давать кэшбэк за оплату вовремя и ежедневный гарантированный приз, то оплаты вовремя и удержание вырастут, потому что появится привычка и потеря при уходе.</t>
  </si>
  <si>
    <t xml:space="preserve">Разработка MVP — дек–фев; MVP — мар–май 2027; решение — 15.06.2027; масштаб — сен 2027.</t>
  </si>
  <si>
    <t xml:space="preserve">Не окупается (MVP + стоп-правила); «никто не выигрывает» (массовые призы); юр. риск розыгрышей (без платы за шанс).</t>
  </si>
  <si>
    <t xml:space="preserve">Утвердить бюджет MVP 3,5 млрд сум; масштаб — по итогам MVP.</t>
  </si>
  <si>
    <t xml:space="preserve">Участники при масштабе (MAU × вступление)</t>
  </si>
  <si>
    <t xml:space="preserve">Упрощённо: эффект на участника в стационаре (удержание + оплата вовремя + переходы + допродажи + Pass); полная модель — v2/model</t>
  </si>
  <si>
    <t xml:space="preserve">MVP 1,8 + масштаб 3,0 + маркетинг запуска 1,75 млрд</t>
  </si>
  <si>
    <t xml:space="preserve">Призы (инвентарь + Weekly + Grand) + команда + маркетинг</t>
  </si>
  <si>
    <t xml:space="preserve">Кэшбэк + цифровые призы сундука</t>
  </si>
  <si>
    <t xml:space="preserve">ΔARPU — по участникам программы</t>
  </si>
  <si>
    <t xml:space="preserve">Оплата вовремя vs holdout</t>
  </si>
  <si>
    <t xml:space="preserve">+2 п.п.</t>
  </si>
  <si>
    <t xml:space="preserve">&lt; +0,5 п.п.</t>
  </si>
  <si>
    <t xml:space="preserve">DAU сундука / участники</t>
  </si>
  <si>
    <t xml:space="preserve">≥ 25%</t>
  </si>
  <si>
    <t xml:space="preserve">&lt; 15%</t>
  </si>
  <si>
    <t xml:space="preserve">Стоимость на участника</t>
  </si>
  <si>
    <t xml:space="preserve">≤ 1 900 сум/мес</t>
  </si>
  <si>
    <t xml:space="preserve">&gt; 2 500 сум/мес</t>
  </si>
  <si>
    <t xml:space="preserve">Карточка инициативы · Пустой шаблон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</si>
</sst>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%;\(0.00%\);\-"/>
    <numFmt numFmtId="169" formatCode="#,##0"/>
    <numFmt numFmtId="170" formatCode="0.0\x;\(0.0&quot;x)&quot;;\-"/>
    <numFmt numFmtId="171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Вклад за 24 мес., сум: пессимист / база / оптимист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Портфель!F8</c:f>
              <c:strCache>
                <c:ptCount val="1"/>
                <c:pt idx="0">
                  <c:v>Вклад 24м: база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Портфель!$A$9:$A$12</c:f>
              <c:strCache>
                <c:ptCount val="4"/>
                <c:pt idx="0">
                  <c:v>I1</c:v>
                </c:pt>
                <c:pt idx="1">
                  <c:v>I2</c:v>
                </c:pt>
                <c:pt idx="2">
                  <c:v>I3</c:v>
                </c:pt>
                <c:pt idx="3">
                  <c:v>I4</c:v>
                </c:pt>
              </c:strCache>
            </c:strRef>
          </c:cat>
          <c:val>
            <c:numRef>
              <c:f>Портфель!$F$9:$F$12</c:f>
              <c:numCache>
                <c:formatCode>#,##0;\(#,##0\);\-</c:formatCode>
                <c:ptCount val="4"/>
                <c:pt idx="0">
                  <c:v>36978640000</c:v>
                </c:pt>
                <c:pt idx="1">
                  <c:v>48178816457.1429</c:v>
                </c:pt>
                <c:pt idx="2">
                  <c:v>5379427963.44</c:v>
                </c:pt>
                <c:pt idx="3">
                  <c:v>-475559464.285721</c:v>
                </c:pt>
              </c:numCache>
            </c:numRef>
          </c:val>
        </c:ser>
        <c:ser>
          <c:idx val="1"/>
          <c:order val="1"/>
          <c:tx>
            <c:strRef>
              <c:f>Портфель!G8</c:f>
              <c:strCache>
                <c:ptCount val="1"/>
                <c:pt idx="0">
                  <c:v>Вклад 24м: пессимист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Портфель!$A$9:$A$12</c:f>
              <c:strCache>
                <c:ptCount val="4"/>
                <c:pt idx="0">
                  <c:v>I1</c:v>
                </c:pt>
                <c:pt idx="1">
                  <c:v>I2</c:v>
                </c:pt>
                <c:pt idx="2">
                  <c:v>I3</c:v>
                </c:pt>
                <c:pt idx="3">
                  <c:v>I4</c:v>
                </c:pt>
              </c:strCache>
            </c:strRef>
          </c:cat>
          <c:val>
            <c:numRef>
              <c:f>Портфель!$G$9:$G$12</c:f>
              <c:numCache>
                <c:formatCode>#,##0;\(#,##0\);\-</c:formatCode>
                <c:ptCount val="4"/>
                <c:pt idx="0">
                  <c:v>-6927150000</c:v>
                </c:pt>
                <c:pt idx="1">
                  <c:v>3152667428.57143</c:v>
                </c:pt>
                <c:pt idx="2">
                  <c:v>157114285.714286</c:v>
                </c:pt>
                <c:pt idx="3">
                  <c:v>-26783482142.8571</c:v>
                </c:pt>
              </c:numCache>
            </c:numRef>
          </c:val>
        </c:ser>
        <c:ser>
          <c:idx val="2"/>
          <c:order val="2"/>
          <c:tx>
            <c:strRef>
              <c:f>Портфель!H8</c:f>
              <c:strCache>
                <c:ptCount val="1"/>
                <c:pt idx="0">
                  <c:v>Вклад 24м: оптимист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Портфель!$A$9:$A$12</c:f>
              <c:strCache>
                <c:ptCount val="4"/>
                <c:pt idx="0">
                  <c:v>I1</c:v>
                </c:pt>
                <c:pt idx="1">
                  <c:v>I2</c:v>
                </c:pt>
                <c:pt idx="2">
                  <c:v>I3</c:v>
                </c:pt>
                <c:pt idx="3">
                  <c:v>I4</c:v>
                </c:pt>
              </c:strCache>
            </c:strRef>
          </c:cat>
          <c:val>
            <c:numRef>
              <c:f>Портфель!$H$9:$H$12</c:f>
              <c:numCache>
                <c:formatCode>#,##0;\(#,##0\);\-</c:formatCode>
                <c:ptCount val="4"/>
                <c:pt idx="0">
                  <c:v>124462920000</c:v>
                </c:pt>
                <c:pt idx="1">
                  <c:v>93735321428.5714</c:v>
                </c:pt>
                <c:pt idx="2">
                  <c:v>22450827857.1429</c:v>
                </c:pt>
                <c:pt idx="3">
                  <c:v>40699107142.8571</c:v>
                </c:pt>
              </c:numCache>
            </c:numRef>
          </c:val>
        </c:ser>
        <c:gapWidth val="150"/>
        <c:overlap val="0"/>
        <c:axId val="80178382"/>
        <c:axId val="25926579"/>
      </c:barChart>
      <c:catAx>
        <c:axId val="80178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26579"/>
        <c:crosses val="autoZero"/>
        <c:auto val="1"/>
        <c:lblAlgn val="ctr"/>
        <c:lblOffset val="100"/>
        <c:noMultiLvlLbl val="0"/>
      </c:catAx>
      <c:valAx>
        <c:axId val="25926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78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160560</xdr:rowOff>
    </xdr:from>
    <xdr:to>
      <xdr:col>4</xdr:col>
      <xdr:colOff>807480</xdr:colOff>
      <xdr:row>32</xdr:row>
      <xdr:rowOff>161640</xdr:rowOff>
    </xdr:to>
    <xdr:graphicFrame>
      <xdr:nvGraphicFramePr>
        <xdr:cNvPr id="0" name="Chart 1"/>
        <xdr:cNvGraphicFramePr/>
      </xdr:nvGraphicFramePr>
      <xdr:xfrm>
        <a:off x="0" y="42670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9" min="5" style="0" width="18"/>
    <col collapsed="false" customWidth="true" hidden="false" outlineLevel="0" max="13" min="10" style="0" width="12"/>
    <col collapsed="false" customWidth="true" hidden="false" outlineLevel="0" max="14" min="14" style="0" width="11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5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15" hidden="false" customHeight="false" outlineLevel="0" collapsed="false">
      <c r="A3" s="7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8" t="s">
        <v>16</v>
      </c>
      <c r="B4" s="9" t="n">
        <v>12100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8" t="s">
        <v>17</v>
      </c>
      <c r="B5" s="10" t="n">
        <v>0.12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45" hidden="false" customHeight="true" outlineLevel="0" collapsed="false">
      <c r="A8" s="11" t="s">
        <v>18</v>
      </c>
      <c r="B8" s="11" t="s">
        <v>19</v>
      </c>
      <c r="C8" s="11" t="s">
        <v>20</v>
      </c>
      <c r="D8" s="11" t="s">
        <v>21</v>
      </c>
      <c r="E8" s="11" t="s">
        <v>22</v>
      </c>
      <c r="F8" s="11" t="s">
        <v>23</v>
      </c>
      <c r="G8" s="11" t="s">
        <v>24</v>
      </c>
      <c r="H8" s="11" t="s">
        <v>25</v>
      </c>
      <c r="I8" s="11" t="s">
        <v>26</v>
      </c>
      <c r="J8" s="11" t="s">
        <v>27</v>
      </c>
      <c r="K8" s="11" t="s">
        <v>28</v>
      </c>
      <c r="L8" s="11" t="s">
        <v>29</v>
      </c>
      <c r="M8" s="11" t="s">
        <v>30</v>
      </c>
      <c r="N8" s="11" t="s">
        <v>31</v>
      </c>
      <c r="O8" s="11" t="s">
        <v>32</v>
      </c>
    </row>
    <row r="9" customFormat="false" ht="31.5" hidden="false" customHeight="true" outlineLevel="0" collapsed="false">
      <c r="A9" s="8" t="s">
        <v>33</v>
      </c>
      <c r="B9" s="12" t="str">
        <f aca="false">I1!B5</f>
        <v>I1 Sunset / Migration старых неэффективных линеек → ТП дороже на 10–15%</v>
      </c>
      <c r="C9" s="13" t="str">
        <f aca="false">I1!B8</f>
        <v>Discovery</v>
      </c>
      <c r="D9" s="14" t="n">
        <f aca="false">I1!B30</f>
        <v>6</v>
      </c>
      <c r="E9" s="14" t="n">
        <f aca="false">I1!B49</f>
        <v>14744022857.1429</v>
      </c>
      <c r="F9" s="14" t="n">
        <f aca="false">I1!B52</f>
        <v>36978640000</v>
      </c>
      <c r="G9" s="14" t="n">
        <f aca="false">I1!C52</f>
        <v>-6927150000</v>
      </c>
      <c r="H9" s="14" t="n">
        <f aca="false">I1!D52</f>
        <v>124462920000</v>
      </c>
      <c r="I9" s="14" t="n">
        <f aca="false">I1!B32</f>
        <v>5000000000</v>
      </c>
      <c r="J9" s="15" t="n">
        <f aca="false">I1!B53</f>
        <v>2.08439339626057</v>
      </c>
      <c r="K9" s="16" t="n">
        <f aca="false">I1!B55</f>
        <v>0.0411660231660232</v>
      </c>
      <c r="L9" s="17" t="s">
        <v>34</v>
      </c>
      <c r="M9" s="9" t="n">
        <v>4</v>
      </c>
      <c r="N9" s="18" t="n">
        <f aca="false">F9/1000000000*IF(L9="Высокая",1,IF(L9="Средняя",0.7,0.4))/MAX(1,M9)</f>
        <v>6.471262</v>
      </c>
      <c r="O9" s="19" t="n">
        <f aca="false">I1!B85</f>
        <v>0.5</v>
      </c>
    </row>
    <row r="10" customFormat="false" ht="31.5" hidden="false" customHeight="true" outlineLevel="0" collapsed="false">
      <c r="A10" s="8" t="s">
        <v>35</v>
      </c>
      <c r="B10" s="12" t="str">
        <f aca="false">I2!B5</f>
        <v>I2 More-for-More для когорты недооценённых линеек</v>
      </c>
      <c r="C10" s="13" t="str">
        <f aca="false">I2!B8</f>
        <v>Готово к финансам</v>
      </c>
      <c r="D10" s="14" t="n">
        <f aca="false">I2!B30</f>
        <v>2</v>
      </c>
      <c r="E10" s="14" t="n">
        <f aca="false">I2!B49</f>
        <v>25017268571.4286</v>
      </c>
      <c r="F10" s="14" t="n">
        <f aca="false">I2!B52</f>
        <v>48178816457.1429</v>
      </c>
      <c r="G10" s="14" t="n">
        <f aca="false">I2!C52</f>
        <v>3152667428.57143</v>
      </c>
      <c r="H10" s="14" t="n">
        <f aca="false">I2!D52</f>
        <v>93735321428.5714</v>
      </c>
      <c r="I10" s="14" t="n">
        <f aca="false">I2!B32</f>
        <v>300000000</v>
      </c>
      <c r="J10" s="15" t="n">
        <f aca="false">I2!B53</f>
        <v>0.136085795121047</v>
      </c>
      <c r="K10" s="16" t="n">
        <f aca="false">I2!B55</f>
        <v>0.0384171814671815</v>
      </c>
      <c r="L10" s="17" t="s">
        <v>36</v>
      </c>
      <c r="M10" s="9" t="n">
        <v>1</v>
      </c>
      <c r="N10" s="18" t="n">
        <f aca="false">F10/1000000000*IF(L10="Высокая",1,IF(L10="Средняя",0.7,0.4))/MAX(1,M10)</f>
        <v>48.1788164571429</v>
      </c>
      <c r="O10" s="19" t="n">
        <f aca="false">I2!B85</f>
        <v>0.8</v>
      </c>
    </row>
    <row r="11" customFormat="false" ht="31.5" hidden="false" customHeight="true" outlineLevel="0" collapsed="false">
      <c r="A11" s="8" t="s">
        <v>37</v>
      </c>
      <c r="B11" s="12" t="str">
        <f aca="false">I3!B5</f>
        <v>I3 Бустер при исчерпании трафика + роуминг-пакет по акции</v>
      </c>
      <c r="C11" s="13" t="str">
        <f aca="false">I3!B8</f>
        <v>Готово к финансам</v>
      </c>
      <c r="D11" s="14" t="n">
        <f aca="false">I3!B30</f>
        <v>2</v>
      </c>
      <c r="E11" s="14" t="n">
        <f aca="false">I3!B49</f>
        <v>4107583700</v>
      </c>
      <c r="F11" s="14" t="n">
        <f aca="false">I3!B52</f>
        <v>5379427963.44</v>
      </c>
      <c r="G11" s="14" t="n">
        <f aca="false">I3!C52</f>
        <v>157114285.714286</v>
      </c>
      <c r="H11" s="14" t="n">
        <f aca="false">I3!D52</f>
        <v>22450827857.1429</v>
      </c>
      <c r="I11" s="14" t="n">
        <f aca="false">I3!B32</f>
        <v>500000000</v>
      </c>
      <c r="J11" s="15" t="n">
        <f aca="false">I3!B53</f>
        <v>1.86458756139906</v>
      </c>
      <c r="K11" s="16" t="n">
        <f aca="false">I3!B55</f>
        <v>0.00630771452702703</v>
      </c>
      <c r="L11" s="17" t="s">
        <v>36</v>
      </c>
      <c r="M11" s="9" t="n">
        <v>2</v>
      </c>
      <c r="N11" s="18" t="n">
        <f aca="false">F11/1000000000*IF(L11="Высокая",1,IF(L11="Средняя",0.7,0.4))/MAX(1,M11)</f>
        <v>2.68971398172</v>
      </c>
      <c r="O11" s="19" t="n">
        <f aca="false">I3!B85</f>
        <v>0.7</v>
      </c>
    </row>
    <row r="12" customFormat="false" ht="31.5" hidden="false" customHeight="true" outlineLevel="0" collapsed="false">
      <c r="A12" s="8" t="s">
        <v>38</v>
      </c>
      <c r="B12" s="12" t="str">
        <f aca="false">I4!B5</f>
        <v>I4 Ucell Club — программа лояльности (MVP → масштаб)</v>
      </c>
      <c r="C12" s="13" t="str">
        <f aca="false">I4!B8</f>
        <v>Discovery</v>
      </c>
      <c r="D12" s="14" t="n">
        <f aca="false">I4!B30</f>
        <v>11</v>
      </c>
      <c r="E12" s="14" t="n">
        <f aca="false">I4!B49</f>
        <v>1988839285.71429</v>
      </c>
      <c r="F12" s="14" t="n">
        <f aca="false">I4!B52</f>
        <v>-475559464.285721</v>
      </c>
      <c r="G12" s="14" t="n">
        <f aca="false">I4!C52</f>
        <v>-26783482142.8571</v>
      </c>
      <c r="H12" s="14" t="n">
        <f aca="false">I4!D52</f>
        <v>40699107142.8571</v>
      </c>
      <c r="I12" s="14" t="n">
        <f aca="false">I4!B32</f>
        <v>6500000000</v>
      </c>
      <c r="J12" s="15" t="n">
        <f aca="false">I4!B53</f>
        <v>8.56297716837401</v>
      </c>
      <c r="K12" s="16" t="n">
        <f aca="false">I4!B55</f>
        <v>0.0609750148779036</v>
      </c>
      <c r="L12" s="17" t="s">
        <v>39</v>
      </c>
      <c r="M12" s="9" t="n">
        <v>4</v>
      </c>
      <c r="N12" s="18" t="n">
        <f aca="false">F12/1000000000*IF(L12="Высокая",1,IF(L12="Средняя",0.7,0.4))/MAX(1,M12)</f>
        <v>-0.0475559464285721</v>
      </c>
      <c r="O12" s="19" t="n">
        <f aca="false">I4!B85</f>
        <v>0.4</v>
      </c>
    </row>
    <row r="13" customFormat="false" ht="15" hidden="false" customHeight="false" outlineLevel="0" collapsed="false">
      <c r="A13" s="6"/>
      <c r="B13" s="20" t="s">
        <v>40</v>
      </c>
      <c r="C13" s="6"/>
      <c r="D13" s="6"/>
      <c r="E13" s="21" t="n">
        <f aca="false">SUM(E9:E12)</f>
        <v>45857714414.2857</v>
      </c>
      <c r="F13" s="21" t="n">
        <f aca="false">SUM(F9:F12)</f>
        <v>90061324956.2971</v>
      </c>
      <c r="G13" s="21" t="n">
        <f aca="false">SUM(G9:G12)</f>
        <v>-30400850428.5714</v>
      </c>
      <c r="H13" s="21" t="n">
        <f aca="false">SUM(H9:H12)</f>
        <v>281348176428.571</v>
      </c>
      <c r="I13" s="21" t="n">
        <f aca="false">SUM(I9:I12)</f>
        <v>12300000000</v>
      </c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22" t="s">
        <v>41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dataValidations count="1">
    <dataValidation allowBlank="true" errorStyle="stop" operator="between" showDropDown="false" showErrorMessage="false" showInputMessage="false" sqref="L9:L12" type="list">
      <formula1>"Высокая,Средняя,Низкая"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5" t="s">
        <v>42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2" t="s">
        <v>43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3" t="s">
        <v>44</v>
      </c>
      <c r="B4" s="24"/>
      <c r="C4" s="24"/>
      <c r="D4" s="24"/>
      <c r="E4" s="24"/>
      <c r="F4" s="24"/>
      <c r="G4" s="24"/>
      <c r="H4" s="24"/>
    </row>
    <row r="5" customFormat="false" ht="19.5" hidden="false" customHeight="true" outlineLevel="0" collapsed="false">
      <c r="A5" s="25" t="s">
        <v>45</v>
      </c>
      <c r="B5" s="26" t="s">
        <v>46</v>
      </c>
      <c r="C5" s="26"/>
      <c r="D5" s="26"/>
      <c r="E5" s="26"/>
      <c r="F5" s="26"/>
      <c r="G5" s="26"/>
      <c r="H5" s="26"/>
    </row>
    <row r="6" customFormat="false" ht="19.5" hidden="false" customHeight="true" outlineLevel="0" collapsed="false">
      <c r="A6" s="25" t="s">
        <v>47</v>
      </c>
      <c r="B6" s="26" t="s">
        <v>48</v>
      </c>
      <c r="C6" s="26"/>
      <c r="D6" s="26"/>
      <c r="E6" s="26"/>
      <c r="F6" s="26"/>
      <c r="G6" s="26"/>
      <c r="H6" s="26"/>
    </row>
    <row r="7" customFormat="false" ht="19.5" hidden="false" customHeight="true" outlineLevel="0" collapsed="false">
      <c r="A7" s="25" t="s">
        <v>49</v>
      </c>
      <c r="B7" s="26" t="s">
        <v>50</v>
      </c>
      <c r="C7" s="26"/>
      <c r="D7" s="26"/>
      <c r="E7" s="26"/>
      <c r="F7" s="26"/>
      <c r="G7" s="26"/>
      <c r="H7" s="26"/>
    </row>
    <row r="8" customFormat="false" ht="19.5" hidden="false" customHeight="true" outlineLevel="0" collapsed="false">
      <c r="A8" s="25" t="s">
        <v>20</v>
      </c>
      <c r="B8" s="26" t="s">
        <v>51</v>
      </c>
      <c r="C8" s="26"/>
      <c r="D8" s="26"/>
      <c r="E8" s="26"/>
      <c r="F8" s="26"/>
      <c r="G8" s="26"/>
      <c r="H8" s="26"/>
    </row>
    <row r="9" customFormat="false" ht="45.75" hidden="false" customHeight="true" outlineLevel="0" collapsed="false">
      <c r="A9" s="25" t="s">
        <v>52</v>
      </c>
      <c r="B9" s="26" t="s">
        <v>53</v>
      </c>
      <c r="C9" s="26"/>
      <c r="D9" s="26"/>
      <c r="E9" s="26"/>
      <c r="F9" s="26"/>
      <c r="G9" s="26"/>
      <c r="H9" s="26"/>
    </row>
    <row r="10" customFormat="false" ht="45.75" hidden="false" customHeight="true" outlineLevel="0" collapsed="false">
      <c r="A10" s="25" t="s">
        <v>54</v>
      </c>
      <c r="B10" s="26" t="s">
        <v>55</v>
      </c>
      <c r="C10" s="26"/>
      <c r="D10" s="26"/>
      <c r="E10" s="26"/>
      <c r="F10" s="26"/>
      <c r="G10" s="26"/>
      <c r="H10" s="26"/>
    </row>
    <row r="11" customFormat="false" ht="45.75" hidden="false" customHeight="true" outlineLevel="0" collapsed="false">
      <c r="A11" s="25" t="s">
        <v>56</v>
      </c>
      <c r="B11" s="26" t="s">
        <v>57</v>
      </c>
      <c r="C11" s="26"/>
      <c r="D11" s="26"/>
      <c r="E11" s="26"/>
      <c r="F11" s="26"/>
      <c r="G11" s="26"/>
      <c r="H11" s="26"/>
    </row>
    <row r="12" customFormat="false" ht="45.75" hidden="false" customHeight="true" outlineLevel="0" collapsed="false">
      <c r="A12" s="25" t="s">
        <v>58</v>
      </c>
      <c r="B12" s="26" t="s">
        <v>59</v>
      </c>
      <c r="C12" s="26"/>
      <c r="D12" s="26"/>
      <c r="E12" s="26"/>
      <c r="F12" s="26"/>
      <c r="G12" s="26"/>
      <c r="H12" s="26"/>
    </row>
    <row r="13" customFormat="false" ht="45.75" hidden="false" customHeight="true" outlineLevel="0" collapsed="false">
      <c r="A13" s="25" t="s">
        <v>60</v>
      </c>
      <c r="B13" s="26" t="s">
        <v>61</v>
      </c>
      <c r="C13" s="26"/>
      <c r="D13" s="26"/>
      <c r="E13" s="26"/>
      <c r="F13" s="26"/>
      <c r="G13" s="26"/>
      <c r="H13" s="26"/>
    </row>
    <row r="14" customFormat="false" ht="45.75" hidden="false" customHeight="true" outlineLevel="0" collapsed="false">
      <c r="A14" s="25" t="s">
        <v>62</v>
      </c>
      <c r="B14" s="26" t="s">
        <v>63</v>
      </c>
      <c r="C14" s="26"/>
      <c r="D14" s="26"/>
      <c r="E14" s="26"/>
      <c r="F14" s="26"/>
      <c r="G14" s="26"/>
      <c r="H14" s="26"/>
    </row>
    <row r="15" customFormat="false" ht="45.75" hidden="false" customHeight="true" outlineLevel="0" collapsed="false">
      <c r="A15" s="25" t="s">
        <v>64</v>
      </c>
      <c r="B15" s="26" t="s">
        <v>65</v>
      </c>
      <c r="C15" s="26"/>
      <c r="D15" s="26"/>
      <c r="E15" s="26"/>
      <c r="F15" s="26"/>
      <c r="G15" s="26"/>
      <c r="H15" s="26"/>
    </row>
    <row r="16" customFormat="false" ht="45.75" hidden="false" customHeight="true" outlineLevel="0" collapsed="false">
      <c r="A16" s="25" t="s">
        <v>66</v>
      </c>
      <c r="B16" s="26" t="s">
        <v>67</v>
      </c>
      <c r="C16" s="26"/>
      <c r="D16" s="26"/>
      <c r="E16" s="26"/>
      <c r="F16" s="26"/>
      <c r="G16" s="26"/>
      <c r="H16" s="26"/>
    </row>
    <row r="17" customFormat="false" ht="45.75" hidden="false" customHeight="true" outlineLevel="0" collapsed="false">
      <c r="A17" s="25" t="s">
        <v>68</v>
      </c>
      <c r="B17" s="26" t="s">
        <v>69</v>
      </c>
      <c r="C17" s="26"/>
      <c r="D17" s="26"/>
      <c r="E17" s="26"/>
      <c r="F17" s="26"/>
      <c r="G17" s="26"/>
      <c r="H17" s="2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23" t="s">
        <v>70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11" t="s">
        <v>71</v>
      </c>
      <c r="B20" s="11" t="s">
        <v>72</v>
      </c>
      <c r="C20" s="11" t="s">
        <v>73</v>
      </c>
      <c r="D20" s="11" t="s">
        <v>74</v>
      </c>
      <c r="E20" s="11" t="s">
        <v>75</v>
      </c>
      <c r="F20" s="11" t="s">
        <v>76</v>
      </c>
      <c r="G20" s="11" t="s">
        <v>29</v>
      </c>
      <c r="H20" s="11" t="s">
        <v>77</v>
      </c>
    </row>
    <row r="21" customFormat="false" ht="30" hidden="false" customHeight="true" outlineLevel="0" collapsed="false">
      <c r="A21" s="27" t="s">
        <v>78</v>
      </c>
      <c r="B21" s="9" t="n">
        <v>1056000</v>
      </c>
      <c r="C21" s="9" t="n">
        <v>880000</v>
      </c>
      <c r="D21" s="9" t="n">
        <v>1408000</v>
      </c>
      <c r="E21" s="8" t="s">
        <v>79</v>
      </c>
      <c r="F21" s="26" t="s">
        <v>80</v>
      </c>
      <c r="G21" s="17" t="s">
        <v>34</v>
      </c>
      <c r="H21" s="17" t="s">
        <v>81</v>
      </c>
    </row>
    <row r="22" customFormat="false" ht="30" hidden="false" customHeight="true" outlineLevel="0" collapsed="false">
      <c r="A22" s="27" t="s">
        <v>82</v>
      </c>
      <c r="B22" s="10" t="n">
        <v>1</v>
      </c>
      <c r="C22" s="10" t="n">
        <v>1</v>
      </c>
      <c r="D22" s="10" t="n">
        <v>1</v>
      </c>
      <c r="E22" s="8" t="s">
        <v>83</v>
      </c>
      <c r="F22" s="26"/>
      <c r="G22" s="17" t="s">
        <v>36</v>
      </c>
      <c r="H22" s="17" t="s">
        <v>84</v>
      </c>
    </row>
    <row r="23" customFormat="false" ht="30" hidden="false" customHeight="true" outlineLevel="0" collapsed="false">
      <c r="A23" s="27" t="s">
        <v>85</v>
      </c>
      <c r="B23" s="10" t="n">
        <v>0.89</v>
      </c>
      <c r="C23" s="10" t="n">
        <v>0.81</v>
      </c>
      <c r="D23" s="10" t="n">
        <v>0.945</v>
      </c>
      <c r="E23" s="8" t="s">
        <v>83</v>
      </c>
      <c r="F23" s="26" t="s">
        <v>86</v>
      </c>
      <c r="G23" s="17" t="s">
        <v>34</v>
      </c>
      <c r="H23" s="17" t="s">
        <v>87</v>
      </c>
    </row>
    <row r="24" customFormat="false" ht="30" hidden="false" customHeight="true" outlineLevel="0" collapsed="false">
      <c r="A24" s="27" t="s">
        <v>88</v>
      </c>
      <c r="B24" s="10" t="n">
        <v>0</v>
      </c>
      <c r="C24" s="10" t="n">
        <v>0</v>
      </c>
      <c r="D24" s="10" t="n">
        <v>0</v>
      </c>
      <c r="E24" s="8" t="s">
        <v>83</v>
      </c>
      <c r="F24" s="26"/>
      <c r="G24" s="17" t="s">
        <v>39</v>
      </c>
      <c r="H24" s="17" t="s">
        <v>81</v>
      </c>
    </row>
    <row r="25" customFormat="false" ht="30" hidden="false" customHeight="true" outlineLevel="0" collapsed="false">
      <c r="A25" s="27" t="s">
        <v>89</v>
      </c>
      <c r="B25" s="9" t="n">
        <v>4000</v>
      </c>
      <c r="C25" s="9" t="n">
        <v>2700</v>
      </c>
      <c r="D25" s="9" t="n">
        <v>6500</v>
      </c>
      <c r="E25" s="8" t="s">
        <v>90</v>
      </c>
      <c r="F25" s="26" t="s">
        <v>91</v>
      </c>
      <c r="G25" s="17" t="s">
        <v>34</v>
      </c>
      <c r="H25" s="17" t="s">
        <v>92</v>
      </c>
    </row>
    <row r="26" customFormat="false" ht="30" hidden="false" customHeight="true" outlineLevel="0" collapsed="false">
      <c r="A26" s="27" t="s">
        <v>93</v>
      </c>
      <c r="B26" s="10" t="n">
        <v>0.08</v>
      </c>
      <c r="C26" s="10" t="n">
        <v>0.14</v>
      </c>
      <c r="D26" s="10" t="n">
        <v>0.04</v>
      </c>
      <c r="E26" s="8" t="s">
        <v>83</v>
      </c>
      <c r="F26" s="26" t="s">
        <v>94</v>
      </c>
      <c r="G26" s="17" t="s">
        <v>34</v>
      </c>
      <c r="H26" s="17" t="s">
        <v>95</v>
      </c>
    </row>
    <row r="27" customFormat="false" ht="30" hidden="false" customHeight="true" outlineLevel="0" collapsed="false">
      <c r="A27" s="27" t="s">
        <v>96</v>
      </c>
      <c r="B27" s="9" t="n">
        <v>2240</v>
      </c>
      <c r="C27" s="9" t="n">
        <v>4480</v>
      </c>
      <c r="D27" s="9" t="n">
        <v>0</v>
      </c>
      <c r="E27" s="8" t="s">
        <v>90</v>
      </c>
      <c r="F27" s="26"/>
      <c r="G27" s="17" t="s">
        <v>39</v>
      </c>
      <c r="H27" s="17" t="s">
        <v>84</v>
      </c>
    </row>
    <row r="28" customFormat="false" ht="30" hidden="false" customHeight="true" outlineLevel="0" collapsed="false">
      <c r="A28" s="27" t="s">
        <v>97</v>
      </c>
      <c r="B28" s="10" t="n">
        <v>0.03</v>
      </c>
      <c r="C28" s="10" t="n">
        <v>0.05</v>
      </c>
      <c r="D28" s="10" t="n">
        <v>0.015</v>
      </c>
      <c r="E28" s="8" t="s">
        <v>83</v>
      </c>
      <c r="F28" s="26" t="s">
        <v>98</v>
      </c>
      <c r="G28" s="17" t="s">
        <v>34</v>
      </c>
      <c r="H28" s="17" t="s">
        <v>95</v>
      </c>
    </row>
    <row r="29" customFormat="false" ht="30" hidden="false" customHeight="true" outlineLevel="0" collapsed="false">
      <c r="A29" s="27" t="s">
        <v>99</v>
      </c>
      <c r="B29" s="9" t="n">
        <v>17920</v>
      </c>
      <c r="C29" s="9" t="n">
        <v>17920</v>
      </c>
      <c r="D29" s="9" t="n">
        <v>17920</v>
      </c>
      <c r="E29" s="8" t="s">
        <v>90</v>
      </c>
      <c r="F29" s="26"/>
      <c r="G29" s="17" t="s">
        <v>39</v>
      </c>
      <c r="H29" s="17" t="s">
        <v>84</v>
      </c>
    </row>
    <row r="30" customFormat="false" ht="30" hidden="false" customHeight="true" outlineLevel="0" collapsed="false">
      <c r="A30" s="27" t="s">
        <v>100</v>
      </c>
      <c r="B30" s="9" t="n">
        <v>6</v>
      </c>
      <c r="C30" s="9" t="n">
        <v>6</v>
      </c>
      <c r="D30" s="9" t="n">
        <v>6</v>
      </c>
      <c r="E30" s="8" t="s">
        <v>101</v>
      </c>
      <c r="F30" s="26"/>
      <c r="G30" s="17" t="s">
        <v>36</v>
      </c>
      <c r="H30" s="17" t="s">
        <v>84</v>
      </c>
    </row>
    <row r="31" customFormat="false" ht="30" hidden="false" customHeight="true" outlineLevel="0" collapsed="false">
      <c r="A31" s="27" t="s">
        <v>102</v>
      </c>
      <c r="B31" s="9" t="n">
        <v>4</v>
      </c>
      <c r="C31" s="9" t="n">
        <v>4</v>
      </c>
      <c r="D31" s="9" t="n">
        <v>4</v>
      </c>
      <c r="E31" s="8" t="s">
        <v>101</v>
      </c>
      <c r="F31" s="26"/>
      <c r="G31" s="17" t="s">
        <v>39</v>
      </c>
      <c r="H31" s="17" t="s">
        <v>84</v>
      </c>
    </row>
    <row r="32" customFormat="false" ht="30" hidden="false" customHeight="true" outlineLevel="0" collapsed="false">
      <c r="A32" s="27" t="s">
        <v>103</v>
      </c>
      <c r="B32" s="9" t="n">
        <v>5000000000</v>
      </c>
      <c r="C32" s="9" t="n">
        <v>8000000000</v>
      </c>
      <c r="D32" s="9" t="n">
        <v>3000000000</v>
      </c>
      <c r="E32" s="8" t="s">
        <v>104</v>
      </c>
      <c r="F32" s="26" t="s">
        <v>105</v>
      </c>
      <c r="G32" s="17" t="s">
        <v>34</v>
      </c>
      <c r="H32" s="17" t="s">
        <v>106</v>
      </c>
    </row>
    <row r="33" customFormat="false" ht="30" hidden="false" customHeight="true" outlineLevel="0" collapsed="false">
      <c r="A33" s="27" t="s">
        <v>107</v>
      </c>
      <c r="B33" s="9" t="n">
        <v>0</v>
      </c>
      <c r="C33" s="9" t="n">
        <v>30000000</v>
      </c>
      <c r="D33" s="9" t="n">
        <v>-30000000</v>
      </c>
      <c r="E33" s="8" t="s">
        <v>90</v>
      </c>
      <c r="F33" s="26" t="s">
        <v>108</v>
      </c>
      <c r="G33" s="17" t="s">
        <v>34</v>
      </c>
      <c r="H33" s="17" t="s">
        <v>109</v>
      </c>
    </row>
    <row r="34" customFormat="false" ht="30" hidden="false" customHeight="true" outlineLevel="0" collapsed="false">
      <c r="A34" s="27" t="s">
        <v>110</v>
      </c>
      <c r="B34" s="9" t="n">
        <v>300</v>
      </c>
      <c r="C34" s="9" t="n">
        <v>600</v>
      </c>
      <c r="D34" s="9" t="n">
        <v>100</v>
      </c>
      <c r="E34" s="8" t="s">
        <v>90</v>
      </c>
      <c r="F34" s="26"/>
      <c r="G34" s="17" t="s">
        <v>39</v>
      </c>
      <c r="H34" s="17" t="s">
        <v>111</v>
      </c>
    </row>
    <row r="35" customFormat="false" ht="30" hidden="false" customHeight="true" outlineLevel="0" collapsed="false">
      <c r="A35" s="27" t="s">
        <v>112</v>
      </c>
      <c r="B35" s="10" t="n">
        <v>1</v>
      </c>
      <c r="C35" s="10" t="n">
        <v>1</v>
      </c>
      <c r="D35" s="10" t="n">
        <v>1</v>
      </c>
      <c r="E35" s="8" t="s">
        <v>83</v>
      </c>
      <c r="F35" s="26"/>
      <c r="G35" s="17" t="s">
        <v>36</v>
      </c>
      <c r="H35" s="17" t="s">
        <v>113</v>
      </c>
    </row>
    <row r="36" customFormat="false" ht="30" hidden="false" customHeight="true" outlineLevel="0" collapsed="false">
      <c r="A36" s="27" t="s">
        <v>114</v>
      </c>
      <c r="B36" s="9" t="n">
        <v>3520000</v>
      </c>
      <c r="C36" s="9" t="n">
        <v>3520000</v>
      </c>
      <c r="D36" s="9" t="n">
        <v>3520000</v>
      </c>
      <c r="E36" s="8" t="s">
        <v>79</v>
      </c>
      <c r="F36" s="26" t="s">
        <v>115</v>
      </c>
      <c r="G36" s="17" t="s">
        <v>34</v>
      </c>
      <c r="H36" s="17" t="s">
        <v>84</v>
      </c>
    </row>
    <row r="37" customFormat="false" ht="30" hidden="false" customHeight="true" outlineLevel="0" collapsed="false">
      <c r="A37" s="27" t="s">
        <v>116</v>
      </c>
      <c r="B37" s="9" t="n">
        <v>18500</v>
      </c>
      <c r="C37" s="9" t="n">
        <v>18500</v>
      </c>
      <c r="D37" s="9" t="n">
        <v>18500</v>
      </c>
      <c r="E37" s="8" t="s">
        <v>90</v>
      </c>
      <c r="F37" s="26"/>
      <c r="G37" s="17" t="s">
        <v>36</v>
      </c>
      <c r="H37" s="17" t="s">
        <v>84</v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23" t="s">
        <v>117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false" outlineLevel="0" collapsed="false">
      <c r="A40" s="11" t="s">
        <v>118</v>
      </c>
      <c r="B40" s="11" t="s">
        <v>72</v>
      </c>
      <c r="C40" s="11" t="s">
        <v>73</v>
      </c>
      <c r="D40" s="11" t="s">
        <v>74</v>
      </c>
      <c r="E40" s="11" t="s">
        <v>75</v>
      </c>
      <c r="F40" s="11" t="s">
        <v>119</v>
      </c>
      <c r="G40" s="11"/>
      <c r="H40" s="11"/>
    </row>
    <row r="41" customFormat="false" ht="15" hidden="false" customHeight="true" outlineLevel="0" collapsed="false">
      <c r="A41" s="27" t="s">
        <v>120</v>
      </c>
      <c r="B41" s="28" t="n">
        <f aca="false">B21*B22*B23*(1-B24)</f>
        <v>939840</v>
      </c>
      <c r="C41" s="28" t="n">
        <f aca="false">IF(C21="",$B21,C21)*IF(C22="",$B22,C22)*IF(C23="",$B23,C23)*(1-IF(C24="",$B24,C24))</f>
        <v>712800</v>
      </c>
      <c r="D41" s="28" t="n">
        <f aca="false">IF(D21="",$B21,D21)*IF(D22="",$B22,D22)*IF(D23="",$B23,D23)*(1-IF(D24="",$B24,D24))</f>
        <v>1330560</v>
      </c>
      <c r="E41" s="8" t="s">
        <v>79</v>
      </c>
      <c r="F41" s="27" t="s">
        <v>121</v>
      </c>
      <c r="G41" s="27"/>
      <c r="H41" s="27"/>
    </row>
    <row r="42" customFormat="false" ht="15" hidden="false" customHeight="true" outlineLevel="0" collapsed="false">
      <c r="A42" s="27" t="s">
        <v>122</v>
      </c>
      <c r="B42" s="28" t="n">
        <f aca="false">B21*B26</f>
        <v>84480</v>
      </c>
      <c r="C42" s="28" t="n">
        <f aca="false">IF(C21="",$B21,C21)*IF(C26="",$B26,C26)</f>
        <v>123200</v>
      </c>
      <c r="D42" s="28" t="n">
        <f aca="false">IF(D21="",$B21,D21)*IF(D26="",$B26,D26)</f>
        <v>56320</v>
      </c>
      <c r="E42" s="8" t="s">
        <v>79</v>
      </c>
      <c r="F42" s="27" t="s">
        <v>123</v>
      </c>
      <c r="G42" s="27"/>
      <c r="H42" s="27"/>
    </row>
    <row r="43" customFormat="false" ht="15" hidden="false" customHeight="true" outlineLevel="0" collapsed="false">
      <c r="A43" s="27" t="s">
        <v>124</v>
      </c>
      <c r="B43" s="28" t="n">
        <f aca="false">B21*B28</f>
        <v>31680</v>
      </c>
      <c r="C43" s="28" t="n">
        <f aca="false">IF(C21="",$B21,C21)*IF(C28="",$B28,C28)</f>
        <v>44000</v>
      </c>
      <c r="D43" s="28" t="n">
        <f aca="false">IF(D21="",$B21,D21)*IF(D28="",$B28,D28)</f>
        <v>21120</v>
      </c>
      <c r="E43" s="8" t="s">
        <v>79</v>
      </c>
      <c r="F43" s="27" t="s">
        <v>125</v>
      </c>
      <c r="G43" s="27"/>
      <c r="H43" s="27"/>
    </row>
    <row r="44" customFormat="false" ht="15" hidden="false" customHeight="true" outlineLevel="0" collapsed="false">
      <c r="A44" s="25" t="s">
        <v>126</v>
      </c>
      <c r="B44" s="28" t="n">
        <f aca="false">(B41*B25-B42*B27-B43*B29)/(1+Портфель!$B$5)</f>
        <v>2680731428.57143</v>
      </c>
      <c r="C44" s="28" t="n">
        <f aca="false">(C41*IF(C25="",$B25,C25)-C42*IF(C27="",$B27,C27)-C43*IF(C29="",$B29,C29))/(1+Портфель!$B$5)</f>
        <v>521557142.857143</v>
      </c>
      <c r="D44" s="28" t="n">
        <f aca="false">(D41*IF(D25="",$B25,D25)-D42*IF(D27="",$B27,D27)-D43*IF(D29="",$B29,D29))/(1+Портфель!$B$5)</f>
        <v>7384080000</v>
      </c>
      <c r="E44" s="8" t="s">
        <v>90</v>
      </c>
      <c r="F44" s="27" t="s">
        <v>127</v>
      </c>
      <c r="G44" s="27"/>
      <c r="H44" s="27"/>
    </row>
    <row r="45" customFormat="false" ht="15" hidden="false" customHeight="true" outlineLevel="0" collapsed="false">
      <c r="A45" s="27" t="s">
        <v>128</v>
      </c>
      <c r="B45" s="18" t="n">
        <f aca="false">MAX(0,12-B30+1)</f>
        <v>7</v>
      </c>
      <c r="C45" s="18" t="n">
        <f aca="false">MAX(0,12-IF(C30="",$B30,C30)+1)</f>
        <v>7</v>
      </c>
      <c r="D45" s="18" t="n">
        <f aca="false">MAX(0,12-IF(D30="",$B30,D30)+1)</f>
        <v>7</v>
      </c>
      <c r="E45" s="8" t="s">
        <v>101</v>
      </c>
      <c r="F45" s="27" t="s">
        <v>129</v>
      </c>
      <c r="G45" s="27"/>
      <c r="H45" s="27"/>
    </row>
    <row r="46" customFormat="false" ht="15" hidden="false" customHeight="true" outlineLevel="0" collapsed="false">
      <c r="A46" s="27" t="s">
        <v>130</v>
      </c>
      <c r="B46" s="18" t="n">
        <f aca="false">IF(B45&gt;=B31,(B31+1)/2+(B45-B31),B45*(B45+1)/(2*MAX(1,B31)))</f>
        <v>5.5</v>
      </c>
      <c r="C46" s="18" t="n">
        <f aca="false">IF(C45&gt;=IF(C31="",$B31,C31),(IF(C31="",$B31,C31)+1)/2+(C45-IF(C31="",$B31,C31)),C45*(C45+1)/(2*MAX(1,IF(C31="",$B31,C31))))</f>
        <v>5.5</v>
      </c>
      <c r="D46" s="18" t="n">
        <f aca="false">IF(D45&gt;=IF(D31="",$B31,D31),(IF(D31="",$B31,D31)+1)/2+(D45-IF(D31="",$B31,D31)),D45*(D45+1)/(2*MAX(1,IF(D31="",$B31,D31))))</f>
        <v>5.5</v>
      </c>
      <c r="E46" s="8" t="s">
        <v>101</v>
      </c>
      <c r="F46" s="27" t="s">
        <v>131</v>
      </c>
      <c r="G46" s="27"/>
      <c r="H46" s="27"/>
    </row>
    <row r="47" customFormat="false" ht="15" hidden="false" customHeight="true" outlineLevel="0" collapsed="false">
      <c r="A47" s="27" t="s">
        <v>132</v>
      </c>
      <c r="B47" s="18" t="n">
        <f aca="false">MAX(0,24-B30+1)</f>
        <v>19</v>
      </c>
      <c r="C47" s="18" t="n">
        <f aca="false">MAX(0,24-IF(C30="",$B30,C30)+1)</f>
        <v>19</v>
      </c>
      <c r="D47" s="18" t="n">
        <f aca="false">MAX(0,24-IF(D30="",$B30,D30)+1)</f>
        <v>19</v>
      </c>
      <c r="E47" s="8" t="s">
        <v>101</v>
      </c>
      <c r="F47" s="27" t="s">
        <v>133</v>
      </c>
      <c r="G47" s="27"/>
      <c r="H47" s="27"/>
    </row>
    <row r="48" customFormat="false" ht="15" hidden="false" customHeight="false" outlineLevel="0" collapsed="false">
      <c r="A48" s="27" t="s">
        <v>134</v>
      </c>
      <c r="B48" s="18" t="n">
        <f aca="false">IF(B47&gt;=B31,(B31+1)/2+(B47-B31),B47*(B47+1)/(2*MAX(1,B31)))</f>
        <v>17.5</v>
      </c>
      <c r="C48" s="18" t="n">
        <f aca="false">IF(C47&gt;=IF(C31="",$B31,C31),(IF(C31="",$B31,C31)+1)/2+(C47-IF(C31="",$B31,C31)),C47*(C47+1)/(2*MAX(1,IF(C31="",$B31,C31))))</f>
        <v>17.5</v>
      </c>
      <c r="D48" s="18" t="n">
        <f aca="false">IF(D47&gt;=IF(D31="",$B31,D31),(IF(D31="",$B31,D31)+1)/2+(D47-IF(D31="",$B31,D31)),D47*(D47+1)/(2*MAX(1,IF(D31="",$B31,D31))))</f>
        <v>17.5</v>
      </c>
      <c r="E48" s="8" t="s">
        <v>101</v>
      </c>
      <c r="F48" s="27"/>
      <c r="G48" s="27"/>
      <c r="H48" s="27"/>
    </row>
    <row r="49" customFormat="false" ht="15" hidden="false" customHeight="true" outlineLevel="0" collapsed="false">
      <c r="A49" s="25" t="s">
        <v>135</v>
      </c>
      <c r="B49" s="28" t="n">
        <f aca="false">B44*B46</f>
        <v>14744022857.1429</v>
      </c>
      <c r="C49" s="28" t="n">
        <f aca="false">C44*C46</f>
        <v>2868564285.71429</v>
      </c>
      <c r="D49" s="28" t="n">
        <f aca="false">D44*D46</f>
        <v>40612440000</v>
      </c>
      <c r="E49" s="8" t="s">
        <v>104</v>
      </c>
      <c r="F49" s="27" t="s">
        <v>136</v>
      </c>
      <c r="G49" s="27"/>
      <c r="H49" s="27"/>
    </row>
    <row r="50" customFormat="false" ht="15" hidden="false" customHeight="false" outlineLevel="0" collapsed="false">
      <c r="A50" s="27" t="s">
        <v>137</v>
      </c>
      <c r="B50" s="28" t="n">
        <f aca="false">B44*B48</f>
        <v>46912800000</v>
      </c>
      <c r="C50" s="28" t="n">
        <f aca="false">C44*C48</f>
        <v>9127250000</v>
      </c>
      <c r="D50" s="28" t="n">
        <f aca="false">D44*D48</f>
        <v>129221400000</v>
      </c>
      <c r="E50" s="8" t="s">
        <v>104</v>
      </c>
      <c r="F50" s="27"/>
      <c r="G50" s="27"/>
      <c r="H50" s="27"/>
    </row>
    <row r="51" customFormat="false" ht="15" hidden="false" customHeight="true" outlineLevel="0" collapsed="false">
      <c r="A51" s="27" t="s">
        <v>138</v>
      </c>
      <c r="B51" s="28" t="n">
        <f aca="false">B32+B33*B47+B34*B41*B48</f>
        <v>9934160000</v>
      </c>
      <c r="C51" s="28" t="n">
        <f aca="false">IF(C32="",$B32,C32)+IF(C33="",$B33,C33)*C47+IF(C34="",$B34,C34)*C41*C48</f>
        <v>16054400000</v>
      </c>
      <c r="D51" s="28" t="n">
        <f aca="false">IF(D32="",$B32,D32)+IF(D33="",$B33,D33)*D47+IF(D34="",$B34,D34)*D41*D48</f>
        <v>4758480000</v>
      </c>
      <c r="E51" s="8" t="s">
        <v>104</v>
      </c>
      <c r="F51" s="27" t="s">
        <v>139</v>
      </c>
      <c r="G51" s="27"/>
      <c r="H51" s="27"/>
    </row>
    <row r="52" customFormat="false" ht="15" hidden="false" customHeight="true" outlineLevel="0" collapsed="false">
      <c r="A52" s="25" t="s">
        <v>140</v>
      </c>
      <c r="B52" s="28" t="n">
        <f aca="false">B50*B35-B51</f>
        <v>36978640000</v>
      </c>
      <c r="C52" s="28" t="n">
        <f aca="false">C50*IF(C35="",$B35,C35)-C51</f>
        <v>-6927150000</v>
      </c>
      <c r="D52" s="28" t="n">
        <f aca="false">D50*IF(D35="",$B35,D35)-D51</f>
        <v>124462920000</v>
      </c>
      <c r="E52" s="8" t="s">
        <v>104</v>
      </c>
      <c r="F52" s="27" t="s">
        <v>141</v>
      </c>
      <c r="G52" s="27"/>
      <c r="H52" s="27"/>
    </row>
    <row r="53" customFormat="false" ht="15" hidden="false" customHeight="true" outlineLevel="0" collapsed="false">
      <c r="A53" s="27" t="s">
        <v>142</v>
      </c>
      <c r="B53" s="18" t="n">
        <f aca="false">IF(B44*B35-B33-B34*B41&gt;0,B32/(B44*B35-B33-B34*B41),"не окупается")</f>
        <v>2.08439339626057</v>
      </c>
      <c r="C53" s="18" t="n">
        <f aca="false">IF(C44*IF(C35="",$B35,C35)-IF(C33="",$B33,C33)-IF(C34="",$B34,C34)*C41&gt;0,IF(C32="",$B32,C32)/(C44*IF(C35="",$B35,C35)-IF(C33="",$B33,C33)-IF(C34="",$B34,C34)*C41),"не окупается")</f>
        <v>125.240416871673</v>
      </c>
      <c r="D53" s="18" t="n">
        <f aca="false">IF(D44*IF(D35="",$B35,D35)-IF(D33="",$B33,D33)-IF(D34="",$B34,D34)*D41&gt;0,IF(D32="",$B32,D32)/(D44*IF(D35="",$B35,D35)-IF(D33="",$B33,D33)-IF(D34="",$B34,D34)*D41),"не окупается")</f>
        <v>0.412029956225938</v>
      </c>
      <c r="E53" s="8" t="s">
        <v>101</v>
      </c>
      <c r="F53" s="27" t="s">
        <v>143</v>
      </c>
      <c r="G53" s="27"/>
      <c r="H53" s="27"/>
    </row>
    <row r="54" customFormat="false" ht="15" hidden="false" customHeight="true" outlineLevel="0" collapsed="false">
      <c r="A54" s="27" t="s">
        <v>144</v>
      </c>
      <c r="B54" s="29" t="n">
        <f aca="false">IF(B51&gt;0,B52/B51,0)</f>
        <v>3.72237209789252</v>
      </c>
      <c r="C54" s="29" t="n">
        <f aca="false">IF(C51&gt;0,C52/C51,0)</f>
        <v>-0.431479843531991</v>
      </c>
      <c r="D54" s="29" t="n">
        <f aca="false">IF(D51&gt;0,D52/D51,0)</f>
        <v>26.1560246129016</v>
      </c>
      <c r="E54" s="8" t="s">
        <v>145</v>
      </c>
      <c r="F54" s="27" t="s">
        <v>146</v>
      </c>
      <c r="G54" s="27"/>
      <c r="H54" s="27"/>
    </row>
    <row r="55" customFormat="false" ht="15" hidden="false" customHeight="true" outlineLevel="0" collapsed="false">
      <c r="A55" s="25" t="s">
        <v>147</v>
      </c>
      <c r="B55" s="30" t="n">
        <f aca="false">IF(B36*B37&gt;0,B44/(B36*B37),0)</f>
        <v>0.0411660231660232</v>
      </c>
      <c r="C55" s="30" t="n">
        <f aca="false">IF(IF(C36="",$B36,C36)*IF(C37="",$B37,C37)&gt;0,C44/(IF(C36="",$B36,C36)*IF(C37="",$B37,C37)),0)</f>
        <v>0.00800916988416988</v>
      </c>
      <c r="D55" s="30" t="n">
        <f aca="false">IF(IF(D36="",$B36,D36)*IF(D37="",$B37,D37)&gt;0,D44/(IF(D36="",$B36,D36)*IF(D37="",$B37,D37)),0)</f>
        <v>0.113391891891892</v>
      </c>
      <c r="E55" s="8" t="s">
        <v>83</v>
      </c>
      <c r="F55" s="27" t="s">
        <v>148</v>
      </c>
      <c r="G55" s="27"/>
      <c r="H55" s="27"/>
    </row>
    <row r="56" customFormat="false" ht="15" hidden="false" customHeight="true" outlineLevel="0" collapsed="false">
      <c r="A56" s="27" t="s">
        <v>149</v>
      </c>
      <c r="B56" s="31" t="n">
        <f aca="false">B44*12/Портфель!$B$4</f>
        <v>2658576.62337662</v>
      </c>
      <c r="C56" s="31" t="n">
        <f aca="false">C44*12/Портфель!$B$4</f>
        <v>517246.753246753</v>
      </c>
      <c r="D56" s="31" t="n">
        <f aca="false">D44*12/Портфель!$B$4</f>
        <v>7323054.54545454</v>
      </c>
      <c r="E56" s="8" t="s">
        <v>150</v>
      </c>
      <c r="F56" s="27" t="s">
        <v>151</v>
      </c>
      <c r="G56" s="27"/>
      <c r="H56" s="27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23" t="s">
        <v>152</v>
      </c>
      <c r="B58" s="24"/>
      <c r="C58" s="24"/>
      <c r="D58" s="24"/>
      <c r="E58" s="24"/>
      <c r="F58" s="24"/>
      <c r="G58" s="24"/>
      <c r="H58" s="24"/>
    </row>
    <row r="59" customFormat="false" ht="15" hidden="false" customHeight="false" outlineLevel="0" collapsed="false">
      <c r="A59" s="11" t="s">
        <v>153</v>
      </c>
      <c r="B59" s="11" t="s">
        <v>20</v>
      </c>
      <c r="C59" s="11"/>
      <c r="D59" s="11"/>
      <c r="E59" s="11"/>
      <c r="F59" s="11" t="s">
        <v>154</v>
      </c>
      <c r="G59" s="11"/>
      <c r="H59" s="11"/>
    </row>
    <row r="60" customFormat="false" ht="27.75" hidden="false" customHeight="true" outlineLevel="0" collapsed="false">
      <c r="A60" s="27" t="s">
        <v>155</v>
      </c>
      <c r="B60" s="17" t="s">
        <v>156</v>
      </c>
      <c r="C60" s="6"/>
      <c r="D60" s="6"/>
      <c r="E60" s="6"/>
      <c r="F60" s="32"/>
      <c r="G60" s="32"/>
      <c r="H60" s="32"/>
    </row>
    <row r="61" customFormat="false" ht="27.75" hidden="false" customHeight="true" outlineLevel="0" collapsed="false">
      <c r="A61" s="27" t="s">
        <v>157</v>
      </c>
      <c r="B61" s="17" t="s">
        <v>156</v>
      </c>
      <c r="C61" s="6"/>
      <c r="D61" s="6"/>
      <c r="E61" s="6"/>
      <c r="F61" s="32"/>
      <c r="G61" s="32"/>
      <c r="H61" s="32"/>
    </row>
    <row r="62" customFormat="false" ht="27.75" hidden="false" customHeight="true" outlineLevel="0" collapsed="false">
      <c r="A62" s="27" t="s">
        <v>158</v>
      </c>
      <c r="B62" s="17" t="s">
        <v>156</v>
      </c>
      <c r="C62" s="6"/>
      <c r="D62" s="6"/>
      <c r="E62" s="6"/>
      <c r="F62" s="32"/>
      <c r="G62" s="32"/>
      <c r="H62" s="32"/>
    </row>
    <row r="63" customFormat="false" ht="27.75" hidden="false" customHeight="true" outlineLevel="0" collapsed="false">
      <c r="A63" s="27" t="s">
        <v>159</v>
      </c>
      <c r="B63" s="17" t="s">
        <v>156</v>
      </c>
      <c r="C63" s="6"/>
      <c r="D63" s="6"/>
      <c r="E63" s="6"/>
      <c r="F63" s="32"/>
      <c r="G63" s="32"/>
      <c r="H63" s="32"/>
    </row>
    <row r="64" customFormat="false" ht="27.75" hidden="false" customHeight="true" outlineLevel="0" collapsed="false">
      <c r="A64" s="27" t="s">
        <v>160</v>
      </c>
      <c r="B64" s="17" t="s">
        <v>156</v>
      </c>
      <c r="C64" s="6"/>
      <c r="D64" s="6"/>
      <c r="E64" s="6"/>
      <c r="F64" s="32"/>
      <c r="G64" s="32"/>
      <c r="H64" s="32"/>
    </row>
    <row r="65" customFormat="false" ht="27.75" hidden="false" customHeight="true" outlineLevel="0" collapsed="false">
      <c r="A65" s="27" t="s">
        <v>161</v>
      </c>
      <c r="B65" s="17" t="s">
        <v>156</v>
      </c>
      <c r="C65" s="6"/>
      <c r="D65" s="6"/>
      <c r="E65" s="6"/>
      <c r="F65" s="32"/>
      <c r="G65" s="32"/>
      <c r="H65" s="32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23" t="s">
        <v>162</v>
      </c>
      <c r="B67" s="24"/>
      <c r="C67" s="24"/>
      <c r="D67" s="24"/>
      <c r="E67" s="24"/>
      <c r="F67" s="24"/>
      <c r="G67" s="24"/>
      <c r="H67" s="24"/>
    </row>
    <row r="68" customFormat="false" ht="15" hidden="false" customHeight="false" outlineLevel="0" collapsed="false">
      <c r="A68" s="11" t="s">
        <v>163</v>
      </c>
      <c r="B68" s="11" t="s">
        <v>164</v>
      </c>
      <c r="C68" s="11" t="s">
        <v>165</v>
      </c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26" t="s">
        <v>166</v>
      </c>
      <c r="B69" s="17" t="s">
        <v>167</v>
      </c>
      <c r="C69" s="17" t="s">
        <v>168</v>
      </c>
      <c r="D69" s="6"/>
      <c r="E69" s="6"/>
      <c r="F69" s="6"/>
      <c r="G69" s="6"/>
      <c r="H69" s="6"/>
    </row>
    <row r="70" customFormat="false" ht="15" hidden="false" customHeight="false" outlineLevel="0" collapsed="false">
      <c r="A70" s="26" t="s">
        <v>169</v>
      </c>
      <c r="B70" s="17" t="s">
        <v>170</v>
      </c>
      <c r="C70" s="17" t="s">
        <v>171</v>
      </c>
      <c r="D70" s="6"/>
      <c r="E70" s="6"/>
      <c r="F70" s="6"/>
      <c r="G70" s="6"/>
      <c r="H70" s="6"/>
    </row>
    <row r="71" customFormat="false" ht="15" hidden="false" customHeight="false" outlineLevel="0" collapsed="false">
      <c r="A71" s="26" t="s">
        <v>172</v>
      </c>
      <c r="B71" s="17" t="s">
        <v>173</v>
      </c>
      <c r="C71" s="17" t="s">
        <v>174</v>
      </c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23" t="s">
        <v>175</v>
      </c>
      <c r="B73" s="24"/>
      <c r="C73" s="24"/>
      <c r="D73" s="24"/>
      <c r="E73" s="24"/>
      <c r="F73" s="24"/>
      <c r="G73" s="24"/>
      <c r="H73" s="24"/>
    </row>
    <row r="74" customFormat="false" ht="15" hidden="false" customHeight="false" outlineLevel="0" collapsed="false">
      <c r="A74" s="11" t="s">
        <v>176</v>
      </c>
      <c r="B74" s="11" t="s">
        <v>177</v>
      </c>
      <c r="C74" s="11"/>
      <c r="D74" s="11"/>
      <c r="E74" s="11"/>
      <c r="F74" s="11"/>
      <c r="G74" s="11"/>
      <c r="H74" s="11"/>
    </row>
    <row r="75" customFormat="false" ht="26.85" hidden="false" customHeight="false" outlineLevel="0" collapsed="false">
      <c r="A75" s="27" t="s">
        <v>178</v>
      </c>
      <c r="B75" s="17" t="s">
        <v>179</v>
      </c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27" t="s">
        <v>180</v>
      </c>
      <c r="B76" s="17" t="s">
        <v>179</v>
      </c>
      <c r="C76" s="6"/>
      <c r="D76" s="6"/>
      <c r="E76" s="6"/>
      <c r="F76" s="6"/>
      <c r="G76" s="6"/>
      <c r="H76" s="6"/>
    </row>
    <row r="77" customFormat="false" ht="26.85" hidden="false" customHeight="false" outlineLevel="0" collapsed="false">
      <c r="A77" s="27" t="s">
        <v>181</v>
      </c>
      <c r="B77" s="17" t="s">
        <v>179</v>
      </c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27" t="s">
        <v>182</v>
      </c>
      <c r="B78" s="17" t="s">
        <v>179</v>
      </c>
      <c r="C78" s="6"/>
      <c r="D78" s="6"/>
      <c r="E78" s="6"/>
      <c r="F78" s="6"/>
      <c r="G78" s="6"/>
      <c r="H78" s="6"/>
    </row>
    <row r="79" customFormat="false" ht="26.85" hidden="false" customHeight="false" outlineLevel="0" collapsed="false">
      <c r="A79" s="27" t="s">
        <v>183</v>
      </c>
      <c r="B79" s="17" t="s">
        <v>179</v>
      </c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27" t="s">
        <v>184</v>
      </c>
      <c r="B80" s="17" t="s">
        <v>185</v>
      </c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27" t="s">
        <v>186</v>
      </c>
      <c r="B81" s="17" t="s">
        <v>185</v>
      </c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27" t="s">
        <v>187</v>
      </c>
      <c r="B82" s="17" t="s">
        <v>185</v>
      </c>
      <c r="C82" s="6"/>
      <c r="D82" s="6"/>
      <c r="E82" s="6"/>
      <c r="F82" s="6"/>
      <c r="G82" s="6"/>
      <c r="H82" s="6"/>
    </row>
    <row r="83" customFormat="false" ht="26.85" hidden="false" customHeight="false" outlineLevel="0" collapsed="false">
      <c r="A83" s="27" t="s">
        <v>188</v>
      </c>
      <c r="B83" s="17" t="s">
        <v>185</v>
      </c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27" t="s">
        <v>189</v>
      </c>
      <c r="B84" s="17" t="s">
        <v>185</v>
      </c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20" t="s">
        <v>190</v>
      </c>
      <c r="B85" s="33" t="n">
        <f aca="false">COUNTIF(B75:B84,"Да")/10</f>
        <v>0.5</v>
      </c>
      <c r="C85" s="20" t="str">
        <f aca="false">IF(B85&gt;=0.8,"Можно передавать финансам","Доработать до 80%")</f>
        <v>Доработать до 80%</v>
      </c>
      <c r="D85" s="6"/>
      <c r="E85" s="6"/>
      <c r="F85" s="6"/>
      <c r="G85" s="6"/>
      <c r="H85" s="6"/>
    </row>
  </sheetData>
  <mergeCells count="3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60:H60"/>
    <mergeCell ref="F61:H61"/>
    <mergeCell ref="F62:H62"/>
    <mergeCell ref="F63:H63"/>
    <mergeCell ref="F64:H64"/>
    <mergeCell ref="F65:H65"/>
  </mergeCells>
  <dataValidations count="4">
    <dataValidation allowBlank="true" errorStyle="stop" operator="between" showDropDown="false" showErrorMessage="false" showInputMessage="false" sqref="B8" type="list">
      <formula1>"Идея,Discovery,Готово к финансам,В расчёте у финансов,Утверждено,Отклонено"</formula1>
      <formula2>0</formula2>
    </dataValidation>
    <dataValidation allowBlank="true" errorStyle="stop" operator="between" showDropDown="false" showErrorMessage="false" showInputMessage="false" sqref="G21:G37" type="list">
      <formula1>"Высокая,Средняя,Низкая"</formula1>
      <formula2>0</formula2>
    </dataValidation>
    <dataValidation allowBlank="true" errorStyle="stop" operator="between" showDropDown="false" showErrorMessage="false" showInputMessage="false" sqref="B60:B65" type="list">
      <formula1>"Не начато,Запрошено,Получено"</formula1>
      <formula2>0</formula2>
    </dataValidation>
    <dataValidation allowBlank="true" errorStyle="stop" operator="between" showDropDown="false" showErrorMessage="false" showInputMessage="false" sqref="B75:B8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5" t="s">
        <v>191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2" t="s">
        <v>43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3" t="s">
        <v>44</v>
      </c>
      <c r="B4" s="24"/>
      <c r="C4" s="24"/>
      <c r="D4" s="24"/>
      <c r="E4" s="24"/>
      <c r="F4" s="24"/>
      <c r="G4" s="24"/>
      <c r="H4" s="24"/>
    </row>
    <row r="5" customFormat="false" ht="19.5" hidden="false" customHeight="true" outlineLevel="0" collapsed="false">
      <c r="A5" s="25" t="s">
        <v>45</v>
      </c>
      <c r="B5" s="26" t="s">
        <v>192</v>
      </c>
      <c r="C5" s="26"/>
      <c r="D5" s="26"/>
      <c r="E5" s="26"/>
      <c r="F5" s="26"/>
      <c r="G5" s="26"/>
      <c r="H5" s="26"/>
    </row>
    <row r="6" customFormat="false" ht="19.5" hidden="false" customHeight="true" outlineLevel="0" collapsed="false">
      <c r="A6" s="25" t="s">
        <v>47</v>
      </c>
      <c r="B6" s="26" t="s">
        <v>48</v>
      </c>
      <c r="C6" s="26"/>
      <c r="D6" s="26"/>
      <c r="E6" s="26"/>
      <c r="F6" s="26"/>
      <c r="G6" s="26"/>
      <c r="H6" s="26"/>
    </row>
    <row r="7" customFormat="false" ht="19.5" hidden="false" customHeight="true" outlineLevel="0" collapsed="false">
      <c r="A7" s="25" t="s">
        <v>49</v>
      </c>
      <c r="B7" s="26" t="s">
        <v>50</v>
      </c>
      <c r="C7" s="26"/>
      <c r="D7" s="26"/>
      <c r="E7" s="26"/>
      <c r="F7" s="26"/>
      <c r="G7" s="26"/>
      <c r="H7" s="26"/>
    </row>
    <row r="8" customFormat="false" ht="19.5" hidden="false" customHeight="true" outlineLevel="0" collapsed="false">
      <c r="A8" s="25" t="s">
        <v>20</v>
      </c>
      <c r="B8" s="26" t="s">
        <v>193</v>
      </c>
      <c r="C8" s="26"/>
      <c r="D8" s="26"/>
      <c r="E8" s="26"/>
      <c r="F8" s="26"/>
      <c r="G8" s="26"/>
      <c r="H8" s="26"/>
    </row>
    <row r="9" customFormat="false" ht="45.75" hidden="false" customHeight="true" outlineLevel="0" collapsed="false">
      <c r="A9" s="25" t="s">
        <v>52</v>
      </c>
      <c r="B9" s="26" t="s">
        <v>194</v>
      </c>
      <c r="C9" s="26"/>
      <c r="D9" s="26"/>
      <c r="E9" s="26"/>
      <c r="F9" s="26"/>
      <c r="G9" s="26"/>
      <c r="H9" s="26"/>
    </row>
    <row r="10" customFormat="false" ht="45.75" hidden="false" customHeight="true" outlineLevel="0" collapsed="false">
      <c r="A10" s="25" t="s">
        <v>54</v>
      </c>
      <c r="B10" s="26" t="s">
        <v>195</v>
      </c>
      <c r="C10" s="26"/>
      <c r="D10" s="26"/>
      <c r="E10" s="26"/>
      <c r="F10" s="26"/>
      <c r="G10" s="26"/>
      <c r="H10" s="26"/>
    </row>
    <row r="11" customFormat="false" ht="45.75" hidden="false" customHeight="true" outlineLevel="0" collapsed="false">
      <c r="A11" s="25" t="s">
        <v>56</v>
      </c>
      <c r="B11" s="26" t="s">
        <v>196</v>
      </c>
      <c r="C11" s="26"/>
      <c r="D11" s="26"/>
      <c r="E11" s="26"/>
      <c r="F11" s="26"/>
      <c r="G11" s="26"/>
      <c r="H11" s="26"/>
    </row>
    <row r="12" customFormat="false" ht="45.75" hidden="false" customHeight="true" outlineLevel="0" collapsed="false">
      <c r="A12" s="25" t="s">
        <v>58</v>
      </c>
      <c r="B12" s="26" t="s">
        <v>197</v>
      </c>
      <c r="C12" s="26"/>
      <c r="D12" s="26"/>
      <c r="E12" s="26"/>
      <c r="F12" s="26"/>
      <c r="G12" s="26"/>
      <c r="H12" s="26"/>
    </row>
    <row r="13" customFormat="false" ht="45.75" hidden="false" customHeight="true" outlineLevel="0" collapsed="false">
      <c r="A13" s="25" t="s">
        <v>60</v>
      </c>
      <c r="B13" s="26" t="s">
        <v>198</v>
      </c>
      <c r="C13" s="26"/>
      <c r="D13" s="26"/>
      <c r="E13" s="26"/>
      <c r="F13" s="26"/>
      <c r="G13" s="26"/>
      <c r="H13" s="26"/>
    </row>
    <row r="14" customFormat="false" ht="45.75" hidden="false" customHeight="true" outlineLevel="0" collapsed="false">
      <c r="A14" s="25" t="s">
        <v>62</v>
      </c>
      <c r="B14" s="26" t="s">
        <v>199</v>
      </c>
      <c r="C14" s="26"/>
      <c r="D14" s="26"/>
      <c r="E14" s="26"/>
      <c r="F14" s="26"/>
      <c r="G14" s="26"/>
      <c r="H14" s="26"/>
    </row>
    <row r="15" customFormat="false" ht="45.75" hidden="false" customHeight="true" outlineLevel="0" collapsed="false">
      <c r="A15" s="25" t="s">
        <v>64</v>
      </c>
      <c r="B15" s="26" t="s">
        <v>200</v>
      </c>
      <c r="C15" s="26"/>
      <c r="D15" s="26"/>
      <c r="E15" s="26"/>
      <c r="F15" s="26"/>
      <c r="G15" s="26"/>
      <c r="H15" s="26"/>
    </row>
    <row r="16" customFormat="false" ht="45.75" hidden="false" customHeight="true" outlineLevel="0" collapsed="false">
      <c r="A16" s="25" t="s">
        <v>66</v>
      </c>
      <c r="B16" s="26" t="s">
        <v>201</v>
      </c>
      <c r="C16" s="26"/>
      <c r="D16" s="26"/>
      <c r="E16" s="26"/>
      <c r="F16" s="26"/>
      <c r="G16" s="26"/>
      <c r="H16" s="26"/>
    </row>
    <row r="17" customFormat="false" ht="45.75" hidden="false" customHeight="true" outlineLevel="0" collapsed="false">
      <c r="A17" s="25" t="s">
        <v>68</v>
      </c>
      <c r="B17" s="26" t="s">
        <v>202</v>
      </c>
      <c r="C17" s="26"/>
      <c r="D17" s="26"/>
      <c r="E17" s="26"/>
      <c r="F17" s="26"/>
      <c r="G17" s="26"/>
      <c r="H17" s="2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23" t="s">
        <v>70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11" t="s">
        <v>71</v>
      </c>
      <c r="B20" s="11" t="s">
        <v>72</v>
      </c>
      <c r="C20" s="11" t="s">
        <v>73</v>
      </c>
      <c r="D20" s="11" t="s">
        <v>74</v>
      </c>
      <c r="E20" s="11" t="s">
        <v>75</v>
      </c>
      <c r="F20" s="11" t="s">
        <v>76</v>
      </c>
      <c r="G20" s="11" t="s">
        <v>29</v>
      </c>
      <c r="H20" s="11" t="s">
        <v>77</v>
      </c>
    </row>
    <row r="21" customFormat="false" ht="30" hidden="false" customHeight="true" outlineLevel="0" collapsed="false">
      <c r="A21" s="27" t="s">
        <v>78</v>
      </c>
      <c r="B21" s="9" t="n">
        <v>774400</v>
      </c>
      <c r="C21" s="9" t="n">
        <v>634000</v>
      </c>
      <c r="D21" s="9" t="n">
        <v>915000</v>
      </c>
      <c r="E21" s="8" t="s">
        <v>79</v>
      </c>
      <c r="F21" s="26" t="s">
        <v>203</v>
      </c>
      <c r="G21" s="17" t="s">
        <v>34</v>
      </c>
      <c r="H21" s="17" t="s">
        <v>81</v>
      </c>
    </row>
    <row r="22" customFormat="false" ht="30" hidden="false" customHeight="true" outlineLevel="0" collapsed="false">
      <c r="A22" s="27" t="s">
        <v>82</v>
      </c>
      <c r="B22" s="10" t="n">
        <v>1</v>
      </c>
      <c r="C22" s="10" t="n">
        <v>1</v>
      </c>
      <c r="D22" s="10" t="n">
        <v>1</v>
      </c>
      <c r="E22" s="8" t="s">
        <v>83</v>
      </c>
      <c r="F22" s="26"/>
      <c r="G22" s="17" t="s">
        <v>36</v>
      </c>
      <c r="H22" s="17" t="s">
        <v>84</v>
      </c>
    </row>
    <row r="23" customFormat="false" ht="30" hidden="false" customHeight="true" outlineLevel="0" collapsed="false">
      <c r="A23" s="27" t="s">
        <v>85</v>
      </c>
      <c r="B23" s="10" t="n">
        <v>0.895</v>
      </c>
      <c r="C23" s="10" t="n">
        <v>0.81</v>
      </c>
      <c r="D23" s="10" t="n">
        <v>0.95</v>
      </c>
      <c r="E23" s="8" t="s">
        <v>83</v>
      </c>
      <c r="F23" s="26"/>
      <c r="G23" s="17" t="s">
        <v>39</v>
      </c>
      <c r="H23" s="17" t="s">
        <v>87</v>
      </c>
    </row>
    <row r="24" customFormat="false" ht="30" hidden="false" customHeight="true" outlineLevel="0" collapsed="false">
      <c r="A24" s="27" t="s">
        <v>88</v>
      </c>
      <c r="B24" s="10" t="n">
        <v>0</v>
      </c>
      <c r="C24" s="10" t="n">
        <v>0</v>
      </c>
      <c r="D24" s="10" t="n">
        <v>0</v>
      </c>
      <c r="E24" s="8" t="s">
        <v>83</v>
      </c>
      <c r="F24" s="26"/>
      <c r="G24" s="17" t="s">
        <v>39</v>
      </c>
      <c r="H24" s="17" t="s">
        <v>81</v>
      </c>
    </row>
    <row r="25" customFormat="false" ht="30" hidden="false" customHeight="true" outlineLevel="0" collapsed="false">
      <c r="A25" s="27" t="s">
        <v>89</v>
      </c>
      <c r="B25" s="9" t="n">
        <v>5000</v>
      </c>
      <c r="C25" s="9" t="n">
        <v>4000</v>
      </c>
      <c r="D25" s="9" t="n">
        <v>6000</v>
      </c>
      <c r="E25" s="8" t="s">
        <v>90</v>
      </c>
      <c r="F25" s="26" t="s">
        <v>204</v>
      </c>
      <c r="G25" s="17" t="s">
        <v>34</v>
      </c>
      <c r="H25" s="17" t="s">
        <v>92</v>
      </c>
    </row>
    <row r="26" customFormat="false" ht="30" hidden="false" customHeight="true" outlineLevel="0" collapsed="false">
      <c r="A26" s="27" t="s">
        <v>93</v>
      </c>
      <c r="B26" s="10" t="n">
        <v>0.08</v>
      </c>
      <c r="C26" s="10" t="n">
        <v>0.15</v>
      </c>
      <c r="D26" s="10" t="n">
        <v>0.04</v>
      </c>
      <c r="E26" s="8" t="s">
        <v>83</v>
      </c>
      <c r="F26" s="26" t="s">
        <v>205</v>
      </c>
      <c r="G26" s="17" t="s">
        <v>34</v>
      </c>
      <c r="H26" s="17" t="s">
        <v>95</v>
      </c>
    </row>
    <row r="27" customFormat="false" ht="30" hidden="false" customHeight="true" outlineLevel="0" collapsed="false">
      <c r="A27" s="27" t="s">
        <v>96</v>
      </c>
      <c r="B27" s="9" t="n">
        <v>3360</v>
      </c>
      <c r="C27" s="9" t="n">
        <v>6720</v>
      </c>
      <c r="D27" s="9" t="n">
        <v>0</v>
      </c>
      <c r="E27" s="8" t="s">
        <v>90</v>
      </c>
      <c r="F27" s="26"/>
      <c r="G27" s="17" t="s">
        <v>39</v>
      </c>
      <c r="H27" s="17" t="s">
        <v>84</v>
      </c>
    </row>
    <row r="28" customFormat="false" ht="30" hidden="false" customHeight="true" outlineLevel="0" collapsed="false">
      <c r="A28" s="27" t="s">
        <v>97</v>
      </c>
      <c r="B28" s="10" t="n">
        <v>0.025</v>
      </c>
      <c r="C28" s="10" t="n">
        <v>0.05</v>
      </c>
      <c r="D28" s="10" t="n">
        <v>0.01</v>
      </c>
      <c r="E28" s="8" t="s">
        <v>83</v>
      </c>
      <c r="F28" s="26" t="s">
        <v>205</v>
      </c>
      <c r="G28" s="17" t="s">
        <v>34</v>
      </c>
      <c r="H28" s="17" t="s">
        <v>95</v>
      </c>
    </row>
    <row r="29" customFormat="false" ht="30" hidden="false" customHeight="true" outlineLevel="0" collapsed="false">
      <c r="A29" s="27" t="s">
        <v>99</v>
      </c>
      <c r="B29" s="9" t="n">
        <v>23520</v>
      </c>
      <c r="C29" s="9" t="n">
        <v>23520</v>
      </c>
      <c r="D29" s="9" t="n">
        <v>23520</v>
      </c>
      <c r="E29" s="8" t="s">
        <v>90</v>
      </c>
      <c r="F29" s="26"/>
      <c r="G29" s="17" t="s">
        <v>39</v>
      </c>
      <c r="H29" s="17" t="s">
        <v>84</v>
      </c>
    </row>
    <row r="30" customFormat="false" ht="30" hidden="false" customHeight="true" outlineLevel="0" collapsed="false">
      <c r="A30" s="27" t="s">
        <v>100</v>
      </c>
      <c r="B30" s="9" t="n">
        <v>2</v>
      </c>
      <c r="C30" s="9" t="n">
        <v>2</v>
      </c>
      <c r="D30" s="9" t="n">
        <v>2</v>
      </c>
      <c r="E30" s="8" t="s">
        <v>101</v>
      </c>
      <c r="F30" s="26"/>
      <c r="G30" s="17" t="s">
        <v>36</v>
      </c>
      <c r="H30" s="17" t="s">
        <v>84</v>
      </c>
    </row>
    <row r="31" customFormat="false" ht="30" hidden="false" customHeight="true" outlineLevel="0" collapsed="false">
      <c r="A31" s="27" t="s">
        <v>102</v>
      </c>
      <c r="B31" s="9" t="n">
        <v>3</v>
      </c>
      <c r="C31" s="9" t="n">
        <v>3</v>
      </c>
      <c r="D31" s="9" t="n">
        <v>3</v>
      </c>
      <c r="E31" s="8" t="s">
        <v>101</v>
      </c>
      <c r="F31" s="26"/>
      <c r="G31" s="17" t="s">
        <v>39</v>
      </c>
      <c r="H31" s="17" t="s">
        <v>84</v>
      </c>
    </row>
    <row r="32" customFormat="false" ht="30" hidden="false" customHeight="true" outlineLevel="0" collapsed="false">
      <c r="A32" s="27" t="s">
        <v>103</v>
      </c>
      <c r="B32" s="9" t="n">
        <v>300000000</v>
      </c>
      <c r="C32" s="9" t="n">
        <v>500000000</v>
      </c>
      <c r="D32" s="9" t="n">
        <v>200000000</v>
      </c>
      <c r="E32" s="8" t="s">
        <v>104</v>
      </c>
      <c r="F32" s="26" t="s">
        <v>206</v>
      </c>
      <c r="G32" s="17" t="s">
        <v>34</v>
      </c>
      <c r="H32" s="17" t="s">
        <v>106</v>
      </c>
    </row>
    <row r="33" customFormat="false" ht="30" hidden="false" customHeight="true" outlineLevel="0" collapsed="false">
      <c r="A33" s="27" t="s">
        <v>107</v>
      </c>
      <c r="B33" s="9" t="n">
        <v>20000000</v>
      </c>
      <c r="C33" s="9" t="n">
        <v>20000000</v>
      </c>
      <c r="D33" s="9" t="n">
        <v>20000000</v>
      </c>
      <c r="E33" s="8" t="s">
        <v>90</v>
      </c>
      <c r="F33" s="26"/>
      <c r="G33" s="17" t="s">
        <v>39</v>
      </c>
      <c r="H33" s="17" t="s">
        <v>109</v>
      </c>
    </row>
    <row r="34" customFormat="false" ht="30" hidden="false" customHeight="true" outlineLevel="0" collapsed="false">
      <c r="A34" s="27" t="s">
        <v>110</v>
      </c>
      <c r="B34" s="9" t="n">
        <v>400</v>
      </c>
      <c r="C34" s="9" t="n">
        <v>800</v>
      </c>
      <c r="D34" s="9" t="n">
        <v>200</v>
      </c>
      <c r="E34" s="8" t="s">
        <v>90</v>
      </c>
      <c r="F34" s="26"/>
      <c r="G34" s="17" t="s">
        <v>39</v>
      </c>
      <c r="H34" s="17" t="s">
        <v>111</v>
      </c>
    </row>
    <row r="35" customFormat="false" ht="30" hidden="false" customHeight="true" outlineLevel="0" collapsed="false">
      <c r="A35" s="27" t="s">
        <v>112</v>
      </c>
      <c r="B35" s="10" t="n">
        <v>1</v>
      </c>
      <c r="C35" s="10" t="n">
        <v>1</v>
      </c>
      <c r="D35" s="10" t="n">
        <v>1</v>
      </c>
      <c r="E35" s="8" t="s">
        <v>83</v>
      </c>
      <c r="F35" s="26"/>
      <c r="G35" s="17" t="s">
        <v>36</v>
      </c>
      <c r="H35" s="17" t="s">
        <v>113</v>
      </c>
    </row>
    <row r="36" customFormat="false" ht="30" hidden="false" customHeight="true" outlineLevel="0" collapsed="false">
      <c r="A36" s="27" t="s">
        <v>114</v>
      </c>
      <c r="B36" s="9" t="n">
        <v>3520000</v>
      </c>
      <c r="C36" s="9" t="n">
        <v>3520000</v>
      </c>
      <c r="D36" s="9" t="n">
        <v>3520000</v>
      </c>
      <c r="E36" s="8" t="s">
        <v>79</v>
      </c>
      <c r="F36" s="26"/>
      <c r="G36" s="17" t="s">
        <v>36</v>
      </c>
      <c r="H36" s="17" t="s">
        <v>84</v>
      </c>
    </row>
    <row r="37" customFormat="false" ht="30" hidden="false" customHeight="true" outlineLevel="0" collapsed="false">
      <c r="A37" s="27" t="s">
        <v>116</v>
      </c>
      <c r="B37" s="9" t="n">
        <v>18500</v>
      </c>
      <c r="C37" s="9" t="n">
        <v>18500</v>
      </c>
      <c r="D37" s="9" t="n">
        <v>18500</v>
      </c>
      <c r="E37" s="8" t="s">
        <v>90</v>
      </c>
      <c r="F37" s="26"/>
      <c r="G37" s="17" t="s">
        <v>36</v>
      </c>
      <c r="H37" s="17" t="s">
        <v>84</v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23" t="s">
        <v>117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false" outlineLevel="0" collapsed="false">
      <c r="A40" s="11" t="s">
        <v>118</v>
      </c>
      <c r="B40" s="11" t="s">
        <v>72</v>
      </c>
      <c r="C40" s="11" t="s">
        <v>73</v>
      </c>
      <c r="D40" s="11" t="s">
        <v>74</v>
      </c>
      <c r="E40" s="11" t="s">
        <v>75</v>
      </c>
      <c r="F40" s="11" t="s">
        <v>119</v>
      </c>
      <c r="G40" s="11"/>
      <c r="H40" s="11"/>
    </row>
    <row r="41" customFormat="false" ht="15" hidden="false" customHeight="true" outlineLevel="0" collapsed="false">
      <c r="A41" s="27" t="s">
        <v>120</v>
      </c>
      <c r="B41" s="28" t="n">
        <f aca="false">B21*B22*B23*(1-B24)</f>
        <v>693088</v>
      </c>
      <c r="C41" s="28" t="n">
        <f aca="false">IF(C21="",$B21,C21)*IF(C22="",$B22,C22)*IF(C23="",$B23,C23)*(1-IF(C24="",$B24,C24))</f>
        <v>513540</v>
      </c>
      <c r="D41" s="28" t="n">
        <f aca="false">IF(D21="",$B21,D21)*IF(D22="",$B22,D22)*IF(D23="",$B23,D23)*(1-IF(D24="",$B24,D24))</f>
        <v>869250</v>
      </c>
      <c r="E41" s="8" t="s">
        <v>79</v>
      </c>
      <c r="F41" s="27" t="s">
        <v>121</v>
      </c>
      <c r="G41" s="27"/>
      <c r="H41" s="27"/>
    </row>
    <row r="42" customFormat="false" ht="15" hidden="false" customHeight="true" outlineLevel="0" collapsed="false">
      <c r="A42" s="27" t="s">
        <v>122</v>
      </c>
      <c r="B42" s="28" t="n">
        <f aca="false">B21*B26</f>
        <v>61952</v>
      </c>
      <c r="C42" s="28" t="n">
        <f aca="false">IF(C21="",$B21,C21)*IF(C26="",$B26,C26)</f>
        <v>95100</v>
      </c>
      <c r="D42" s="28" t="n">
        <f aca="false">IF(D21="",$B21,D21)*IF(D26="",$B26,D26)</f>
        <v>36600</v>
      </c>
      <c r="E42" s="8" t="s">
        <v>79</v>
      </c>
      <c r="F42" s="27" t="s">
        <v>123</v>
      </c>
      <c r="G42" s="27"/>
      <c r="H42" s="27"/>
    </row>
    <row r="43" customFormat="false" ht="15" hidden="false" customHeight="true" outlineLevel="0" collapsed="false">
      <c r="A43" s="27" t="s">
        <v>124</v>
      </c>
      <c r="B43" s="28" t="n">
        <f aca="false">B21*B28</f>
        <v>19360</v>
      </c>
      <c r="C43" s="28" t="n">
        <f aca="false">IF(C21="",$B21,C21)*IF(C28="",$B28,C28)</f>
        <v>31700</v>
      </c>
      <c r="D43" s="28" t="n">
        <f aca="false">IF(D21="",$B21,D21)*IF(D28="",$B28,D28)</f>
        <v>9150</v>
      </c>
      <c r="E43" s="8" t="s">
        <v>79</v>
      </c>
      <c r="F43" s="27" t="s">
        <v>125</v>
      </c>
      <c r="G43" s="27"/>
      <c r="H43" s="27"/>
    </row>
    <row r="44" customFormat="false" ht="15" hidden="false" customHeight="true" outlineLevel="0" collapsed="false">
      <c r="A44" s="25" t="s">
        <v>126</v>
      </c>
      <c r="B44" s="28" t="n">
        <f aca="false">(B41*B25-B42*B27-B43*B29)/(1+Портфель!$B$5)</f>
        <v>2501726857.14286</v>
      </c>
      <c r="C44" s="28" t="n">
        <f aca="false">(C41*IF(C25="",$B25,C25)-C42*IF(C27="",$B27,C27)-C43*IF(C29="",$B29,C29))/(1+Портфель!$B$5)</f>
        <v>597771428.571429</v>
      </c>
      <c r="D44" s="28" t="n">
        <f aca="false">(D41*IF(D25="",$B25,D25)-D42*IF(D27="",$B27,D27)-D43*IF(D29="",$B29,D29))/(1+Портфель!$B$5)</f>
        <v>4464546428.57143</v>
      </c>
      <c r="E44" s="8" t="s">
        <v>90</v>
      </c>
      <c r="F44" s="27" t="s">
        <v>127</v>
      </c>
      <c r="G44" s="27"/>
      <c r="H44" s="27"/>
    </row>
    <row r="45" customFormat="false" ht="15" hidden="false" customHeight="true" outlineLevel="0" collapsed="false">
      <c r="A45" s="27" t="s">
        <v>128</v>
      </c>
      <c r="B45" s="18" t="n">
        <f aca="false">MAX(0,12-B30+1)</f>
        <v>11</v>
      </c>
      <c r="C45" s="18" t="n">
        <f aca="false">MAX(0,12-IF(C30="",$B30,C30)+1)</f>
        <v>11</v>
      </c>
      <c r="D45" s="18" t="n">
        <f aca="false">MAX(0,12-IF(D30="",$B30,D30)+1)</f>
        <v>11</v>
      </c>
      <c r="E45" s="8" t="s">
        <v>101</v>
      </c>
      <c r="F45" s="27" t="s">
        <v>129</v>
      </c>
      <c r="G45" s="27"/>
      <c r="H45" s="27"/>
    </row>
    <row r="46" customFormat="false" ht="15" hidden="false" customHeight="true" outlineLevel="0" collapsed="false">
      <c r="A46" s="27" t="s">
        <v>130</v>
      </c>
      <c r="B46" s="18" t="n">
        <f aca="false">IF(B45&gt;=B31,(B31+1)/2+(B45-B31),B45*(B45+1)/(2*MAX(1,B31)))</f>
        <v>10</v>
      </c>
      <c r="C46" s="18" t="n">
        <f aca="false">IF(C45&gt;=IF(C31="",$B31,C31),(IF(C31="",$B31,C31)+1)/2+(C45-IF(C31="",$B31,C31)),C45*(C45+1)/(2*MAX(1,IF(C31="",$B31,C31))))</f>
        <v>10</v>
      </c>
      <c r="D46" s="18" t="n">
        <f aca="false">IF(D45&gt;=IF(D31="",$B31,D31),(IF(D31="",$B31,D31)+1)/2+(D45-IF(D31="",$B31,D31)),D45*(D45+1)/(2*MAX(1,IF(D31="",$B31,D31))))</f>
        <v>10</v>
      </c>
      <c r="E46" s="8" t="s">
        <v>101</v>
      </c>
      <c r="F46" s="27" t="s">
        <v>131</v>
      </c>
      <c r="G46" s="27"/>
      <c r="H46" s="27"/>
    </row>
    <row r="47" customFormat="false" ht="15" hidden="false" customHeight="true" outlineLevel="0" collapsed="false">
      <c r="A47" s="27" t="s">
        <v>132</v>
      </c>
      <c r="B47" s="18" t="n">
        <f aca="false">MAX(0,24-B30+1)</f>
        <v>23</v>
      </c>
      <c r="C47" s="18" t="n">
        <f aca="false">MAX(0,24-IF(C30="",$B30,C30)+1)</f>
        <v>23</v>
      </c>
      <c r="D47" s="18" t="n">
        <f aca="false">MAX(0,24-IF(D30="",$B30,D30)+1)</f>
        <v>23</v>
      </c>
      <c r="E47" s="8" t="s">
        <v>101</v>
      </c>
      <c r="F47" s="27" t="s">
        <v>133</v>
      </c>
      <c r="G47" s="27"/>
      <c r="H47" s="27"/>
    </row>
    <row r="48" customFormat="false" ht="15" hidden="false" customHeight="false" outlineLevel="0" collapsed="false">
      <c r="A48" s="27" t="s">
        <v>134</v>
      </c>
      <c r="B48" s="18" t="n">
        <f aca="false">IF(B47&gt;=B31,(B31+1)/2+(B47-B31),B47*(B47+1)/(2*MAX(1,B31)))</f>
        <v>22</v>
      </c>
      <c r="C48" s="18" t="n">
        <f aca="false">IF(C47&gt;=IF(C31="",$B31,C31),(IF(C31="",$B31,C31)+1)/2+(C47-IF(C31="",$B31,C31)),C47*(C47+1)/(2*MAX(1,IF(C31="",$B31,C31))))</f>
        <v>22</v>
      </c>
      <c r="D48" s="18" t="n">
        <f aca="false">IF(D47&gt;=IF(D31="",$B31,D31),(IF(D31="",$B31,D31)+1)/2+(D47-IF(D31="",$B31,D31)),D47*(D47+1)/(2*MAX(1,IF(D31="",$B31,D31))))</f>
        <v>22</v>
      </c>
      <c r="E48" s="8" t="s">
        <v>101</v>
      </c>
      <c r="F48" s="27"/>
      <c r="G48" s="27"/>
      <c r="H48" s="27"/>
    </row>
    <row r="49" customFormat="false" ht="15" hidden="false" customHeight="true" outlineLevel="0" collapsed="false">
      <c r="A49" s="25" t="s">
        <v>135</v>
      </c>
      <c r="B49" s="28" t="n">
        <f aca="false">B44*B46</f>
        <v>25017268571.4286</v>
      </c>
      <c r="C49" s="28" t="n">
        <f aca="false">C44*C46</f>
        <v>5977714285.71429</v>
      </c>
      <c r="D49" s="28" t="n">
        <f aca="false">D44*D46</f>
        <v>44645464285.7143</v>
      </c>
      <c r="E49" s="8" t="s">
        <v>104</v>
      </c>
      <c r="F49" s="27" t="s">
        <v>136</v>
      </c>
      <c r="G49" s="27"/>
      <c r="H49" s="27"/>
    </row>
    <row r="50" customFormat="false" ht="15" hidden="false" customHeight="false" outlineLevel="0" collapsed="false">
      <c r="A50" s="27" t="s">
        <v>137</v>
      </c>
      <c r="B50" s="28" t="n">
        <f aca="false">B44*B48</f>
        <v>55037990857.1429</v>
      </c>
      <c r="C50" s="28" t="n">
        <f aca="false">C44*C48</f>
        <v>13150971428.5714</v>
      </c>
      <c r="D50" s="28" t="n">
        <f aca="false">D44*D48</f>
        <v>98220021428.5714</v>
      </c>
      <c r="E50" s="8" t="s">
        <v>104</v>
      </c>
      <c r="F50" s="27"/>
      <c r="G50" s="27"/>
      <c r="H50" s="27"/>
    </row>
    <row r="51" customFormat="false" ht="15" hidden="false" customHeight="true" outlineLevel="0" collapsed="false">
      <c r="A51" s="27" t="s">
        <v>138</v>
      </c>
      <c r="B51" s="28" t="n">
        <f aca="false">B32+B33*B47+B34*B41*B48</f>
        <v>6859174400</v>
      </c>
      <c r="C51" s="28" t="n">
        <f aca="false">IF(C32="",$B32,C32)+IF(C33="",$B33,C33)*C47+IF(C34="",$B34,C34)*C41*C48</f>
        <v>9998304000</v>
      </c>
      <c r="D51" s="28" t="n">
        <f aca="false">IF(D32="",$B32,D32)+IF(D33="",$B33,D33)*D47+IF(D34="",$B34,D34)*D41*D48</f>
        <v>4484700000</v>
      </c>
      <c r="E51" s="8" t="s">
        <v>104</v>
      </c>
      <c r="F51" s="27" t="s">
        <v>139</v>
      </c>
      <c r="G51" s="27"/>
      <c r="H51" s="27"/>
    </row>
    <row r="52" customFormat="false" ht="15" hidden="false" customHeight="true" outlineLevel="0" collapsed="false">
      <c r="A52" s="25" t="s">
        <v>140</v>
      </c>
      <c r="B52" s="28" t="n">
        <f aca="false">B50*B35-B51</f>
        <v>48178816457.1429</v>
      </c>
      <c r="C52" s="28" t="n">
        <f aca="false">C50*IF(C35="",$B35,C35)-C51</f>
        <v>3152667428.57143</v>
      </c>
      <c r="D52" s="28" t="n">
        <f aca="false">D50*IF(D35="",$B35,D35)-D51</f>
        <v>93735321428.5714</v>
      </c>
      <c r="E52" s="8" t="s">
        <v>104</v>
      </c>
      <c r="F52" s="27" t="s">
        <v>141</v>
      </c>
      <c r="G52" s="27"/>
      <c r="H52" s="27"/>
    </row>
    <row r="53" customFormat="false" ht="15" hidden="false" customHeight="true" outlineLevel="0" collapsed="false">
      <c r="A53" s="27" t="s">
        <v>142</v>
      </c>
      <c r="B53" s="18" t="n">
        <f aca="false">IF(B44*B35-B33-B34*B41&gt;0,B32/(B44*B35-B33-B34*B41),"не окупается")</f>
        <v>0.136085795121047</v>
      </c>
      <c r="C53" s="18" t="n">
        <f aca="false">IF(C44*IF(C35="",$B35,C35)-IF(C33="",$B33,C33)-IF(C34="",$B34,C34)*C41&gt;0,IF(C32="",$B32,C32)/(C44*IF(C35="",$B35,C35)-IF(C33="",$B33,C33)-IF(C34="",$B34,C34)*C41),"не окупается")</f>
        <v>2.99509830768388</v>
      </c>
      <c r="D53" s="18" t="n">
        <f aca="false">IF(D44*IF(D35="",$B35,D35)-IF(D33="",$B33,D33)-IF(D34="",$B34,D34)*D41&gt;0,IF(D32="",$B32,D32)/(D44*IF(D35="",$B35,D35)-IF(D33="",$B33,D33)-IF(D34="",$B34,D34)*D41),"не окупается")</f>
        <v>0.0468307694880812</v>
      </c>
      <c r="E53" s="8" t="s">
        <v>101</v>
      </c>
      <c r="F53" s="27" t="s">
        <v>143</v>
      </c>
      <c r="G53" s="27"/>
      <c r="H53" s="27"/>
    </row>
    <row r="54" customFormat="false" ht="15" hidden="false" customHeight="true" outlineLevel="0" collapsed="false">
      <c r="A54" s="27" t="s">
        <v>144</v>
      </c>
      <c r="B54" s="29" t="n">
        <f aca="false">IF(B51&gt;0,B52/B51,0)</f>
        <v>7.02399642399278</v>
      </c>
      <c r="C54" s="29" t="n">
        <f aca="false">IF(C51&gt;0,C52/C51,0)</f>
        <v>0.315320221166653</v>
      </c>
      <c r="D54" s="29" t="n">
        <f aca="false">IF(D51&gt;0,D52/D51,0)</f>
        <v>20.9011352885525</v>
      </c>
      <c r="E54" s="8" t="s">
        <v>145</v>
      </c>
      <c r="F54" s="27" t="s">
        <v>146</v>
      </c>
      <c r="G54" s="27"/>
      <c r="H54" s="27"/>
    </row>
    <row r="55" customFormat="false" ht="15" hidden="false" customHeight="true" outlineLevel="0" collapsed="false">
      <c r="A55" s="25" t="s">
        <v>147</v>
      </c>
      <c r="B55" s="30" t="n">
        <f aca="false">IF(B36*B37&gt;0,B44/(B36*B37),0)</f>
        <v>0.0384171814671815</v>
      </c>
      <c r="C55" s="30" t="n">
        <f aca="false">IF(IF(C36="",$B36,C36)*IF(C37="",$B37,C37)&gt;0,C44/(IF(C36="",$B36,C36)*IF(C37="",$B37,C37)),0)</f>
        <v>0.00917953667953668</v>
      </c>
      <c r="D55" s="30" t="n">
        <f aca="false">IF(IF(D36="",$B36,D36)*IF(D37="",$B37,D37)&gt;0,D44/(IF(D36="",$B36,D36)*IF(D37="",$B37,D37)),0)</f>
        <v>0.0685587596525097</v>
      </c>
      <c r="E55" s="8" t="s">
        <v>83</v>
      </c>
      <c r="F55" s="27" t="s">
        <v>148</v>
      </c>
      <c r="G55" s="27"/>
      <c r="H55" s="27"/>
    </row>
    <row r="56" customFormat="false" ht="15" hidden="false" customHeight="true" outlineLevel="0" collapsed="false">
      <c r="A56" s="27" t="s">
        <v>149</v>
      </c>
      <c r="B56" s="31" t="n">
        <f aca="false">B44*12/Портфель!$B$4</f>
        <v>2481051.42857143</v>
      </c>
      <c r="C56" s="31" t="n">
        <f aca="false">C44*12/Портфель!$B$4</f>
        <v>592831.168831169</v>
      </c>
      <c r="D56" s="31" t="n">
        <f aca="false">D44*12/Портфель!$B$4</f>
        <v>4427649.35064935</v>
      </c>
      <c r="E56" s="8" t="s">
        <v>150</v>
      </c>
      <c r="F56" s="27" t="s">
        <v>151</v>
      </c>
      <c r="G56" s="27"/>
      <c r="H56" s="27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23" t="s">
        <v>152</v>
      </c>
      <c r="B58" s="24"/>
      <c r="C58" s="24"/>
      <c r="D58" s="24"/>
      <c r="E58" s="24"/>
      <c r="F58" s="24"/>
      <c r="G58" s="24"/>
      <c r="H58" s="24"/>
    </row>
    <row r="59" customFormat="false" ht="15" hidden="false" customHeight="false" outlineLevel="0" collapsed="false">
      <c r="A59" s="11" t="s">
        <v>153</v>
      </c>
      <c r="B59" s="11" t="s">
        <v>20</v>
      </c>
      <c r="C59" s="11"/>
      <c r="D59" s="11"/>
      <c r="E59" s="11"/>
      <c r="F59" s="11" t="s">
        <v>154</v>
      </c>
      <c r="G59" s="11"/>
      <c r="H59" s="11"/>
    </row>
    <row r="60" customFormat="false" ht="27.75" hidden="false" customHeight="true" outlineLevel="0" collapsed="false">
      <c r="A60" s="27" t="s">
        <v>155</v>
      </c>
      <c r="B60" s="17" t="s">
        <v>156</v>
      </c>
      <c r="C60" s="6"/>
      <c r="D60" s="6"/>
      <c r="E60" s="6"/>
      <c r="F60" s="32"/>
      <c r="G60" s="32"/>
      <c r="H60" s="32"/>
    </row>
    <row r="61" customFormat="false" ht="27.75" hidden="false" customHeight="true" outlineLevel="0" collapsed="false">
      <c r="A61" s="27" t="s">
        <v>157</v>
      </c>
      <c r="B61" s="17" t="s">
        <v>156</v>
      </c>
      <c r="C61" s="6"/>
      <c r="D61" s="6"/>
      <c r="E61" s="6"/>
      <c r="F61" s="32"/>
      <c r="G61" s="32"/>
      <c r="H61" s="32"/>
    </row>
    <row r="62" customFormat="false" ht="27.75" hidden="false" customHeight="true" outlineLevel="0" collapsed="false">
      <c r="A62" s="27" t="s">
        <v>158</v>
      </c>
      <c r="B62" s="17" t="s">
        <v>156</v>
      </c>
      <c r="C62" s="6"/>
      <c r="D62" s="6"/>
      <c r="E62" s="6"/>
      <c r="F62" s="32"/>
      <c r="G62" s="32"/>
      <c r="H62" s="32"/>
    </row>
    <row r="63" customFormat="false" ht="27.75" hidden="false" customHeight="true" outlineLevel="0" collapsed="false">
      <c r="A63" s="27" t="s">
        <v>159</v>
      </c>
      <c r="B63" s="17" t="s">
        <v>156</v>
      </c>
      <c r="C63" s="6"/>
      <c r="D63" s="6"/>
      <c r="E63" s="6"/>
      <c r="F63" s="32"/>
      <c r="G63" s="32"/>
      <c r="H63" s="32"/>
    </row>
    <row r="64" customFormat="false" ht="27.75" hidden="false" customHeight="true" outlineLevel="0" collapsed="false">
      <c r="A64" s="27" t="s">
        <v>160</v>
      </c>
      <c r="B64" s="17" t="s">
        <v>156</v>
      </c>
      <c r="C64" s="6"/>
      <c r="D64" s="6"/>
      <c r="E64" s="6"/>
      <c r="F64" s="32"/>
      <c r="G64" s="32"/>
      <c r="H64" s="32"/>
    </row>
    <row r="65" customFormat="false" ht="27.75" hidden="false" customHeight="true" outlineLevel="0" collapsed="false">
      <c r="A65" s="27" t="s">
        <v>161</v>
      </c>
      <c r="B65" s="17" t="s">
        <v>156</v>
      </c>
      <c r="C65" s="6"/>
      <c r="D65" s="6"/>
      <c r="E65" s="6"/>
      <c r="F65" s="32"/>
      <c r="G65" s="32"/>
      <c r="H65" s="32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23" t="s">
        <v>162</v>
      </c>
      <c r="B67" s="24"/>
      <c r="C67" s="24"/>
      <c r="D67" s="24"/>
      <c r="E67" s="24"/>
      <c r="F67" s="24"/>
      <c r="G67" s="24"/>
      <c r="H67" s="24"/>
    </row>
    <row r="68" customFormat="false" ht="15" hidden="false" customHeight="false" outlineLevel="0" collapsed="false">
      <c r="A68" s="11" t="s">
        <v>163</v>
      </c>
      <c r="B68" s="11" t="s">
        <v>164</v>
      </c>
      <c r="C68" s="11" t="s">
        <v>165</v>
      </c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26" t="s">
        <v>207</v>
      </c>
      <c r="B69" s="17" t="s">
        <v>208</v>
      </c>
      <c r="C69" s="17" t="s">
        <v>209</v>
      </c>
      <c r="D69" s="6"/>
      <c r="E69" s="6"/>
      <c r="F69" s="6"/>
      <c r="G69" s="6"/>
      <c r="H69" s="6"/>
    </row>
    <row r="70" customFormat="false" ht="15" hidden="false" customHeight="false" outlineLevel="0" collapsed="false">
      <c r="A70" s="26" t="s">
        <v>210</v>
      </c>
      <c r="B70" s="17" t="s">
        <v>211</v>
      </c>
      <c r="C70" s="17" t="s">
        <v>212</v>
      </c>
      <c r="D70" s="6"/>
      <c r="E70" s="6"/>
      <c r="F70" s="6"/>
      <c r="G70" s="6"/>
      <c r="H70" s="6"/>
    </row>
    <row r="71" customFormat="false" ht="15" hidden="false" customHeight="false" outlineLevel="0" collapsed="false">
      <c r="A71" s="26" t="s">
        <v>213</v>
      </c>
      <c r="B71" s="17" t="s">
        <v>214</v>
      </c>
      <c r="C71" s="17" t="s">
        <v>215</v>
      </c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23" t="s">
        <v>175</v>
      </c>
      <c r="B73" s="24"/>
      <c r="C73" s="24"/>
      <c r="D73" s="24"/>
      <c r="E73" s="24"/>
      <c r="F73" s="24"/>
      <c r="G73" s="24"/>
      <c r="H73" s="24"/>
    </row>
    <row r="74" customFormat="false" ht="15" hidden="false" customHeight="false" outlineLevel="0" collapsed="false">
      <c r="A74" s="11" t="s">
        <v>176</v>
      </c>
      <c r="B74" s="11" t="s">
        <v>177</v>
      </c>
      <c r="C74" s="11"/>
      <c r="D74" s="11"/>
      <c r="E74" s="11"/>
      <c r="F74" s="11"/>
      <c r="G74" s="11"/>
      <c r="H74" s="11"/>
    </row>
    <row r="75" customFormat="false" ht="26.85" hidden="false" customHeight="false" outlineLevel="0" collapsed="false">
      <c r="A75" s="27" t="s">
        <v>178</v>
      </c>
      <c r="B75" s="17" t="s">
        <v>179</v>
      </c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27" t="s">
        <v>180</v>
      </c>
      <c r="B76" s="17" t="s">
        <v>179</v>
      </c>
      <c r="C76" s="6"/>
      <c r="D76" s="6"/>
      <c r="E76" s="6"/>
      <c r="F76" s="6"/>
      <c r="G76" s="6"/>
      <c r="H76" s="6"/>
    </row>
    <row r="77" customFormat="false" ht="26.85" hidden="false" customHeight="false" outlineLevel="0" collapsed="false">
      <c r="A77" s="27" t="s">
        <v>181</v>
      </c>
      <c r="B77" s="17" t="s">
        <v>179</v>
      </c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27" t="s">
        <v>182</v>
      </c>
      <c r="B78" s="17" t="s">
        <v>179</v>
      </c>
      <c r="C78" s="6"/>
      <c r="D78" s="6"/>
      <c r="E78" s="6"/>
      <c r="F78" s="6"/>
      <c r="G78" s="6"/>
      <c r="H78" s="6"/>
    </row>
    <row r="79" customFormat="false" ht="26.85" hidden="false" customHeight="false" outlineLevel="0" collapsed="false">
      <c r="A79" s="27" t="s">
        <v>183</v>
      </c>
      <c r="B79" s="17" t="s">
        <v>179</v>
      </c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27" t="s">
        <v>184</v>
      </c>
      <c r="B80" s="17" t="s">
        <v>179</v>
      </c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27" t="s">
        <v>186</v>
      </c>
      <c r="B81" s="17" t="s">
        <v>179</v>
      </c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27" t="s">
        <v>187</v>
      </c>
      <c r="B82" s="17" t="s">
        <v>179</v>
      </c>
      <c r="C82" s="6"/>
      <c r="D82" s="6"/>
      <c r="E82" s="6"/>
      <c r="F82" s="6"/>
      <c r="G82" s="6"/>
      <c r="H82" s="6"/>
    </row>
    <row r="83" customFormat="false" ht="26.85" hidden="false" customHeight="false" outlineLevel="0" collapsed="false">
      <c r="A83" s="27" t="s">
        <v>188</v>
      </c>
      <c r="B83" s="17" t="s">
        <v>185</v>
      </c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27" t="s">
        <v>189</v>
      </c>
      <c r="B84" s="17" t="s">
        <v>185</v>
      </c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20" t="s">
        <v>190</v>
      </c>
      <c r="B85" s="33" t="n">
        <f aca="false">COUNTIF(B75:B84,"Да")/10</f>
        <v>0.8</v>
      </c>
      <c r="C85" s="20" t="str">
        <f aca="false">IF(B85&gt;=0.8,"Можно передавать финансам","Доработать до 80%")</f>
        <v>Можно передавать финансам</v>
      </c>
      <c r="D85" s="6"/>
      <c r="E85" s="6"/>
      <c r="F85" s="6"/>
      <c r="G85" s="6"/>
      <c r="H85" s="6"/>
    </row>
  </sheetData>
  <mergeCells count="3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60:H60"/>
    <mergeCell ref="F61:H61"/>
    <mergeCell ref="F62:H62"/>
    <mergeCell ref="F63:H63"/>
    <mergeCell ref="F64:H64"/>
    <mergeCell ref="F65:H65"/>
  </mergeCells>
  <dataValidations count="4">
    <dataValidation allowBlank="true" errorStyle="stop" operator="between" showDropDown="false" showErrorMessage="false" showInputMessage="false" sqref="B8" type="list">
      <formula1>"Идея,Discovery,Готово к финансам,В расчёте у финансов,Утверждено,Отклонено"</formula1>
      <formula2>0</formula2>
    </dataValidation>
    <dataValidation allowBlank="true" errorStyle="stop" operator="between" showDropDown="false" showErrorMessage="false" showInputMessage="false" sqref="G21:G37" type="list">
      <formula1>"Высокая,Средняя,Низкая"</formula1>
      <formula2>0</formula2>
    </dataValidation>
    <dataValidation allowBlank="true" errorStyle="stop" operator="between" showDropDown="false" showErrorMessage="false" showInputMessage="false" sqref="B60:B65" type="list">
      <formula1>"Не начато,Запрошено,Получено"</formula1>
      <formula2>0</formula2>
    </dataValidation>
    <dataValidation allowBlank="true" errorStyle="stop" operator="between" showDropDown="false" showErrorMessage="false" showInputMessage="false" sqref="B75:B8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5" t="s">
        <v>216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2" t="s">
        <v>43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3" t="s">
        <v>44</v>
      </c>
      <c r="B4" s="24"/>
      <c r="C4" s="24"/>
      <c r="D4" s="24"/>
      <c r="E4" s="24"/>
      <c r="F4" s="24"/>
      <c r="G4" s="24"/>
      <c r="H4" s="24"/>
    </row>
    <row r="5" customFormat="false" ht="19.5" hidden="false" customHeight="true" outlineLevel="0" collapsed="false">
      <c r="A5" s="25" t="s">
        <v>45</v>
      </c>
      <c r="B5" s="26" t="s">
        <v>217</v>
      </c>
      <c r="C5" s="26"/>
      <c r="D5" s="26"/>
      <c r="E5" s="26"/>
      <c r="F5" s="26"/>
      <c r="G5" s="26"/>
      <c r="H5" s="26"/>
    </row>
    <row r="6" customFormat="false" ht="19.5" hidden="false" customHeight="true" outlineLevel="0" collapsed="false">
      <c r="A6" s="25" t="s">
        <v>47</v>
      </c>
      <c r="B6" s="26" t="s">
        <v>48</v>
      </c>
      <c r="C6" s="26"/>
      <c r="D6" s="26"/>
      <c r="E6" s="26"/>
      <c r="F6" s="26"/>
      <c r="G6" s="26"/>
      <c r="H6" s="26"/>
    </row>
    <row r="7" customFormat="false" ht="19.5" hidden="false" customHeight="true" outlineLevel="0" collapsed="false">
      <c r="A7" s="25" t="s">
        <v>49</v>
      </c>
      <c r="B7" s="26" t="s">
        <v>50</v>
      </c>
      <c r="C7" s="26"/>
      <c r="D7" s="26"/>
      <c r="E7" s="26"/>
      <c r="F7" s="26"/>
      <c r="G7" s="26"/>
      <c r="H7" s="26"/>
    </row>
    <row r="8" customFormat="false" ht="19.5" hidden="false" customHeight="true" outlineLevel="0" collapsed="false">
      <c r="A8" s="25" t="s">
        <v>20</v>
      </c>
      <c r="B8" s="26" t="s">
        <v>193</v>
      </c>
      <c r="C8" s="26"/>
      <c r="D8" s="26"/>
      <c r="E8" s="26"/>
      <c r="F8" s="26"/>
      <c r="G8" s="26"/>
      <c r="H8" s="26"/>
    </row>
    <row r="9" customFormat="false" ht="45.75" hidden="false" customHeight="true" outlineLevel="0" collapsed="false">
      <c r="A9" s="25" t="s">
        <v>52</v>
      </c>
      <c r="B9" s="26" t="s">
        <v>218</v>
      </c>
      <c r="C9" s="26"/>
      <c r="D9" s="26"/>
      <c r="E9" s="26"/>
      <c r="F9" s="26"/>
      <c r="G9" s="26"/>
      <c r="H9" s="26"/>
    </row>
    <row r="10" customFormat="false" ht="45.75" hidden="false" customHeight="true" outlineLevel="0" collapsed="false">
      <c r="A10" s="25" t="s">
        <v>54</v>
      </c>
      <c r="B10" s="26" t="s">
        <v>219</v>
      </c>
      <c r="C10" s="26"/>
      <c r="D10" s="26"/>
      <c r="E10" s="26"/>
      <c r="F10" s="26"/>
      <c r="G10" s="26"/>
      <c r="H10" s="26"/>
    </row>
    <row r="11" customFormat="false" ht="45.75" hidden="false" customHeight="true" outlineLevel="0" collapsed="false">
      <c r="A11" s="25" t="s">
        <v>56</v>
      </c>
      <c r="B11" s="26" t="s">
        <v>220</v>
      </c>
      <c r="C11" s="26"/>
      <c r="D11" s="26"/>
      <c r="E11" s="26"/>
      <c r="F11" s="26"/>
      <c r="G11" s="26"/>
      <c r="H11" s="26"/>
    </row>
    <row r="12" customFormat="false" ht="45.75" hidden="false" customHeight="true" outlineLevel="0" collapsed="false">
      <c r="A12" s="25" t="s">
        <v>58</v>
      </c>
      <c r="B12" s="26" t="s">
        <v>221</v>
      </c>
      <c r="C12" s="26"/>
      <c r="D12" s="26"/>
      <c r="E12" s="26"/>
      <c r="F12" s="26"/>
      <c r="G12" s="26"/>
      <c r="H12" s="26"/>
    </row>
    <row r="13" customFormat="false" ht="45.75" hidden="false" customHeight="true" outlineLevel="0" collapsed="false">
      <c r="A13" s="25" t="s">
        <v>60</v>
      </c>
      <c r="B13" s="26" t="s">
        <v>222</v>
      </c>
      <c r="C13" s="26"/>
      <c r="D13" s="26"/>
      <c r="E13" s="26"/>
      <c r="F13" s="26"/>
      <c r="G13" s="26"/>
      <c r="H13" s="26"/>
    </row>
    <row r="14" customFormat="false" ht="45.75" hidden="false" customHeight="true" outlineLevel="0" collapsed="false">
      <c r="A14" s="25" t="s">
        <v>62</v>
      </c>
      <c r="B14" s="26" t="s">
        <v>223</v>
      </c>
      <c r="C14" s="26"/>
      <c r="D14" s="26"/>
      <c r="E14" s="26"/>
      <c r="F14" s="26"/>
      <c r="G14" s="26"/>
      <c r="H14" s="26"/>
    </row>
    <row r="15" customFormat="false" ht="45.75" hidden="false" customHeight="true" outlineLevel="0" collapsed="false">
      <c r="A15" s="25" t="s">
        <v>64</v>
      </c>
      <c r="B15" s="26" t="s">
        <v>224</v>
      </c>
      <c r="C15" s="26"/>
      <c r="D15" s="26"/>
      <c r="E15" s="26"/>
      <c r="F15" s="26"/>
      <c r="G15" s="26"/>
      <c r="H15" s="26"/>
    </row>
    <row r="16" customFormat="false" ht="45.75" hidden="false" customHeight="true" outlineLevel="0" collapsed="false">
      <c r="A16" s="25" t="s">
        <v>66</v>
      </c>
      <c r="B16" s="26" t="s">
        <v>225</v>
      </c>
      <c r="C16" s="26"/>
      <c r="D16" s="26"/>
      <c r="E16" s="26"/>
      <c r="F16" s="26"/>
      <c r="G16" s="26"/>
      <c r="H16" s="26"/>
    </row>
    <row r="17" customFormat="false" ht="45.75" hidden="false" customHeight="true" outlineLevel="0" collapsed="false">
      <c r="A17" s="25" t="s">
        <v>68</v>
      </c>
      <c r="B17" s="26" t="s">
        <v>226</v>
      </c>
      <c r="C17" s="26"/>
      <c r="D17" s="26"/>
      <c r="E17" s="26"/>
      <c r="F17" s="26"/>
      <c r="G17" s="26"/>
      <c r="H17" s="2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23" t="s">
        <v>70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11" t="s">
        <v>71</v>
      </c>
      <c r="B20" s="11" t="s">
        <v>72</v>
      </c>
      <c r="C20" s="11" t="s">
        <v>73</v>
      </c>
      <c r="D20" s="11" t="s">
        <v>74</v>
      </c>
      <c r="E20" s="11" t="s">
        <v>75</v>
      </c>
      <c r="F20" s="11" t="s">
        <v>76</v>
      </c>
      <c r="G20" s="11" t="s">
        <v>29</v>
      </c>
      <c r="H20" s="11" t="s">
        <v>77</v>
      </c>
    </row>
    <row r="21" customFormat="false" ht="30" hidden="false" customHeight="true" outlineLevel="0" collapsed="false">
      <c r="A21" s="27" t="s">
        <v>78</v>
      </c>
      <c r="B21" s="9" t="n">
        <v>739000</v>
      </c>
      <c r="C21" s="9" t="n">
        <v>600000</v>
      </c>
      <c r="D21" s="9" t="n">
        <v>900000</v>
      </c>
      <c r="E21" s="8" t="s">
        <v>79</v>
      </c>
      <c r="F21" s="26" t="s">
        <v>227</v>
      </c>
      <c r="G21" s="17" t="s">
        <v>34</v>
      </c>
      <c r="H21" s="17" t="s">
        <v>81</v>
      </c>
    </row>
    <row r="22" customFormat="false" ht="30" hidden="false" customHeight="true" outlineLevel="0" collapsed="false">
      <c r="A22" s="27" t="s">
        <v>82</v>
      </c>
      <c r="B22" s="10" t="n">
        <v>0.88</v>
      </c>
      <c r="C22" s="10" t="n">
        <v>0.8</v>
      </c>
      <c r="D22" s="10" t="n">
        <v>0.93</v>
      </c>
      <c r="E22" s="8" t="s">
        <v>83</v>
      </c>
      <c r="F22" s="26"/>
      <c r="G22" s="17" t="s">
        <v>36</v>
      </c>
      <c r="H22" s="17" t="s">
        <v>84</v>
      </c>
    </row>
    <row r="23" customFormat="false" ht="30" hidden="false" customHeight="true" outlineLevel="0" collapsed="false">
      <c r="A23" s="27" t="s">
        <v>85</v>
      </c>
      <c r="B23" s="10" t="n">
        <v>0.14</v>
      </c>
      <c r="C23" s="10" t="n">
        <v>0.09</v>
      </c>
      <c r="D23" s="10" t="n">
        <v>0.2</v>
      </c>
      <c r="E23" s="8" t="s">
        <v>83</v>
      </c>
      <c r="F23" s="26" t="s">
        <v>228</v>
      </c>
      <c r="G23" s="17" t="s">
        <v>34</v>
      </c>
      <c r="H23" s="17" t="s">
        <v>87</v>
      </c>
    </row>
    <row r="24" customFormat="false" ht="30" hidden="false" customHeight="true" outlineLevel="0" collapsed="false">
      <c r="A24" s="27" t="s">
        <v>88</v>
      </c>
      <c r="B24" s="10" t="n">
        <v>0.38</v>
      </c>
      <c r="C24" s="10" t="n">
        <v>0.5</v>
      </c>
      <c r="D24" s="10" t="n">
        <v>0.25</v>
      </c>
      <c r="E24" s="8" t="s">
        <v>83</v>
      </c>
      <c r="F24" s="26" t="s">
        <v>229</v>
      </c>
      <c r="G24" s="17" t="s">
        <v>34</v>
      </c>
      <c r="H24" s="17" t="s">
        <v>81</v>
      </c>
    </row>
    <row r="25" customFormat="false" ht="30" hidden="false" customHeight="true" outlineLevel="0" collapsed="false">
      <c r="A25" s="27" t="s">
        <v>89</v>
      </c>
      <c r="B25" s="9" t="n">
        <v>8150</v>
      </c>
      <c r="C25" s="9" t="n">
        <v>6000</v>
      </c>
      <c r="D25" s="9" t="n">
        <v>12000</v>
      </c>
      <c r="E25" s="8" t="s">
        <v>90</v>
      </c>
      <c r="F25" s="26"/>
      <c r="G25" s="17" t="s">
        <v>39</v>
      </c>
      <c r="H25" s="17" t="s">
        <v>92</v>
      </c>
    </row>
    <row r="26" customFormat="false" ht="30" hidden="false" customHeight="true" outlineLevel="0" collapsed="false">
      <c r="A26" s="27" t="s">
        <v>93</v>
      </c>
      <c r="B26" s="10" t="n">
        <v>0</v>
      </c>
      <c r="C26" s="10" t="n">
        <v>0</v>
      </c>
      <c r="D26" s="10" t="n">
        <v>0</v>
      </c>
      <c r="E26" s="8" t="s">
        <v>83</v>
      </c>
      <c r="F26" s="26"/>
      <c r="G26" s="17" t="s">
        <v>39</v>
      </c>
      <c r="H26" s="17" t="s">
        <v>95</v>
      </c>
    </row>
    <row r="27" customFormat="false" ht="30" hidden="false" customHeight="true" outlineLevel="0" collapsed="false">
      <c r="A27" s="27" t="s">
        <v>96</v>
      </c>
      <c r="B27" s="9" t="n">
        <v>0</v>
      </c>
      <c r="C27" s="9" t="n">
        <v>0</v>
      </c>
      <c r="D27" s="9" t="n">
        <v>0</v>
      </c>
      <c r="E27" s="8" t="s">
        <v>90</v>
      </c>
      <c r="F27" s="26"/>
      <c r="G27" s="17" t="s">
        <v>39</v>
      </c>
      <c r="H27" s="17" t="s">
        <v>84</v>
      </c>
    </row>
    <row r="28" customFormat="false" ht="30" hidden="false" customHeight="true" outlineLevel="0" collapsed="false">
      <c r="A28" s="27" t="s">
        <v>97</v>
      </c>
      <c r="B28" s="10" t="n">
        <v>0</v>
      </c>
      <c r="C28" s="10" t="n">
        <v>0</v>
      </c>
      <c r="D28" s="10" t="n">
        <v>0</v>
      </c>
      <c r="E28" s="8" t="s">
        <v>83</v>
      </c>
      <c r="F28" s="26"/>
      <c r="G28" s="17" t="s">
        <v>39</v>
      </c>
      <c r="H28" s="17" t="s">
        <v>95</v>
      </c>
    </row>
    <row r="29" customFormat="false" ht="30" hidden="false" customHeight="true" outlineLevel="0" collapsed="false">
      <c r="A29" s="27" t="s">
        <v>99</v>
      </c>
      <c r="B29" s="9" t="n">
        <v>0</v>
      </c>
      <c r="C29" s="9" t="n">
        <v>0</v>
      </c>
      <c r="D29" s="9" t="n">
        <v>0</v>
      </c>
      <c r="E29" s="8" t="s">
        <v>90</v>
      </c>
      <c r="F29" s="26"/>
      <c r="G29" s="17" t="s">
        <v>39</v>
      </c>
      <c r="H29" s="17" t="s">
        <v>84</v>
      </c>
    </row>
    <row r="30" customFormat="false" ht="30" hidden="false" customHeight="true" outlineLevel="0" collapsed="false">
      <c r="A30" s="27" t="s">
        <v>100</v>
      </c>
      <c r="B30" s="9" t="n">
        <v>2</v>
      </c>
      <c r="C30" s="9" t="n">
        <v>2</v>
      </c>
      <c r="D30" s="9" t="n">
        <v>2</v>
      </c>
      <c r="E30" s="8" t="s">
        <v>101</v>
      </c>
      <c r="F30" s="26"/>
      <c r="G30" s="17" t="s">
        <v>36</v>
      </c>
      <c r="H30" s="17" t="s">
        <v>84</v>
      </c>
    </row>
    <row r="31" customFormat="false" ht="30" hidden="false" customHeight="true" outlineLevel="0" collapsed="false">
      <c r="A31" s="27" t="s">
        <v>102</v>
      </c>
      <c r="B31" s="9" t="n">
        <v>3</v>
      </c>
      <c r="C31" s="9" t="n">
        <v>3</v>
      </c>
      <c r="D31" s="9" t="n">
        <v>3</v>
      </c>
      <c r="E31" s="8" t="s">
        <v>101</v>
      </c>
      <c r="F31" s="26"/>
      <c r="G31" s="17" t="s">
        <v>39</v>
      </c>
      <c r="H31" s="17" t="s">
        <v>84</v>
      </c>
    </row>
    <row r="32" customFormat="false" ht="30" hidden="false" customHeight="true" outlineLevel="0" collapsed="false">
      <c r="A32" s="27" t="s">
        <v>103</v>
      </c>
      <c r="B32" s="9" t="n">
        <v>500000000</v>
      </c>
      <c r="C32" s="9" t="n">
        <v>800000000</v>
      </c>
      <c r="D32" s="9" t="n">
        <v>350000000</v>
      </c>
      <c r="E32" s="8" t="s">
        <v>104</v>
      </c>
      <c r="F32" s="26"/>
      <c r="G32" s="17" t="s">
        <v>39</v>
      </c>
      <c r="H32" s="17" t="s">
        <v>106</v>
      </c>
    </row>
    <row r="33" customFormat="false" ht="30" hidden="false" customHeight="true" outlineLevel="0" collapsed="false">
      <c r="A33" s="27" t="s">
        <v>107</v>
      </c>
      <c r="B33" s="9" t="n">
        <v>20000000</v>
      </c>
      <c r="C33" s="9" t="n">
        <v>20000000</v>
      </c>
      <c r="D33" s="9" t="n">
        <v>20000000</v>
      </c>
      <c r="E33" s="8" t="s">
        <v>90</v>
      </c>
      <c r="F33" s="26"/>
      <c r="G33" s="17" t="s">
        <v>39</v>
      </c>
      <c r="H33" s="17" t="s">
        <v>109</v>
      </c>
    </row>
    <row r="34" customFormat="false" ht="30" hidden="false" customHeight="true" outlineLevel="0" collapsed="false">
      <c r="A34" s="27" t="s">
        <v>110</v>
      </c>
      <c r="B34" s="9" t="n">
        <v>280</v>
      </c>
      <c r="C34" s="9" t="n">
        <v>500</v>
      </c>
      <c r="D34" s="9" t="n">
        <v>150</v>
      </c>
      <c r="E34" s="8" t="s">
        <v>90</v>
      </c>
      <c r="F34" s="26"/>
      <c r="G34" s="17" t="s">
        <v>39</v>
      </c>
      <c r="H34" s="17" t="s">
        <v>111</v>
      </c>
    </row>
    <row r="35" customFormat="false" ht="30" hidden="false" customHeight="true" outlineLevel="0" collapsed="false">
      <c r="A35" s="27" t="s">
        <v>112</v>
      </c>
      <c r="B35" s="10" t="n">
        <v>0.74</v>
      </c>
      <c r="C35" s="10" t="n">
        <v>0.65</v>
      </c>
      <c r="D35" s="10" t="n">
        <v>0.8</v>
      </c>
      <c r="E35" s="8" t="s">
        <v>83</v>
      </c>
      <c r="F35" s="26" t="s">
        <v>230</v>
      </c>
      <c r="G35" s="17" t="s">
        <v>34</v>
      </c>
      <c r="H35" s="17" t="s">
        <v>113</v>
      </c>
    </row>
    <row r="36" customFormat="false" ht="30" hidden="false" customHeight="true" outlineLevel="0" collapsed="false">
      <c r="A36" s="27" t="s">
        <v>114</v>
      </c>
      <c r="B36" s="9" t="n">
        <v>3520000</v>
      </c>
      <c r="C36" s="9" t="n">
        <v>3520000</v>
      </c>
      <c r="D36" s="9" t="n">
        <v>3520000</v>
      </c>
      <c r="E36" s="8" t="s">
        <v>79</v>
      </c>
      <c r="F36" s="26"/>
      <c r="G36" s="17" t="s">
        <v>36</v>
      </c>
      <c r="H36" s="17" t="s">
        <v>84</v>
      </c>
    </row>
    <row r="37" customFormat="false" ht="30" hidden="false" customHeight="true" outlineLevel="0" collapsed="false">
      <c r="A37" s="27" t="s">
        <v>116</v>
      </c>
      <c r="B37" s="9" t="n">
        <v>18500</v>
      </c>
      <c r="C37" s="9" t="n">
        <v>18500</v>
      </c>
      <c r="D37" s="9" t="n">
        <v>18500</v>
      </c>
      <c r="E37" s="8" t="s">
        <v>90</v>
      </c>
      <c r="F37" s="26"/>
      <c r="G37" s="17" t="s">
        <v>36</v>
      </c>
      <c r="H37" s="17" t="s">
        <v>84</v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23" t="s">
        <v>117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false" outlineLevel="0" collapsed="false">
      <c r="A40" s="11" t="s">
        <v>118</v>
      </c>
      <c r="B40" s="11" t="s">
        <v>72</v>
      </c>
      <c r="C40" s="11" t="s">
        <v>73</v>
      </c>
      <c r="D40" s="11" t="s">
        <v>74</v>
      </c>
      <c r="E40" s="11" t="s">
        <v>75</v>
      </c>
      <c r="F40" s="11" t="s">
        <v>119</v>
      </c>
      <c r="G40" s="11"/>
      <c r="H40" s="11"/>
    </row>
    <row r="41" customFormat="false" ht="15" hidden="false" customHeight="true" outlineLevel="0" collapsed="false">
      <c r="A41" s="27" t="s">
        <v>120</v>
      </c>
      <c r="B41" s="28" t="n">
        <f aca="false">B21*B22*B23*(1-B24)</f>
        <v>56447.776</v>
      </c>
      <c r="C41" s="28" t="n">
        <f aca="false">IF(C21="",$B21,C21)*IF(C22="",$B22,C22)*IF(C23="",$B23,C23)*(1-IF(C24="",$B24,C24))</f>
        <v>21600</v>
      </c>
      <c r="D41" s="28" t="n">
        <f aca="false">IF(D21="",$B21,D21)*IF(D22="",$B22,D22)*IF(D23="",$B23,D23)*(1-IF(D24="",$B24,D24))</f>
        <v>125550</v>
      </c>
      <c r="E41" s="8" t="s">
        <v>79</v>
      </c>
      <c r="F41" s="27" t="s">
        <v>121</v>
      </c>
      <c r="G41" s="27"/>
      <c r="H41" s="27"/>
    </row>
    <row r="42" customFormat="false" ht="15" hidden="false" customHeight="true" outlineLevel="0" collapsed="false">
      <c r="A42" s="27" t="s">
        <v>122</v>
      </c>
      <c r="B42" s="28" t="n">
        <f aca="false">B21*B26</f>
        <v>0</v>
      </c>
      <c r="C42" s="28" t="n">
        <f aca="false">IF(C21="",$B21,C21)*IF(C26="",$B26,C26)</f>
        <v>0</v>
      </c>
      <c r="D42" s="28" t="n">
        <f aca="false">IF(D21="",$B21,D21)*IF(D26="",$B26,D26)</f>
        <v>0</v>
      </c>
      <c r="E42" s="8" t="s">
        <v>79</v>
      </c>
      <c r="F42" s="27" t="s">
        <v>123</v>
      </c>
      <c r="G42" s="27"/>
      <c r="H42" s="27"/>
    </row>
    <row r="43" customFormat="false" ht="15" hidden="false" customHeight="true" outlineLevel="0" collapsed="false">
      <c r="A43" s="27" t="s">
        <v>124</v>
      </c>
      <c r="B43" s="28" t="n">
        <f aca="false">B21*B28</f>
        <v>0</v>
      </c>
      <c r="C43" s="28" t="n">
        <f aca="false">IF(C21="",$B21,C21)*IF(C28="",$B28,C28)</f>
        <v>0</v>
      </c>
      <c r="D43" s="28" t="n">
        <f aca="false">IF(D21="",$B21,D21)*IF(D28="",$B28,D28)</f>
        <v>0</v>
      </c>
      <c r="E43" s="8" t="s">
        <v>79</v>
      </c>
      <c r="F43" s="27" t="s">
        <v>125</v>
      </c>
      <c r="G43" s="27"/>
      <c r="H43" s="27"/>
    </row>
    <row r="44" customFormat="false" ht="15" hidden="false" customHeight="true" outlineLevel="0" collapsed="false">
      <c r="A44" s="25" t="s">
        <v>126</v>
      </c>
      <c r="B44" s="28" t="n">
        <f aca="false">(B41*B25-B42*B27-B43*B29)/(1+Портфель!$B$5)</f>
        <v>410758370</v>
      </c>
      <c r="C44" s="28" t="n">
        <f aca="false">(C41*IF(C25="",$B25,C25)-C42*IF(C27="",$B27,C27)-C43*IF(C29="",$B29,C29))/(1+Портфель!$B$5)</f>
        <v>115714285.714286</v>
      </c>
      <c r="D44" s="28" t="n">
        <f aca="false">(D41*IF(D25="",$B25,D25)-D42*IF(D27="",$B27,D27)-D43*IF(D29="",$B29,D29))/(1+Портфель!$B$5)</f>
        <v>1345178571.42857</v>
      </c>
      <c r="E44" s="8" t="s">
        <v>90</v>
      </c>
      <c r="F44" s="27" t="s">
        <v>127</v>
      </c>
      <c r="G44" s="27"/>
      <c r="H44" s="27"/>
    </row>
    <row r="45" customFormat="false" ht="15" hidden="false" customHeight="true" outlineLevel="0" collapsed="false">
      <c r="A45" s="27" t="s">
        <v>128</v>
      </c>
      <c r="B45" s="18" t="n">
        <f aca="false">MAX(0,12-B30+1)</f>
        <v>11</v>
      </c>
      <c r="C45" s="18" t="n">
        <f aca="false">MAX(0,12-IF(C30="",$B30,C30)+1)</f>
        <v>11</v>
      </c>
      <c r="D45" s="18" t="n">
        <f aca="false">MAX(0,12-IF(D30="",$B30,D30)+1)</f>
        <v>11</v>
      </c>
      <c r="E45" s="8" t="s">
        <v>101</v>
      </c>
      <c r="F45" s="27" t="s">
        <v>129</v>
      </c>
      <c r="G45" s="27"/>
      <c r="H45" s="27"/>
    </row>
    <row r="46" customFormat="false" ht="15" hidden="false" customHeight="true" outlineLevel="0" collapsed="false">
      <c r="A46" s="27" t="s">
        <v>130</v>
      </c>
      <c r="B46" s="18" t="n">
        <f aca="false">IF(B45&gt;=B31,(B31+1)/2+(B45-B31),B45*(B45+1)/(2*MAX(1,B31)))</f>
        <v>10</v>
      </c>
      <c r="C46" s="18" t="n">
        <f aca="false">IF(C45&gt;=IF(C31="",$B31,C31),(IF(C31="",$B31,C31)+1)/2+(C45-IF(C31="",$B31,C31)),C45*(C45+1)/(2*MAX(1,IF(C31="",$B31,C31))))</f>
        <v>10</v>
      </c>
      <c r="D46" s="18" t="n">
        <f aca="false">IF(D45&gt;=IF(D31="",$B31,D31),(IF(D31="",$B31,D31)+1)/2+(D45-IF(D31="",$B31,D31)),D45*(D45+1)/(2*MAX(1,IF(D31="",$B31,D31))))</f>
        <v>10</v>
      </c>
      <c r="E46" s="8" t="s">
        <v>101</v>
      </c>
      <c r="F46" s="27" t="s">
        <v>131</v>
      </c>
      <c r="G46" s="27"/>
      <c r="H46" s="27"/>
    </row>
    <row r="47" customFormat="false" ht="15" hidden="false" customHeight="true" outlineLevel="0" collapsed="false">
      <c r="A47" s="27" t="s">
        <v>132</v>
      </c>
      <c r="B47" s="18" t="n">
        <f aca="false">MAX(0,24-B30+1)</f>
        <v>23</v>
      </c>
      <c r="C47" s="18" t="n">
        <f aca="false">MAX(0,24-IF(C30="",$B30,C30)+1)</f>
        <v>23</v>
      </c>
      <c r="D47" s="18" t="n">
        <f aca="false">MAX(0,24-IF(D30="",$B30,D30)+1)</f>
        <v>23</v>
      </c>
      <c r="E47" s="8" t="s">
        <v>101</v>
      </c>
      <c r="F47" s="27" t="s">
        <v>133</v>
      </c>
      <c r="G47" s="27"/>
      <c r="H47" s="27"/>
    </row>
    <row r="48" customFormat="false" ht="15" hidden="false" customHeight="false" outlineLevel="0" collapsed="false">
      <c r="A48" s="27" t="s">
        <v>134</v>
      </c>
      <c r="B48" s="18" t="n">
        <f aca="false">IF(B47&gt;=B31,(B31+1)/2+(B47-B31),B47*(B47+1)/(2*MAX(1,B31)))</f>
        <v>22</v>
      </c>
      <c r="C48" s="18" t="n">
        <f aca="false">IF(C47&gt;=IF(C31="",$B31,C31),(IF(C31="",$B31,C31)+1)/2+(C47-IF(C31="",$B31,C31)),C47*(C47+1)/(2*MAX(1,IF(C31="",$B31,C31))))</f>
        <v>22</v>
      </c>
      <c r="D48" s="18" t="n">
        <f aca="false">IF(D47&gt;=IF(D31="",$B31,D31),(IF(D31="",$B31,D31)+1)/2+(D47-IF(D31="",$B31,D31)),D47*(D47+1)/(2*MAX(1,IF(D31="",$B31,D31))))</f>
        <v>22</v>
      </c>
      <c r="E48" s="8" t="s">
        <v>101</v>
      </c>
      <c r="F48" s="27"/>
      <c r="G48" s="27"/>
      <c r="H48" s="27"/>
    </row>
    <row r="49" customFormat="false" ht="15" hidden="false" customHeight="true" outlineLevel="0" collapsed="false">
      <c r="A49" s="25" t="s">
        <v>135</v>
      </c>
      <c r="B49" s="28" t="n">
        <f aca="false">B44*B46</f>
        <v>4107583700</v>
      </c>
      <c r="C49" s="28" t="n">
        <f aca="false">C44*C46</f>
        <v>1157142857.14286</v>
      </c>
      <c r="D49" s="28" t="n">
        <f aca="false">D44*D46</f>
        <v>13451785714.2857</v>
      </c>
      <c r="E49" s="8" t="s">
        <v>104</v>
      </c>
      <c r="F49" s="27" t="s">
        <v>136</v>
      </c>
      <c r="G49" s="27"/>
      <c r="H49" s="27"/>
    </row>
    <row r="50" customFormat="false" ht="15" hidden="false" customHeight="false" outlineLevel="0" collapsed="false">
      <c r="A50" s="27" t="s">
        <v>137</v>
      </c>
      <c r="B50" s="28" t="n">
        <f aca="false">B44*B48</f>
        <v>9036684140</v>
      </c>
      <c r="C50" s="28" t="n">
        <f aca="false">C44*C48</f>
        <v>2545714285.71429</v>
      </c>
      <c r="D50" s="28" t="n">
        <f aca="false">D44*D48</f>
        <v>29593928571.4286</v>
      </c>
      <c r="E50" s="8" t="s">
        <v>104</v>
      </c>
      <c r="F50" s="27"/>
      <c r="G50" s="27"/>
      <c r="H50" s="27"/>
    </row>
    <row r="51" customFormat="false" ht="15" hidden="false" customHeight="true" outlineLevel="0" collapsed="false">
      <c r="A51" s="27" t="s">
        <v>138</v>
      </c>
      <c r="B51" s="28" t="n">
        <f aca="false">B32+B33*B47+B34*B41*B48</f>
        <v>1307718300.16</v>
      </c>
      <c r="C51" s="28" t="n">
        <f aca="false">IF(C32="",$B32,C32)+IF(C33="",$B33,C33)*C47+IF(C34="",$B34,C34)*C41*C48</f>
        <v>1497600000</v>
      </c>
      <c r="D51" s="28" t="n">
        <f aca="false">IF(D32="",$B32,D32)+IF(D33="",$B33,D33)*D47+IF(D34="",$B34,D34)*D41*D48</f>
        <v>1224315000</v>
      </c>
      <c r="E51" s="8" t="s">
        <v>104</v>
      </c>
      <c r="F51" s="27" t="s">
        <v>139</v>
      </c>
      <c r="G51" s="27"/>
      <c r="H51" s="27"/>
    </row>
    <row r="52" customFormat="false" ht="15" hidden="false" customHeight="true" outlineLevel="0" collapsed="false">
      <c r="A52" s="25" t="s">
        <v>140</v>
      </c>
      <c r="B52" s="28" t="n">
        <f aca="false">B50*B35-B51</f>
        <v>5379427963.44</v>
      </c>
      <c r="C52" s="28" t="n">
        <f aca="false">C50*IF(C35="",$B35,C35)-C51</f>
        <v>157114285.714286</v>
      </c>
      <c r="D52" s="28" t="n">
        <f aca="false">D50*IF(D35="",$B35,D35)-D51</f>
        <v>22450827857.1429</v>
      </c>
      <c r="E52" s="8" t="s">
        <v>104</v>
      </c>
      <c r="F52" s="27" t="s">
        <v>141</v>
      </c>
      <c r="G52" s="27"/>
      <c r="H52" s="27"/>
    </row>
    <row r="53" customFormat="false" ht="15" hidden="false" customHeight="true" outlineLevel="0" collapsed="false">
      <c r="A53" s="27" t="s">
        <v>142</v>
      </c>
      <c r="B53" s="18" t="n">
        <f aca="false">IF(B44*B35-B33-B34*B41&gt;0,B32/(B44*B35-B33-B34*B41),"не окупается")</f>
        <v>1.86458756139906</v>
      </c>
      <c r="C53" s="18" t="n">
        <f aca="false">IF(C44*IF(C35="",$B35,C35)-IF(C33="",$B33,C33)-IF(C34="",$B34,C34)*C41&gt;0,IF(C32="",$B32,C32)/(C44*IF(C35="",$B35,C35)-IF(C33="",$B33,C33)-IF(C34="",$B34,C34)*C41),"не окупается")</f>
        <v>18.0122225796076</v>
      </c>
      <c r="D53" s="18" t="n">
        <f aca="false">IF(D44*IF(D35="",$B35,D35)-IF(D33="",$B33,D33)-IF(D34="",$B34,D34)*D41&gt;0,IF(D32="",$B32,D32)/(D44*IF(D35="",$B35,D35)-IF(D33="",$B33,D33)-IF(D34="",$B34,D34)*D41),"не окупается")</f>
        <v>0.337411072385348</v>
      </c>
      <c r="E53" s="8" t="s">
        <v>101</v>
      </c>
      <c r="F53" s="27" t="s">
        <v>143</v>
      </c>
      <c r="G53" s="27"/>
      <c r="H53" s="27"/>
    </row>
    <row r="54" customFormat="false" ht="15" hidden="false" customHeight="true" outlineLevel="0" collapsed="false">
      <c r="A54" s="27" t="s">
        <v>144</v>
      </c>
      <c r="B54" s="29" t="n">
        <f aca="false">IF(B51&gt;0,B52/B51,0)</f>
        <v>4.1135984430147</v>
      </c>
      <c r="C54" s="29" t="n">
        <f aca="false">IF(C51&gt;0,C52/C51,0)</f>
        <v>0.104910714285714</v>
      </c>
      <c r="D54" s="29" t="n">
        <f aca="false">IF(D51&gt;0,D52/D51,0)</f>
        <v>18.3374604224753</v>
      </c>
      <c r="E54" s="8" t="s">
        <v>145</v>
      </c>
      <c r="F54" s="27" t="s">
        <v>146</v>
      </c>
      <c r="G54" s="27"/>
      <c r="H54" s="27"/>
    </row>
    <row r="55" customFormat="false" ht="15" hidden="false" customHeight="true" outlineLevel="0" collapsed="false">
      <c r="A55" s="25" t="s">
        <v>147</v>
      </c>
      <c r="B55" s="30" t="n">
        <f aca="false">IF(B36*B37&gt;0,B44/(B36*B37),0)</f>
        <v>0.00630771452702703</v>
      </c>
      <c r="C55" s="30" t="n">
        <f aca="false">IF(IF(C36="",$B36,C36)*IF(C37="",$B37,C37)&gt;0,C44/(IF(C36="",$B36,C36)*IF(C37="",$B37,C37)),0)</f>
        <v>0.00177693927693928</v>
      </c>
      <c r="D55" s="30" t="n">
        <f aca="false">IF(IF(D36="",$B36,D36)*IF(D37="",$B37,D37)&gt;0,D44/(IF(D36="",$B36,D36)*IF(D37="",$B37,D37)),0)</f>
        <v>0.0206569190944191</v>
      </c>
      <c r="E55" s="8" t="s">
        <v>83</v>
      </c>
      <c r="F55" s="27" t="s">
        <v>148</v>
      </c>
      <c r="G55" s="27"/>
      <c r="H55" s="27"/>
    </row>
    <row r="56" customFormat="false" ht="15" hidden="false" customHeight="true" outlineLevel="0" collapsed="false">
      <c r="A56" s="27" t="s">
        <v>149</v>
      </c>
      <c r="B56" s="31" t="n">
        <f aca="false">B44*12/Портфель!$B$4</f>
        <v>407363.672727273</v>
      </c>
      <c r="C56" s="31" t="n">
        <f aca="false">C44*12/Портфель!$B$4</f>
        <v>114757.969303424</v>
      </c>
      <c r="D56" s="31" t="n">
        <f aca="false">D44*12/Портфель!$B$4</f>
        <v>1334061.3931523</v>
      </c>
      <c r="E56" s="8" t="s">
        <v>150</v>
      </c>
      <c r="F56" s="27" t="s">
        <v>151</v>
      </c>
      <c r="G56" s="27"/>
      <c r="H56" s="27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23" t="s">
        <v>152</v>
      </c>
      <c r="B58" s="24"/>
      <c r="C58" s="24"/>
      <c r="D58" s="24"/>
      <c r="E58" s="24"/>
      <c r="F58" s="24"/>
      <c r="G58" s="24"/>
      <c r="H58" s="24"/>
    </row>
    <row r="59" customFormat="false" ht="15" hidden="false" customHeight="false" outlineLevel="0" collapsed="false">
      <c r="A59" s="11" t="s">
        <v>153</v>
      </c>
      <c r="B59" s="11" t="s">
        <v>20</v>
      </c>
      <c r="C59" s="11"/>
      <c r="D59" s="11"/>
      <c r="E59" s="11"/>
      <c r="F59" s="11" t="s">
        <v>154</v>
      </c>
      <c r="G59" s="11"/>
      <c r="H59" s="11"/>
    </row>
    <row r="60" customFormat="false" ht="27.75" hidden="false" customHeight="true" outlineLevel="0" collapsed="false">
      <c r="A60" s="27" t="s">
        <v>155</v>
      </c>
      <c r="B60" s="17" t="s">
        <v>156</v>
      </c>
      <c r="C60" s="6"/>
      <c r="D60" s="6"/>
      <c r="E60" s="6"/>
      <c r="F60" s="32"/>
      <c r="G60" s="32"/>
      <c r="H60" s="32"/>
    </row>
    <row r="61" customFormat="false" ht="27.75" hidden="false" customHeight="true" outlineLevel="0" collapsed="false">
      <c r="A61" s="27" t="s">
        <v>157</v>
      </c>
      <c r="B61" s="17" t="s">
        <v>156</v>
      </c>
      <c r="C61" s="6"/>
      <c r="D61" s="6"/>
      <c r="E61" s="6"/>
      <c r="F61" s="32"/>
      <c r="G61" s="32"/>
      <c r="H61" s="32"/>
    </row>
    <row r="62" customFormat="false" ht="27.75" hidden="false" customHeight="true" outlineLevel="0" collapsed="false">
      <c r="A62" s="27" t="s">
        <v>158</v>
      </c>
      <c r="B62" s="17" t="s">
        <v>156</v>
      </c>
      <c r="C62" s="6"/>
      <c r="D62" s="6"/>
      <c r="E62" s="6"/>
      <c r="F62" s="32"/>
      <c r="G62" s="32"/>
      <c r="H62" s="32"/>
    </row>
    <row r="63" customFormat="false" ht="27.75" hidden="false" customHeight="true" outlineLevel="0" collapsed="false">
      <c r="A63" s="27" t="s">
        <v>159</v>
      </c>
      <c r="B63" s="17" t="s">
        <v>156</v>
      </c>
      <c r="C63" s="6"/>
      <c r="D63" s="6"/>
      <c r="E63" s="6"/>
      <c r="F63" s="32"/>
      <c r="G63" s="32"/>
      <c r="H63" s="32"/>
    </row>
    <row r="64" customFormat="false" ht="27.75" hidden="false" customHeight="true" outlineLevel="0" collapsed="false">
      <c r="A64" s="27" t="s">
        <v>160</v>
      </c>
      <c r="B64" s="17" t="s">
        <v>156</v>
      </c>
      <c r="C64" s="6"/>
      <c r="D64" s="6"/>
      <c r="E64" s="6"/>
      <c r="F64" s="32"/>
      <c r="G64" s="32"/>
      <c r="H64" s="32"/>
    </row>
    <row r="65" customFormat="false" ht="27.75" hidden="false" customHeight="true" outlineLevel="0" collapsed="false">
      <c r="A65" s="27" t="s">
        <v>161</v>
      </c>
      <c r="B65" s="17" t="s">
        <v>156</v>
      </c>
      <c r="C65" s="6"/>
      <c r="D65" s="6"/>
      <c r="E65" s="6"/>
      <c r="F65" s="32"/>
      <c r="G65" s="32"/>
      <c r="H65" s="32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23" t="s">
        <v>162</v>
      </c>
      <c r="B67" s="24"/>
      <c r="C67" s="24"/>
      <c r="D67" s="24"/>
      <c r="E67" s="24"/>
      <c r="F67" s="24"/>
      <c r="G67" s="24"/>
      <c r="H67" s="24"/>
    </row>
    <row r="68" customFormat="false" ht="15" hidden="false" customHeight="false" outlineLevel="0" collapsed="false">
      <c r="A68" s="11" t="s">
        <v>163</v>
      </c>
      <c r="B68" s="11" t="s">
        <v>164</v>
      </c>
      <c r="C68" s="11" t="s">
        <v>165</v>
      </c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26" t="s">
        <v>231</v>
      </c>
      <c r="B69" s="17" t="s">
        <v>232</v>
      </c>
      <c r="C69" s="17" t="s">
        <v>233</v>
      </c>
      <c r="D69" s="6"/>
      <c r="E69" s="6"/>
      <c r="F69" s="6"/>
      <c r="G69" s="6"/>
      <c r="H69" s="6"/>
    </row>
    <row r="70" customFormat="false" ht="15" hidden="false" customHeight="false" outlineLevel="0" collapsed="false">
      <c r="A70" s="26" t="s">
        <v>234</v>
      </c>
      <c r="B70" s="17" t="s">
        <v>235</v>
      </c>
      <c r="C70" s="17" t="s">
        <v>236</v>
      </c>
      <c r="D70" s="6"/>
      <c r="E70" s="6"/>
      <c r="F70" s="6"/>
      <c r="G70" s="6"/>
      <c r="H70" s="6"/>
    </row>
    <row r="71" customFormat="false" ht="15" hidden="false" customHeight="false" outlineLevel="0" collapsed="false">
      <c r="A71" s="26" t="s">
        <v>237</v>
      </c>
      <c r="B71" s="17" t="s">
        <v>238</v>
      </c>
      <c r="C71" s="17" t="s">
        <v>239</v>
      </c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23" t="s">
        <v>175</v>
      </c>
      <c r="B73" s="24"/>
      <c r="C73" s="24"/>
      <c r="D73" s="24"/>
      <c r="E73" s="24"/>
      <c r="F73" s="24"/>
      <c r="G73" s="24"/>
      <c r="H73" s="24"/>
    </row>
    <row r="74" customFormat="false" ht="15" hidden="false" customHeight="false" outlineLevel="0" collapsed="false">
      <c r="A74" s="11" t="s">
        <v>176</v>
      </c>
      <c r="B74" s="11" t="s">
        <v>177</v>
      </c>
      <c r="C74" s="11"/>
      <c r="D74" s="11"/>
      <c r="E74" s="11"/>
      <c r="F74" s="11"/>
      <c r="G74" s="11"/>
      <c r="H74" s="11"/>
    </row>
    <row r="75" customFormat="false" ht="26.85" hidden="false" customHeight="false" outlineLevel="0" collapsed="false">
      <c r="A75" s="27" t="s">
        <v>178</v>
      </c>
      <c r="B75" s="17" t="s">
        <v>179</v>
      </c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27" t="s">
        <v>180</v>
      </c>
      <c r="B76" s="17" t="s">
        <v>179</v>
      </c>
      <c r="C76" s="6"/>
      <c r="D76" s="6"/>
      <c r="E76" s="6"/>
      <c r="F76" s="6"/>
      <c r="G76" s="6"/>
      <c r="H76" s="6"/>
    </row>
    <row r="77" customFormat="false" ht="26.85" hidden="false" customHeight="false" outlineLevel="0" collapsed="false">
      <c r="A77" s="27" t="s">
        <v>181</v>
      </c>
      <c r="B77" s="17" t="s">
        <v>179</v>
      </c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27" t="s">
        <v>182</v>
      </c>
      <c r="B78" s="17" t="s">
        <v>179</v>
      </c>
      <c r="C78" s="6"/>
      <c r="D78" s="6"/>
      <c r="E78" s="6"/>
      <c r="F78" s="6"/>
      <c r="G78" s="6"/>
      <c r="H78" s="6"/>
    </row>
    <row r="79" customFormat="false" ht="26.85" hidden="false" customHeight="false" outlineLevel="0" collapsed="false">
      <c r="A79" s="27" t="s">
        <v>183</v>
      </c>
      <c r="B79" s="17" t="s">
        <v>179</v>
      </c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27" t="s">
        <v>184</v>
      </c>
      <c r="B80" s="17" t="s">
        <v>179</v>
      </c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27" t="s">
        <v>186</v>
      </c>
      <c r="B81" s="17" t="s">
        <v>179</v>
      </c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27" t="s">
        <v>187</v>
      </c>
      <c r="B82" s="17" t="s">
        <v>185</v>
      </c>
      <c r="C82" s="6"/>
      <c r="D82" s="6"/>
      <c r="E82" s="6"/>
      <c r="F82" s="6"/>
      <c r="G82" s="6"/>
      <c r="H82" s="6"/>
    </row>
    <row r="83" customFormat="false" ht="26.85" hidden="false" customHeight="false" outlineLevel="0" collapsed="false">
      <c r="A83" s="27" t="s">
        <v>188</v>
      </c>
      <c r="B83" s="17" t="s">
        <v>185</v>
      </c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27" t="s">
        <v>189</v>
      </c>
      <c r="B84" s="17" t="s">
        <v>185</v>
      </c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20" t="s">
        <v>190</v>
      </c>
      <c r="B85" s="33" t="n">
        <f aca="false">COUNTIF(B75:B84,"Да")/10</f>
        <v>0.7</v>
      </c>
      <c r="C85" s="20" t="str">
        <f aca="false">IF(B85&gt;=0.8,"Можно передавать финансам","Доработать до 80%")</f>
        <v>Доработать до 80%</v>
      </c>
      <c r="D85" s="6"/>
      <c r="E85" s="6"/>
      <c r="F85" s="6"/>
      <c r="G85" s="6"/>
      <c r="H85" s="6"/>
    </row>
  </sheetData>
  <mergeCells count="3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60:H60"/>
    <mergeCell ref="F61:H61"/>
    <mergeCell ref="F62:H62"/>
    <mergeCell ref="F63:H63"/>
    <mergeCell ref="F64:H64"/>
    <mergeCell ref="F65:H65"/>
  </mergeCells>
  <dataValidations count="4">
    <dataValidation allowBlank="true" errorStyle="stop" operator="between" showDropDown="false" showErrorMessage="false" showInputMessage="false" sqref="B8" type="list">
      <formula1>"Идея,Discovery,Готово к финансам,В расчёте у финансов,Утверждено,Отклонено"</formula1>
      <formula2>0</formula2>
    </dataValidation>
    <dataValidation allowBlank="true" errorStyle="stop" operator="between" showDropDown="false" showErrorMessage="false" showInputMessage="false" sqref="G21:G37" type="list">
      <formula1>"Высокая,Средняя,Низкая"</formula1>
      <formula2>0</formula2>
    </dataValidation>
    <dataValidation allowBlank="true" errorStyle="stop" operator="between" showDropDown="false" showErrorMessage="false" showInputMessage="false" sqref="B60:B65" type="list">
      <formula1>"Не начато,Запрошено,Получено"</formula1>
      <formula2>0</formula2>
    </dataValidation>
    <dataValidation allowBlank="true" errorStyle="stop" operator="between" showDropDown="false" showErrorMessage="false" showInputMessage="false" sqref="B75:B8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5" t="s">
        <v>240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2" t="s">
        <v>43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3" t="s">
        <v>44</v>
      </c>
      <c r="B4" s="24"/>
      <c r="C4" s="24"/>
      <c r="D4" s="24"/>
      <c r="E4" s="24"/>
      <c r="F4" s="24"/>
      <c r="G4" s="24"/>
      <c r="H4" s="24"/>
    </row>
    <row r="5" customFormat="false" ht="19.5" hidden="false" customHeight="true" outlineLevel="0" collapsed="false">
      <c r="A5" s="25" t="s">
        <v>45</v>
      </c>
      <c r="B5" s="26" t="s">
        <v>241</v>
      </c>
      <c r="C5" s="26"/>
      <c r="D5" s="26"/>
      <c r="E5" s="26"/>
      <c r="F5" s="26"/>
      <c r="G5" s="26"/>
      <c r="H5" s="26"/>
    </row>
    <row r="6" customFormat="false" ht="19.5" hidden="false" customHeight="true" outlineLevel="0" collapsed="false">
      <c r="A6" s="25" t="s">
        <v>47</v>
      </c>
      <c r="B6" s="26" t="s">
        <v>48</v>
      </c>
      <c r="C6" s="26"/>
      <c r="D6" s="26"/>
      <c r="E6" s="26"/>
      <c r="F6" s="26"/>
      <c r="G6" s="26"/>
      <c r="H6" s="26"/>
    </row>
    <row r="7" customFormat="false" ht="19.5" hidden="false" customHeight="true" outlineLevel="0" collapsed="false">
      <c r="A7" s="25" t="s">
        <v>49</v>
      </c>
      <c r="B7" s="26" t="s">
        <v>50</v>
      </c>
      <c r="C7" s="26"/>
      <c r="D7" s="26"/>
      <c r="E7" s="26"/>
      <c r="F7" s="26"/>
      <c r="G7" s="26"/>
      <c r="H7" s="26"/>
    </row>
    <row r="8" customFormat="false" ht="19.5" hidden="false" customHeight="true" outlineLevel="0" collapsed="false">
      <c r="A8" s="25" t="s">
        <v>20</v>
      </c>
      <c r="B8" s="26" t="s">
        <v>51</v>
      </c>
      <c r="C8" s="26"/>
      <c r="D8" s="26"/>
      <c r="E8" s="26"/>
      <c r="F8" s="26"/>
      <c r="G8" s="26"/>
      <c r="H8" s="26"/>
    </row>
    <row r="9" customFormat="false" ht="45.75" hidden="false" customHeight="true" outlineLevel="0" collapsed="false">
      <c r="A9" s="25" t="s">
        <v>52</v>
      </c>
      <c r="B9" s="26" t="s">
        <v>242</v>
      </c>
      <c r="C9" s="26"/>
      <c r="D9" s="26"/>
      <c r="E9" s="26"/>
      <c r="F9" s="26"/>
      <c r="G9" s="26"/>
      <c r="H9" s="26"/>
    </row>
    <row r="10" customFormat="false" ht="45.75" hidden="false" customHeight="true" outlineLevel="0" collapsed="false">
      <c r="A10" s="25" t="s">
        <v>54</v>
      </c>
      <c r="B10" s="26" t="s">
        <v>243</v>
      </c>
      <c r="C10" s="26"/>
      <c r="D10" s="26"/>
      <c r="E10" s="26"/>
      <c r="F10" s="26"/>
      <c r="G10" s="26"/>
      <c r="H10" s="26"/>
    </row>
    <row r="11" customFormat="false" ht="45.75" hidden="false" customHeight="true" outlineLevel="0" collapsed="false">
      <c r="A11" s="25" t="s">
        <v>56</v>
      </c>
      <c r="B11" s="26" t="s">
        <v>244</v>
      </c>
      <c r="C11" s="26"/>
      <c r="D11" s="26"/>
      <c r="E11" s="26"/>
      <c r="F11" s="26"/>
      <c r="G11" s="26"/>
      <c r="H11" s="26"/>
    </row>
    <row r="12" customFormat="false" ht="45.75" hidden="false" customHeight="true" outlineLevel="0" collapsed="false">
      <c r="A12" s="25" t="s">
        <v>58</v>
      </c>
      <c r="B12" s="26" t="s">
        <v>245</v>
      </c>
      <c r="C12" s="26"/>
      <c r="D12" s="26"/>
      <c r="E12" s="26"/>
      <c r="F12" s="26"/>
      <c r="G12" s="26"/>
      <c r="H12" s="26"/>
    </row>
    <row r="13" customFormat="false" ht="45.75" hidden="false" customHeight="true" outlineLevel="0" collapsed="false">
      <c r="A13" s="25" t="s">
        <v>60</v>
      </c>
      <c r="B13" s="26" t="s">
        <v>246</v>
      </c>
      <c r="C13" s="26"/>
      <c r="D13" s="26"/>
      <c r="E13" s="26"/>
      <c r="F13" s="26"/>
      <c r="G13" s="26"/>
      <c r="H13" s="26"/>
    </row>
    <row r="14" customFormat="false" ht="45.75" hidden="false" customHeight="true" outlineLevel="0" collapsed="false">
      <c r="A14" s="25" t="s">
        <v>62</v>
      </c>
      <c r="B14" s="26" t="s">
        <v>247</v>
      </c>
      <c r="C14" s="26"/>
      <c r="D14" s="26"/>
      <c r="E14" s="26"/>
      <c r="F14" s="26"/>
      <c r="G14" s="26"/>
      <c r="H14" s="26"/>
    </row>
    <row r="15" customFormat="false" ht="45.75" hidden="false" customHeight="true" outlineLevel="0" collapsed="false">
      <c r="A15" s="25" t="s">
        <v>64</v>
      </c>
      <c r="B15" s="26" t="s">
        <v>248</v>
      </c>
      <c r="C15" s="26"/>
      <c r="D15" s="26"/>
      <c r="E15" s="26"/>
      <c r="F15" s="26"/>
      <c r="G15" s="26"/>
      <c r="H15" s="26"/>
    </row>
    <row r="16" customFormat="false" ht="45.75" hidden="false" customHeight="true" outlineLevel="0" collapsed="false">
      <c r="A16" s="25" t="s">
        <v>66</v>
      </c>
      <c r="B16" s="26" t="s">
        <v>249</v>
      </c>
      <c r="C16" s="26"/>
      <c r="D16" s="26"/>
      <c r="E16" s="26"/>
      <c r="F16" s="26"/>
      <c r="G16" s="26"/>
      <c r="H16" s="26"/>
    </row>
    <row r="17" customFormat="false" ht="45.75" hidden="false" customHeight="true" outlineLevel="0" collapsed="false">
      <c r="A17" s="25" t="s">
        <v>68</v>
      </c>
      <c r="B17" s="26" t="s">
        <v>250</v>
      </c>
      <c r="C17" s="26"/>
      <c r="D17" s="26"/>
      <c r="E17" s="26"/>
      <c r="F17" s="26"/>
      <c r="G17" s="26"/>
      <c r="H17" s="2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23" t="s">
        <v>70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11" t="s">
        <v>71</v>
      </c>
      <c r="B20" s="11" t="s">
        <v>72</v>
      </c>
      <c r="C20" s="11" t="s">
        <v>73</v>
      </c>
      <c r="D20" s="11" t="s">
        <v>74</v>
      </c>
      <c r="E20" s="11" t="s">
        <v>75</v>
      </c>
      <c r="F20" s="11" t="s">
        <v>76</v>
      </c>
      <c r="G20" s="11" t="s">
        <v>29</v>
      </c>
      <c r="H20" s="11" t="s">
        <v>77</v>
      </c>
    </row>
    <row r="21" customFormat="false" ht="30" hidden="false" customHeight="true" outlineLevel="0" collapsed="false">
      <c r="A21" s="27" t="s">
        <v>78</v>
      </c>
      <c r="B21" s="9" t="n">
        <v>1485000</v>
      </c>
      <c r="C21" s="9" t="n">
        <v>1000000</v>
      </c>
      <c r="D21" s="9" t="n">
        <v>2000000</v>
      </c>
      <c r="E21" s="8" t="s">
        <v>79</v>
      </c>
      <c r="F21" s="26" t="s">
        <v>251</v>
      </c>
      <c r="G21" s="17" t="s">
        <v>34</v>
      </c>
      <c r="H21" s="17" t="s">
        <v>81</v>
      </c>
    </row>
    <row r="22" customFormat="false" ht="30" hidden="false" customHeight="true" outlineLevel="0" collapsed="false">
      <c r="A22" s="27" t="s">
        <v>82</v>
      </c>
      <c r="B22" s="10" t="n">
        <v>1</v>
      </c>
      <c r="C22" s="10" t="n">
        <v>1</v>
      </c>
      <c r="D22" s="10" t="n">
        <v>1</v>
      </c>
      <c r="E22" s="8" t="s">
        <v>83</v>
      </c>
      <c r="F22" s="26"/>
      <c r="G22" s="17" t="s">
        <v>36</v>
      </c>
      <c r="H22" s="17" t="s">
        <v>84</v>
      </c>
    </row>
    <row r="23" customFormat="false" ht="30" hidden="false" customHeight="true" outlineLevel="0" collapsed="false">
      <c r="A23" s="27" t="s">
        <v>85</v>
      </c>
      <c r="B23" s="10" t="n">
        <v>1</v>
      </c>
      <c r="C23" s="10" t="n">
        <v>1</v>
      </c>
      <c r="D23" s="10" t="n">
        <v>1</v>
      </c>
      <c r="E23" s="8" t="s">
        <v>83</v>
      </c>
      <c r="F23" s="26"/>
      <c r="G23" s="17" t="s">
        <v>39</v>
      </c>
      <c r="H23" s="17" t="s">
        <v>87</v>
      </c>
    </row>
    <row r="24" customFormat="false" ht="30" hidden="false" customHeight="true" outlineLevel="0" collapsed="false">
      <c r="A24" s="27" t="s">
        <v>88</v>
      </c>
      <c r="B24" s="10" t="n">
        <v>0</v>
      </c>
      <c r="C24" s="10" t="n">
        <v>0</v>
      </c>
      <c r="D24" s="10" t="n">
        <v>0</v>
      </c>
      <c r="E24" s="8" t="s">
        <v>83</v>
      </c>
      <c r="F24" s="26"/>
      <c r="G24" s="17" t="s">
        <v>39</v>
      </c>
      <c r="H24" s="17" t="s">
        <v>81</v>
      </c>
    </row>
    <row r="25" customFormat="false" ht="30" hidden="false" customHeight="true" outlineLevel="0" collapsed="false">
      <c r="A25" s="27" t="s">
        <v>89</v>
      </c>
      <c r="B25" s="9" t="n">
        <v>3000</v>
      </c>
      <c r="C25" s="9" t="n">
        <v>1500</v>
      </c>
      <c r="D25" s="9" t="n">
        <v>4500</v>
      </c>
      <c r="E25" s="8" t="s">
        <v>90</v>
      </c>
      <c r="F25" s="26" t="s">
        <v>252</v>
      </c>
      <c r="G25" s="17" t="s">
        <v>34</v>
      </c>
      <c r="H25" s="17" t="s">
        <v>92</v>
      </c>
    </row>
    <row r="26" customFormat="false" ht="30" hidden="false" customHeight="true" outlineLevel="0" collapsed="false">
      <c r="A26" s="27" t="s">
        <v>93</v>
      </c>
      <c r="B26" s="10" t="n">
        <v>0</v>
      </c>
      <c r="C26" s="10" t="n">
        <v>0</v>
      </c>
      <c r="D26" s="10" t="n">
        <v>0</v>
      </c>
      <c r="E26" s="8" t="s">
        <v>83</v>
      </c>
      <c r="F26" s="26"/>
      <c r="G26" s="17" t="s">
        <v>39</v>
      </c>
      <c r="H26" s="17" t="s">
        <v>95</v>
      </c>
    </row>
    <row r="27" customFormat="false" ht="30" hidden="false" customHeight="true" outlineLevel="0" collapsed="false">
      <c r="A27" s="27" t="s">
        <v>96</v>
      </c>
      <c r="B27" s="9" t="n">
        <v>0</v>
      </c>
      <c r="C27" s="9" t="n">
        <v>0</v>
      </c>
      <c r="D27" s="9" t="n">
        <v>0</v>
      </c>
      <c r="E27" s="8" t="s">
        <v>90</v>
      </c>
      <c r="F27" s="26"/>
      <c r="G27" s="17" t="s">
        <v>39</v>
      </c>
      <c r="H27" s="17" t="s">
        <v>84</v>
      </c>
    </row>
    <row r="28" customFormat="false" ht="30" hidden="false" customHeight="true" outlineLevel="0" collapsed="false">
      <c r="A28" s="27" t="s">
        <v>97</v>
      </c>
      <c r="B28" s="10" t="n">
        <v>0</v>
      </c>
      <c r="C28" s="10" t="n">
        <v>0</v>
      </c>
      <c r="D28" s="10" t="n">
        <v>0</v>
      </c>
      <c r="E28" s="8" t="s">
        <v>83</v>
      </c>
      <c r="F28" s="26"/>
      <c r="G28" s="17" t="s">
        <v>39</v>
      </c>
      <c r="H28" s="17" t="s">
        <v>95</v>
      </c>
    </row>
    <row r="29" customFormat="false" ht="30" hidden="false" customHeight="true" outlineLevel="0" collapsed="false">
      <c r="A29" s="27" t="s">
        <v>99</v>
      </c>
      <c r="B29" s="9" t="n">
        <v>0</v>
      </c>
      <c r="C29" s="9" t="n">
        <v>0</v>
      </c>
      <c r="D29" s="9" t="n">
        <v>0</v>
      </c>
      <c r="E29" s="8" t="s">
        <v>90</v>
      </c>
      <c r="F29" s="26"/>
      <c r="G29" s="17" t="s">
        <v>39</v>
      </c>
      <c r="H29" s="17" t="s">
        <v>84</v>
      </c>
    </row>
    <row r="30" customFormat="false" ht="30" hidden="false" customHeight="true" outlineLevel="0" collapsed="false">
      <c r="A30" s="27" t="s">
        <v>100</v>
      </c>
      <c r="B30" s="9" t="n">
        <v>11</v>
      </c>
      <c r="C30" s="9" t="n">
        <v>11</v>
      </c>
      <c r="D30" s="9" t="n">
        <v>11</v>
      </c>
      <c r="E30" s="8" t="s">
        <v>101</v>
      </c>
      <c r="F30" s="26"/>
      <c r="G30" s="17" t="s">
        <v>36</v>
      </c>
      <c r="H30" s="17" t="s">
        <v>84</v>
      </c>
    </row>
    <row r="31" customFormat="false" ht="30" hidden="false" customHeight="true" outlineLevel="0" collapsed="false">
      <c r="A31" s="27" t="s">
        <v>102</v>
      </c>
      <c r="B31" s="9" t="n">
        <v>6</v>
      </c>
      <c r="C31" s="9" t="n">
        <v>6</v>
      </c>
      <c r="D31" s="9" t="n">
        <v>6</v>
      </c>
      <c r="E31" s="8" t="s">
        <v>101</v>
      </c>
      <c r="F31" s="26"/>
      <c r="G31" s="17" t="s">
        <v>39</v>
      </c>
      <c r="H31" s="17" t="s">
        <v>84</v>
      </c>
    </row>
    <row r="32" customFormat="false" ht="30" hidden="false" customHeight="true" outlineLevel="0" collapsed="false">
      <c r="A32" s="27" t="s">
        <v>103</v>
      </c>
      <c r="B32" s="9" t="n">
        <v>6500000000</v>
      </c>
      <c r="C32" s="9" t="n">
        <v>8000000000</v>
      </c>
      <c r="D32" s="9" t="n">
        <v>5000000000</v>
      </c>
      <c r="E32" s="8" t="s">
        <v>104</v>
      </c>
      <c r="F32" s="26" t="s">
        <v>253</v>
      </c>
      <c r="G32" s="17" t="s">
        <v>34</v>
      </c>
      <c r="H32" s="17" t="s">
        <v>106</v>
      </c>
    </row>
    <row r="33" customFormat="false" ht="30" hidden="false" customHeight="true" outlineLevel="0" collapsed="false">
      <c r="A33" s="27" t="s">
        <v>107</v>
      </c>
      <c r="B33" s="9" t="n">
        <v>1082000000</v>
      </c>
      <c r="C33" s="9" t="n">
        <v>1250000000</v>
      </c>
      <c r="D33" s="9" t="n">
        <v>950000000</v>
      </c>
      <c r="E33" s="8" t="s">
        <v>90</v>
      </c>
      <c r="F33" s="26" t="s">
        <v>254</v>
      </c>
      <c r="G33" s="17" t="s">
        <v>34</v>
      </c>
      <c r="H33" s="17" t="s">
        <v>109</v>
      </c>
    </row>
    <row r="34" customFormat="false" ht="30" hidden="false" customHeight="true" outlineLevel="0" collapsed="false">
      <c r="A34" s="27" t="s">
        <v>110</v>
      </c>
      <c r="B34" s="9" t="n">
        <v>1037</v>
      </c>
      <c r="C34" s="9" t="n">
        <v>1250</v>
      </c>
      <c r="D34" s="9" t="n">
        <v>850</v>
      </c>
      <c r="E34" s="8" t="s">
        <v>90</v>
      </c>
      <c r="F34" s="26" t="s">
        <v>255</v>
      </c>
      <c r="G34" s="17" t="s">
        <v>34</v>
      </c>
      <c r="H34" s="17" t="s">
        <v>111</v>
      </c>
    </row>
    <row r="35" customFormat="false" ht="30" hidden="false" customHeight="true" outlineLevel="0" collapsed="false">
      <c r="A35" s="27" t="s">
        <v>112</v>
      </c>
      <c r="B35" s="10" t="n">
        <v>0.85</v>
      </c>
      <c r="C35" s="10" t="n">
        <v>0.85</v>
      </c>
      <c r="D35" s="10" t="n">
        <v>0.85</v>
      </c>
      <c r="E35" s="8" t="s">
        <v>83</v>
      </c>
      <c r="F35" s="26"/>
      <c r="G35" s="17" t="s">
        <v>36</v>
      </c>
      <c r="H35" s="17" t="s">
        <v>113</v>
      </c>
    </row>
    <row r="36" customFormat="false" ht="30" hidden="false" customHeight="true" outlineLevel="0" collapsed="false">
      <c r="A36" s="27" t="s">
        <v>114</v>
      </c>
      <c r="B36" s="9" t="n">
        <v>1485000</v>
      </c>
      <c r="C36" s="9" t="n">
        <v>1485000</v>
      </c>
      <c r="D36" s="9" t="n">
        <v>1485000</v>
      </c>
      <c r="E36" s="8" t="s">
        <v>79</v>
      </c>
      <c r="F36" s="26" t="s">
        <v>256</v>
      </c>
      <c r="G36" s="17" t="s">
        <v>34</v>
      </c>
      <c r="H36" s="17" t="s">
        <v>84</v>
      </c>
    </row>
    <row r="37" customFormat="false" ht="30" hidden="false" customHeight="true" outlineLevel="0" collapsed="false">
      <c r="A37" s="27" t="s">
        <v>116</v>
      </c>
      <c r="B37" s="9" t="n">
        <v>43929</v>
      </c>
      <c r="C37" s="9" t="n">
        <v>43929</v>
      </c>
      <c r="D37" s="9" t="n">
        <v>43929</v>
      </c>
      <c r="E37" s="8" t="s">
        <v>90</v>
      </c>
      <c r="F37" s="26"/>
      <c r="G37" s="17" t="s">
        <v>36</v>
      </c>
      <c r="H37" s="17" t="s">
        <v>84</v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23" t="s">
        <v>117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false" outlineLevel="0" collapsed="false">
      <c r="A40" s="11" t="s">
        <v>118</v>
      </c>
      <c r="B40" s="11" t="s">
        <v>72</v>
      </c>
      <c r="C40" s="11" t="s">
        <v>73</v>
      </c>
      <c r="D40" s="11" t="s">
        <v>74</v>
      </c>
      <c r="E40" s="11" t="s">
        <v>75</v>
      </c>
      <c r="F40" s="11" t="s">
        <v>119</v>
      </c>
      <c r="G40" s="11"/>
      <c r="H40" s="11"/>
    </row>
    <row r="41" customFormat="false" ht="15" hidden="false" customHeight="true" outlineLevel="0" collapsed="false">
      <c r="A41" s="27" t="s">
        <v>120</v>
      </c>
      <c r="B41" s="28" t="n">
        <f aca="false">B21*B22*B23*(1-B24)</f>
        <v>1485000</v>
      </c>
      <c r="C41" s="28" t="n">
        <f aca="false">IF(C21="",$B21,C21)*IF(C22="",$B22,C22)*IF(C23="",$B23,C23)*(1-IF(C24="",$B24,C24))</f>
        <v>1000000</v>
      </c>
      <c r="D41" s="28" t="n">
        <f aca="false">IF(D21="",$B21,D21)*IF(D22="",$B22,D22)*IF(D23="",$B23,D23)*(1-IF(D24="",$B24,D24))</f>
        <v>2000000</v>
      </c>
      <c r="E41" s="8" t="s">
        <v>79</v>
      </c>
      <c r="F41" s="27" t="s">
        <v>121</v>
      </c>
      <c r="G41" s="27"/>
      <c r="H41" s="27"/>
    </row>
    <row r="42" customFormat="false" ht="15" hidden="false" customHeight="true" outlineLevel="0" collapsed="false">
      <c r="A42" s="27" t="s">
        <v>122</v>
      </c>
      <c r="B42" s="28" t="n">
        <f aca="false">B21*B26</f>
        <v>0</v>
      </c>
      <c r="C42" s="28" t="n">
        <f aca="false">IF(C21="",$B21,C21)*IF(C26="",$B26,C26)</f>
        <v>0</v>
      </c>
      <c r="D42" s="28" t="n">
        <f aca="false">IF(D21="",$B21,D21)*IF(D26="",$B26,D26)</f>
        <v>0</v>
      </c>
      <c r="E42" s="8" t="s">
        <v>79</v>
      </c>
      <c r="F42" s="27" t="s">
        <v>123</v>
      </c>
      <c r="G42" s="27"/>
      <c r="H42" s="27"/>
    </row>
    <row r="43" customFormat="false" ht="15" hidden="false" customHeight="true" outlineLevel="0" collapsed="false">
      <c r="A43" s="27" t="s">
        <v>124</v>
      </c>
      <c r="B43" s="28" t="n">
        <f aca="false">B21*B28</f>
        <v>0</v>
      </c>
      <c r="C43" s="28" t="n">
        <f aca="false">IF(C21="",$B21,C21)*IF(C28="",$B28,C28)</f>
        <v>0</v>
      </c>
      <c r="D43" s="28" t="n">
        <f aca="false">IF(D21="",$B21,D21)*IF(D28="",$B28,D28)</f>
        <v>0</v>
      </c>
      <c r="E43" s="8" t="s">
        <v>79</v>
      </c>
      <c r="F43" s="27" t="s">
        <v>125</v>
      </c>
      <c r="G43" s="27"/>
      <c r="H43" s="27"/>
    </row>
    <row r="44" customFormat="false" ht="15" hidden="false" customHeight="true" outlineLevel="0" collapsed="false">
      <c r="A44" s="25" t="s">
        <v>126</v>
      </c>
      <c r="B44" s="28" t="n">
        <f aca="false">(B41*B25-B42*B27-B43*B29)/(1+Портфель!$B$5)</f>
        <v>3977678571.42857</v>
      </c>
      <c r="C44" s="28" t="n">
        <f aca="false">(C41*IF(C25="",$B25,C25)-C42*IF(C27="",$B27,C27)-C43*IF(C29="",$B29,C29))/(1+Портфель!$B$5)</f>
        <v>1339285714.28571</v>
      </c>
      <c r="D44" s="28" t="n">
        <f aca="false">(D41*IF(D25="",$B25,D25)-D42*IF(D27="",$B27,D27)-D43*IF(D29="",$B29,D29))/(1+Портфель!$B$5)</f>
        <v>8035714285.71429</v>
      </c>
      <c r="E44" s="8" t="s">
        <v>90</v>
      </c>
      <c r="F44" s="27" t="s">
        <v>127</v>
      </c>
      <c r="G44" s="27"/>
      <c r="H44" s="27"/>
    </row>
    <row r="45" customFormat="false" ht="15" hidden="false" customHeight="true" outlineLevel="0" collapsed="false">
      <c r="A45" s="27" t="s">
        <v>128</v>
      </c>
      <c r="B45" s="18" t="n">
        <f aca="false">MAX(0,12-B30+1)</f>
        <v>2</v>
      </c>
      <c r="C45" s="18" t="n">
        <f aca="false">MAX(0,12-IF(C30="",$B30,C30)+1)</f>
        <v>2</v>
      </c>
      <c r="D45" s="18" t="n">
        <f aca="false">MAX(0,12-IF(D30="",$B30,D30)+1)</f>
        <v>2</v>
      </c>
      <c r="E45" s="8" t="s">
        <v>101</v>
      </c>
      <c r="F45" s="27" t="s">
        <v>129</v>
      </c>
      <c r="G45" s="27"/>
      <c r="H45" s="27"/>
    </row>
    <row r="46" customFormat="false" ht="15" hidden="false" customHeight="true" outlineLevel="0" collapsed="false">
      <c r="A46" s="27" t="s">
        <v>130</v>
      </c>
      <c r="B46" s="18" t="n">
        <f aca="false">IF(B45&gt;=B31,(B31+1)/2+(B45-B31),B45*(B45+1)/(2*MAX(1,B31)))</f>
        <v>0.5</v>
      </c>
      <c r="C46" s="18" t="n">
        <f aca="false">IF(C45&gt;=IF(C31="",$B31,C31),(IF(C31="",$B31,C31)+1)/2+(C45-IF(C31="",$B31,C31)),C45*(C45+1)/(2*MAX(1,IF(C31="",$B31,C31))))</f>
        <v>0.5</v>
      </c>
      <c r="D46" s="18" t="n">
        <f aca="false">IF(D45&gt;=IF(D31="",$B31,D31),(IF(D31="",$B31,D31)+1)/2+(D45-IF(D31="",$B31,D31)),D45*(D45+1)/(2*MAX(1,IF(D31="",$B31,D31))))</f>
        <v>0.5</v>
      </c>
      <c r="E46" s="8" t="s">
        <v>101</v>
      </c>
      <c r="F46" s="27" t="s">
        <v>131</v>
      </c>
      <c r="G46" s="27"/>
      <c r="H46" s="27"/>
    </row>
    <row r="47" customFormat="false" ht="15" hidden="false" customHeight="true" outlineLevel="0" collapsed="false">
      <c r="A47" s="27" t="s">
        <v>132</v>
      </c>
      <c r="B47" s="18" t="n">
        <f aca="false">MAX(0,24-B30+1)</f>
        <v>14</v>
      </c>
      <c r="C47" s="18" t="n">
        <f aca="false">MAX(0,24-IF(C30="",$B30,C30)+1)</f>
        <v>14</v>
      </c>
      <c r="D47" s="18" t="n">
        <f aca="false">MAX(0,24-IF(D30="",$B30,D30)+1)</f>
        <v>14</v>
      </c>
      <c r="E47" s="8" t="s">
        <v>101</v>
      </c>
      <c r="F47" s="27" t="s">
        <v>133</v>
      </c>
      <c r="G47" s="27"/>
      <c r="H47" s="27"/>
    </row>
    <row r="48" customFormat="false" ht="15" hidden="false" customHeight="false" outlineLevel="0" collapsed="false">
      <c r="A48" s="27" t="s">
        <v>134</v>
      </c>
      <c r="B48" s="18" t="n">
        <f aca="false">IF(B47&gt;=B31,(B31+1)/2+(B47-B31),B47*(B47+1)/(2*MAX(1,B31)))</f>
        <v>11.5</v>
      </c>
      <c r="C48" s="18" t="n">
        <f aca="false">IF(C47&gt;=IF(C31="",$B31,C31),(IF(C31="",$B31,C31)+1)/2+(C47-IF(C31="",$B31,C31)),C47*(C47+1)/(2*MAX(1,IF(C31="",$B31,C31))))</f>
        <v>11.5</v>
      </c>
      <c r="D48" s="18" t="n">
        <f aca="false">IF(D47&gt;=IF(D31="",$B31,D31),(IF(D31="",$B31,D31)+1)/2+(D47-IF(D31="",$B31,D31)),D47*(D47+1)/(2*MAX(1,IF(D31="",$B31,D31))))</f>
        <v>11.5</v>
      </c>
      <c r="E48" s="8" t="s">
        <v>101</v>
      </c>
      <c r="F48" s="27"/>
      <c r="G48" s="27"/>
      <c r="H48" s="27"/>
    </row>
    <row r="49" customFormat="false" ht="15" hidden="false" customHeight="true" outlineLevel="0" collapsed="false">
      <c r="A49" s="25" t="s">
        <v>135</v>
      </c>
      <c r="B49" s="28" t="n">
        <f aca="false">B44*B46</f>
        <v>1988839285.71429</v>
      </c>
      <c r="C49" s="28" t="n">
        <f aca="false">C44*C46</f>
        <v>669642857.142857</v>
      </c>
      <c r="D49" s="28" t="n">
        <f aca="false">D44*D46</f>
        <v>4017857142.85714</v>
      </c>
      <c r="E49" s="8" t="s">
        <v>104</v>
      </c>
      <c r="F49" s="27" t="s">
        <v>136</v>
      </c>
      <c r="G49" s="27"/>
      <c r="H49" s="27"/>
    </row>
    <row r="50" customFormat="false" ht="15" hidden="false" customHeight="false" outlineLevel="0" collapsed="false">
      <c r="A50" s="27" t="s">
        <v>137</v>
      </c>
      <c r="B50" s="28" t="n">
        <f aca="false">B44*B48</f>
        <v>45743303571.4286</v>
      </c>
      <c r="C50" s="28" t="n">
        <f aca="false">C44*C48</f>
        <v>15401785714.2857</v>
      </c>
      <c r="D50" s="28" t="n">
        <f aca="false">D44*D48</f>
        <v>92410714285.7143</v>
      </c>
      <c r="E50" s="8" t="s">
        <v>104</v>
      </c>
      <c r="F50" s="27"/>
      <c r="G50" s="27"/>
      <c r="H50" s="27"/>
    </row>
    <row r="51" customFormat="false" ht="15" hidden="false" customHeight="true" outlineLevel="0" collapsed="false">
      <c r="A51" s="27" t="s">
        <v>138</v>
      </c>
      <c r="B51" s="28" t="n">
        <f aca="false">B32+B33*B47+B34*B41*B48</f>
        <v>39357367500</v>
      </c>
      <c r="C51" s="28" t="n">
        <f aca="false">IF(C32="",$B32,C32)+IF(C33="",$B33,C33)*C47+IF(C34="",$B34,C34)*C41*C48</f>
        <v>39875000000</v>
      </c>
      <c r="D51" s="28" t="n">
        <f aca="false">IF(D32="",$B32,D32)+IF(D33="",$B33,D33)*D47+IF(D34="",$B34,D34)*D41*D48</f>
        <v>37850000000</v>
      </c>
      <c r="E51" s="8" t="s">
        <v>104</v>
      </c>
      <c r="F51" s="27" t="s">
        <v>139</v>
      </c>
      <c r="G51" s="27"/>
      <c r="H51" s="27"/>
    </row>
    <row r="52" customFormat="false" ht="15" hidden="false" customHeight="true" outlineLevel="0" collapsed="false">
      <c r="A52" s="25" t="s">
        <v>140</v>
      </c>
      <c r="B52" s="28" t="n">
        <f aca="false">B50*B35-B51</f>
        <v>-475559464.285721</v>
      </c>
      <c r="C52" s="28" t="n">
        <f aca="false">C50*IF(C35="",$B35,C35)-C51</f>
        <v>-26783482142.8571</v>
      </c>
      <c r="D52" s="28" t="n">
        <f aca="false">D50*IF(D35="",$B35,D35)-D51</f>
        <v>40699107142.8571</v>
      </c>
      <c r="E52" s="8" t="s">
        <v>104</v>
      </c>
      <c r="F52" s="27" t="s">
        <v>141</v>
      </c>
      <c r="G52" s="27"/>
      <c r="H52" s="27"/>
    </row>
    <row r="53" customFormat="false" ht="15" hidden="false" customHeight="true" outlineLevel="0" collapsed="false">
      <c r="A53" s="27" t="s">
        <v>142</v>
      </c>
      <c r="B53" s="18" t="n">
        <f aca="false">IF(B44*B35-B33-B34*B41&gt;0,B32/(B44*B35-B33-B34*B41),"не окупается")</f>
        <v>8.56297716837401</v>
      </c>
      <c r="C53" s="18" t="str">
        <f aca="false">IF(C44*IF(C35="",$B35,C35)-IF(C33="",$B33,C33)-IF(C34="",$B34,C34)*C41&gt;0,IF(C32="",$B32,C32)/(C44*IF(C35="",$B35,C35)-IF(C33="",$B33,C33)-IF(C34="",$B34,C34)*C41),"не окупается")</f>
        <v>не окупается</v>
      </c>
      <c r="D53" s="18" t="n">
        <f aca="false">IF(D44*IF(D35="",$B35,D35)-IF(D33="",$B33,D33)-IF(D34="",$B34,D34)*D41&gt;0,IF(D32="",$B32,D32)/(D44*IF(D35="",$B35,D35)-IF(D33="",$B33,D33)-IF(D34="",$B34,D34)*D41),"не окупается")</f>
        <v>1.19607005553182</v>
      </c>
      <c r="E53" s="8" t="s">
        <v>101</v>
      </c>
      <c r="F53" s="27" t="s">
        <v>143</v>
      </c>
      <c r="G53" s="27"/>
      <c r="H53" s="27"/>
    </row>
    <row r="54" customFormat="false" ht="15" hidden="false" customHeight="true" outlineLevel="0" collapsed="false">
      <c r="A54" s="27" t="s">
        <v>144</v>
      </c>
      <c r="B54" s="29" t="n">
        <f aca="false">IF(B51&gt;0,B52/B51,0)</f>
        <v>-0.0120831116127297</v>
      </c>
      <c r="C54" s="29" t="n">
        <f aca="false">IF(C51&gt;0,C52/C51,0)</f>
        <v>-0.671686072548142</v>
      </c>
      <c r="D54" s="29" t="n">
        <f aca="false">IF(D51&gt;0,D52/D51,0)</f>
        <v>1.0752736365352</v>
      </c>
      <c r="E54" s="8" t="s">
        <v>145</v>
      </c>
      <c r="F54" s="27" t="s">
        <v>146</v>
      </c>
      <c r="G54" s="27"/>
      <c r="H54" s="27"/>
    </row>
    <row r="55" customFormat="false" ht="15" hidden="false" customHeight="true" outlineLevel="0" collapsed="false">
      <c r="A55" s="25" t="s">
        <v>147</v>
      </c>
      <c r="B55" s="30" t="n">
        <f aca="false">IF(B36*B37&gt;0,B44/(B36*B37),0)</f>
        <v>0.0609750148779036</v>
      </c>
      <c r="C55" s="30" t="n">
        <f aca="false">IF(IF(C36="",$B36,C36)*IF(C37="",$B37,C37)&gt;0,C44/(IF(C36="",$B36,C36)*IF(C37="",$B37,C37)),0)</f>
        <v>0.0205303080396982</v>
      </c>
      <c r="D55" s="30" t="n">
        <f aca="false">IF(IF(D36="",$B36,D36)*IF(D37="",$B37,D37)&gt;0,D44/(IF(D36="",$B36,D36)*IF(D37="",$B37,D37)),0)</f>
        <v>0.123181848238189</v>
      </c>
      <c r="E55" s="8" t="s">
        <v>83</v>
      </c>
      <c r="F55" s="27" t="s">
        <v>148</v>
      </c>
      <c r="G55" s="27"/>
      <c r="H55" s="27"/>
    </row>
    <row r="56" customFormat="false" ht="15" hidden="false" customHeight="true" outlineLevel="0" collapsed="false">
      <c r="A56" s="27" t="s">
        <v>149</v>
      </c>
      <c r="B56" s="31" t="n">
        <f aca="false">B44*12/Портфель!$B$4</f>
        <v>3944805.19480519</v>
      </c>
      <c r="C56" s="31" t="n">
        <f aca="false">C44*12/Портфель!$B$4</f>
        <v>1328217.23730815</v>
      </c>
      <c r="D56" s="31" t="n">
        <f aca="false">D44*12/Портфель!$B$4</f>
        <v>7969303.42384888</v>
      </c>
      <c r="E56" s="8" t="s">
        <v>150</v>
      </c>
      <c r="F56" s="27" t="s">
        <v>151</v>
      </c>
      <c r="G56" s="27"/>
      <c r="H56" s="27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23" t="s">
        <v>152</v>
      </c>
      <c r="B58" s="24"/>
      <c r="C58" s="24"/>
      <c r="D58" s="24"/>
      <c r="E58" s="24"/>
      <c r="F58" s="24"/>
      <c r="G58" s="24"/>
      <c r="H58" s="24"/>
    </row>
    <row r="59" customFormat="false" ht="15" hidden="false" customHeight="false" outlineLevel="0" collapsed="false">
      <c r="A59" s="11" t="s">
        <v>153</v>
      </c>
      <c r="B59" s="11" t="s">
        <v>20</v>
      </c>
      <c r="C59" s="11"/>
      <c r="D59" s="11"/>
      <c r="E59" s="11"/>
      <c r="F59" s="11" t="s">
        <v>154</v>
      </c>
      <c r="G59" s="11"/>
      <c r="H59" s="11"/>
    </row>
    <row r="60" customFormat="false" ht="27.75" hidden="false" customHeight="true" outlineLevel="0" collapsed="false">
      <c r="A60" s="27" t="s">
        <v>155</v>
      </c>
      <c r="B60" s="17" t="s">
        <v>156</v>
      </c>
      <c r="C60" s="6"/>
      <c r="D60" s="6"/>
      <c r="E60" s="6"/>
      <c r="F60" s="32"/>
      <c r="G60" s="32"/>
      <c r="H60" s="32"/>
    </row>
    <row r="61" customFormat="false" ht="27.75" hidden="false" customHeight="true" outlineLevel="0" collapsed="false">
      <c r="A61" s="27" t="s">
        <v>157</v>
      </c>
      <c r="B61" s="17" t="s">
        <v>156</v>
      </c>
      <c r="C61" s="6"/>
      <c r="D61" s="6"/>
      <c r="E61" s="6"/>
      <c r="F61" s="32"/>
      <c r="G61" s="32"/>
      <c r="H61" s="32"/>
    </row>
    <row r="62" customFormat="false" ht="27.75" hidden="false" customHeight="true" outlineLevel="0" collapsed="false">
      <c r="A62" s="27" t="s">
        <v>158</v>
      </c>
      <c r="B62" s="17" t="s">
        <v>156</v>
      </c>
      <c r="C62" s="6"/>
      <c r="D62" s="6"/>
      <c r="E62" s="6"/>
      <c r="F62" s="32"/>
      <c r="G62" s="32"/>
      <c r="H62" s="32"/>
    </row>
    <row r="63" customFormat="false" ht="27.75" hidden="false" customHeight="true" outlineLevel="0" collapsed="false">
      <c r="A63" s="27" t="s">
        <v>159</v>
      </c>
      <c r="B63" s="17" t="s">
        <v>156</v>
      </c>
      <c r="C63" s="6"/>
      <c r="D63" s="6"/>
      <c r="E63" s="6"/>
      <c r="F63" s="32"/>
      <c r="G63" s="32"/>
      <c r="H63" s="32"/>
    </row>
    <row r="64" customFormat="false" ht="27.75" hidden="false" customHeight="true" outlineLevel="0" collapsed="false">
      <c r="A64" s="27" t="s">
        <v>160</v>
      </c>
      <c r="B64" s="17" t="s">
        <v>156</v>
      </c>
      <c r="C64" s="6"/>
      <c r="D64" s="6"/>
      <c r="E64" s="6"/>
      <c r="F64" s="32"/>
      <c r="G64" s="32"/>
      <c r="H64" s="32"/>
    </row>
    <row r="65" customFormat="false" ht="27.75" hidden="false" customHeight="true" outlineLevel="0" collapsed="false">
      <c r="A65" s="27" t="s">
        <v>161</v>
      </c>
      <c r="B65" s="17" t="s">
        <v>156</v>
      </c>
      <c r="C65" s="6"/>
      <c r="D65" s="6"/>
      <c r="E65" s="6"/>
      <c r="F65" s="32"/>
      <c r="G65" s="32"/>
      <c r="H65" s="32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23" t="s">
        <v>162</v>
      </c>
      <c r="B67" s="24"/>
      <c r="C67" s="24"/>
      <c r="D67" s="24"/>
      <c r="E67" s="24"/>
      <c r="F67" s="24"/>
      <c r="G67" s="24"/>
      <c r="H67" s="24"/>
    </row>
    <row r="68" customFormat="false" ht="15" hidden="false" customHeight="false" outlineLevel="0" collapsed="false">
      <c r="A68" s="11" t="s">
        <v>163</v>
      </c>
      <c r="B68" s="11" t="s">
        <v>164</v>
      </c>
      <c r="C68" s="11" t="s">
        <v>165</v>
      </c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26" t="s">
        <v>257</v>
      </c>
      <c r="B69" s="17" t="s">
        <v>258</v>
      </c>
      <c r="C69" s="17" t="s">
        <v>259</v>
      </c>
      <c r="D69" s="6"/>
      <c r="E69" s="6"/>
      <c r="F69" s="6"/>
      <c r="G69" s="6"/>
      <c r="H69" s="6"/>
    </row>
    <row r="70" customFormat="false" ht="15" hidden="false" customHeight="false" outlineLevel="0" collapsed="false">
      <c r="A70" s="26" t="s">
        <v>260</v>
      </c>
      <c r="B70" s="17" t="s">
        <v>261</v>
      </c>
      <c r="C70" s="17" t="s">
        <v>262</v>
      </c>
      <c r="D70" s="6"/>
      <c r="E70" s="6"/>
      <c r="F70" s="6"/>
      <c r="G70" s="6"/>
      <c r="H70" s="6"/>
    </row>
    <row r="71" customFormat="false" ht="15" hidden="false" customHeight="false" outlineLevel="0" collapsed="false">
      <c r="A71" s="26" t="s">
        <v>263</v>
      </c>
      <c r="B71" s="17" t="s">
        <v>264</v>
      </c>
      <c r="C71" s="17" t="s">
        <v>265</v>
      </c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23" t="s">
        <v>175</v>
      </c>
      <c r="B73" s="24"/>
      <c r="C73" s="24"/>
      <c r="D73" s="24"/>
      <c r="E73" s="24"/>
      <c r="F73" s="24"/>
      <c r="G73" s="24"/>
      <c r="H73" s="24"/>
    </row>
    <row r="74" customFormat="false" ht="15" hidden="false" customHeight="false" outlineLevel="0" collapsed="false">
      <c r="A74" s="11" t="s">
        <v>176</v>
      </c>
      <c r="B74" s="11" t="s">
        <v>177</v>
      </c>
      <c r="C74" s="11"/>
      <c r="D74" s="11"/>
      <c r="E74" s="11"/>
      <c r="F74" s="11"/>
      <c r="G74" s="11"/>
      <c r="H74" s="11"/>
    </row>
    <row r="75" customFormat="false" ht="26.85" hidden="false" customHeight="false" outlineLevel="0" collapsed="false">
      <c r="A75" s="27" t="s">
        <v>178</v>
      </c>
      <c r="B75" s="17" t="s">
        <v>179</v>
      </c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27" t="s">
        <v>180</v>
      </c>
      <c r="B76" s="17" t="s">
        <v>179</v>
      </c>
      <c r="C76" s="6"/>
      <c r="D76" s="6"/>
      <c r="E76" s="6"/>
      <c r="F76" s="6"/>
      <c r="G76" s="6"/>
      <c r="H76" s="6"/>
    </row>
    <row r="77" customFormat="false" ht="26.85" hidden="false" customHeight="false" outlineLevel="0" collapsed="false">
      <c r="A77" s="27" t="s">
        <v>181</v>
      </c>
      <c r="B77" s="17" t="s">
        <v>179</v>
      </c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27" t="s">
        <v>182</v>
      </c>
      <c r="B78" s="17" t="s">
        <v>179</v>
      </c>
      <c r="C78" s="6"/>
      <c r="D78" s="6"/>
      <c r="E78" s="6"/>
      <c r="F78" s="6"/>
      <c r="G78" s="6"/>
      <c r="H78" s="6"/>
    </row>
    <row r="79" customFormat="false" ht="26.85" hidden="false" customHeight="false" outlineLevel="0" collapsed="false">
      <c r="A79" s="27" t="s">
        <v>183</v>
      </c>
      <c r="B79" s="17" t="s">
        <v>185</v>
      </c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27" t="s">
        <v>184</v>
      </c>
      <c r="B80" s="17" t="s">
        <v>185</v>
      </c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27" t="s">
        <v>186</v>
      </c>
      <c r="B81" s="17" t="s">
        <v>185</v>
      </c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27" t="s">
        <v>187</v>
      </c>
      <c r="B82" s="17" t="s">
        <v>185</v>
      </c>
      <c r="C82" s="6"/>
      <c r="D82" s="6"/>
      <c r="E82" s="6"/>
      <c r="F82" s="6"/>
      <c r="G82" s="6"/>
      <c r="H82" s="6"/>
    </row>
    <row r="83" customFormat="false" ht="26.85" hidden="false" customHeight="false" outlineLevel="0" collapsed="false">
      <c r="A83" s="27" t="s">
        <v>188</v>
      </c>
      <c r="B83" s="17" t="s">
        <v>185</v>
      </c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27" t="s">
        <v>189</v>
      </c>
      <c r="B84" s="17" t="s">
        <v>185</v>
      </c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20" t="s">
        <v>190</v>
      </c>
      <c r="B85" s="33" t="n">
        <f aca="false">COUNTIF(B75:B84,"Да")/10</f>
        <v>0.4</v>
      </c>
      <c r="C85" s="20" t="str">
        <f aca="false">IF(B85&gt;=0.8,"Можно передавать финансам","Доработать до 80%")</f>
        <v>Доработать до 80%</v>
      </c>
      <c r="D85" s="6"/>
      <c r="E85" s="6"/>
      <c r="F85" s="6"/>
      <c r="G85" s="6"/>
      <c r="H85" s="6"/>
    </row>
  </sheetData>
  <mergeCells count="3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60:H60"/>
    <mergeCell ref="F61:H61"/>
    <mergeCell ref="F62:H62"/>
    <mergeCell ref="F63:H63"/>
    <mergeCell ref="F64:H64"/>
    <mergeCell ref="F65:H65"/>
  </mergeCells>
  <dataValidations count="4">
    <dataValidation allowBlank="true" errorStyle="stop" operator="between" showDropDown="false" showErrorMessage="false" showInputMessage="false" sqref="B8" type="list">
      <formula1>"Идея,Discovery,Готово к финансам,В расчёте у финансов,Утверждено,Отклонено"</formula1>
      <formula2>0</formula2>
    </dataValidation>
    <dataValidation allowBlank="true" errorStyle="stop" operator="between" showDropDown="false" showErrorMessage="false" showInputMessage="false" sqref="G21:G37" type="list">
      <formula1>"Высокая,Средняя,Низкая"</formula1>
      <formula2>0</formula2>
    </dataValidation>
    <dataValidation allowBlank="true" errorStyle="stop" operator="between" showDropDown="false" showErrorMessage="false" showInputMessage="false" sqref="B60:B65" type="list">
      <formula1>"Не начато,Запрошено,Получено"</formula1>
      <formula2>0</formula2>
    </dataValidation>
    <dataValidation allowBlank="true" errorStyle="stop" operator="between" showDropDown="false" showErrorMessage="false" showInputMessage="false" sqref="B75:B8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5" t="s">
        <v>266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22" t="s">
        <v>43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23" t="s">
        <v>44</v>
      </c>
      <c r="B4" s="24"/>
      <c r="C4" s="24"/>
      <c r="D4" s="24"/>
      <c r="E4" s="24"/>
      <c r="F4" s="24"/>
      <c r="G4" s="24"/>
      <c r="H4" s="24"/>
    </row>
    <row r="5" customFormat="false" ht="19.5" hidden="false" customHeight="true" outlineLevel="0" collapsed="false">
      <c r="A5" s="25" t="s">
        <v>45</v>
      </c>
      <c r="B5" s="34"/>
      <c r="C5" s="34"/>
      <c r="D5" s="34"/>
      <c r="E5" s="34"/>
      <c r="F5" s="34"/>
      <c r="G5" s="34"/>
      <c r="H5" s="34"/>
    </row>
    <row r="6" customFormat="false" ht="19.5" hidden="false" customHeight="true" outlineLevel="0" collapsed="false">
      <c r="A6" s="25" t="s">
        <v>47</v>
      </c>
      <c r="B6" s="34"/>
      <c r="C6" s="34"/>
      <c r="D6" s="34"/>
      <c r="E6" s="34"/>
      <c r="F6" s="34"/>
      <c r="G6" s="34"/>
      <c r="H6" s="34"/>
    </row>
    <row r="7" customFormat="false" ht="19.5" hidden="false" customHeight="true" outlineLevel="0" collapsed="false">
      <c r="A7" s="25" t="s">
        <v>49</v>
      </c>
      <c r="B7" s="34"/>
      <c r="C7" s="34"/>
      <c r="D7" s="34"/>
      <c r="E7" s="34"/>
      <c r="F7" s="34"/>
      <c r="G7" s="34"/>
      <c r="H7" s="34"/>
    </row>
    <row r="8" customFormat="false" ht="19.5" hidden="false" customHeight="true" outlineLevel="0" collapsed="false">
      <c r="A8" s="25" t="s">
        <v>20</v>
      </c>
      <c r="B8" s="34"/>
      <c r="C8" s="34"/>
      <c r="D8" s="34"/>
      <c r="E8" s="34"/>
      <c r="F8" s="34"/>
      <c r="G8" s="34"/>
      <c r="H8" s="34"/>
    </row>
    <row r="9" customFormat="false" ht="45.75" hidden="false" customHeight="true" outlineLevel="0" collapsed="false">
      <c r="A9" s="25" t="s">
        <v>52</v>
      </c>
      <c r="B9" s="34"/>
      <c r="C9" s="34"/>
      <c r="D9" s="34"/>
      <c r="E9" s="34"/>
      <c r="F9" s="34"/>
      <c r="G9" s="34"/>
      <c r="H9" s="34"/>
    </row>
    <row r="10" customFormat="false" ht="45.75" hidden="false" customHeight="true" outlineLevel="0" collapsed="false">
      <c r="A10" s="25" t="s">
        <v>54</v>
      </c>
      <c r="B10" s="34"/>
      <c r="C10" s="34"/>
      <c r="D10" s="34"/>
      <c r="E10" s="34"/>
      <c r="F10" s="34"/>
      <c r="G10" s="34"/>
      <c r="H10" s="34"/>
    </row>
    <row r="11" customFormat="false" ht="45.75" hidden="false" customHeight="true" outlineLevel="0" collapsed="false">
      <c r="A11" s="25" t="s">
        <v>56</v>
      </c>
      <c r="B11" s="34"/>
      <c r="C11" s="34"/>
      <c r="D11" s="34"/>
      <c r="E11" s="34"/>
      <c r="F11" s="34"/>
      <c r="G11" s="34"/>
      <c r="H11" s="34"/>
    </row>
    <row r="12" customFormat="false" ht="45.75" hidden="false" customHeight="true" outlineLevel="0" collapsed="false">
      <c r="A12" s="25" t="s">
        <v>58</v>
      </c>
      <c r="B12" s="34"/>
      <c r="C12" s="34"/>
      <c r="D12" s="34"/>
      <c r="E12" s="34"/>
      <c r="F12" s="34"/>
      <c r="G12" s="34"/>
      <c r="H12" s="34"/>
    </row>
    <row r="13" customFormat="false" ht="45.75" hidden="false" customHeight="true" outlineLevel="0" collapsed="false">
      <c r="A13" s="25" t="s">
        <v>60</v>
      </c>
      <c r="B13" s="34"/>
      <c r="C13" s="34"/>
      <c r="D13" s="34"/>
      <c r="E13" s="34"/>
      <c r="F13" s="34"/>
      <c r="G13" s="34"/>
      <c r="H13" s="34"/>
    </row>
    <row r="14" customFormat="false" ht="45.75" hidden="false" customHeight="true" outlineLevel="0" collapsed="false">
      <c r="A14" s="25" t="s">
        <v>62</v>
      </c>
      <c r="B14" s="34"/>
      <c r="C14" s="34"/>
      <c r="D14" s="34"/>
      <c r="E14" s="34"/>
      <c r="F14" s="34"/>
      <c r="G14" s="34"/>
      <c r="H14" s="34"/>
    </row>
    <row r="15" customFormat="false" ht="45.75" hidden="false" customHeight="true" outlineLevel="0" collapsed="false">
      <c r="A15" s="25" t="s">
        <v>64</v>
      </c>
      <c r="B15" s="34"/>
      <c r="C15" s="34"/>
      <c r="D15" s="34"/>
      <c r="E15" s="34"/>
      <c r="F15" s="34"/>
      <c r="G15" s="34"/>
      <c r="H15" s="34"/>
    </row>
    <row r="16" customFormat="false" ht="45.75" hidden="false" customHeight="true" outlineLevel="0" collapsed="false">
      <c r="A16" s="25" t="s">
        <v>66</v>
      </c>
      <c r="B16" s="34"/>
      <c r="C16" s="34"/>
      <c r="D16" s="34"/>
      <c r="E16" s="34"/>
      <c r="F16" s="34"/>
      <c r="G16" s="34"/>
      <c r="H16" s="34"/>
    </row>
    <row r="17" customFormat="false" ht="45.75" hidden="false" customHeight="true" outlineLevel="0" collapsed="false">
      <c r="A17" s="25" t="s">
        <v>68</v>
      </c>
      <c r="B17" s="34"/>
      <c r="C17" s="34"/>
      <c r="D17" s="34"/>
      <c r="E17" s="34"/>
      <c r="F17" s="34"/>
      <c r="G17" s="34"/>
      <c r="H17" s="34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23" t="s">
        <v>70</v>
      </c>
      <c r="B19" s="24"/>
      <c r="C19" s="24"/>
      <c r="D19" s="24"/>
      <c r="E19" s="24"/>
      <c r="F19" s="24"/>
      <c r="G19" s="24"/>
      <c r="H19" s="24"/>
    </row>
    <row r="20" customFormat="false" ht="15" hidden="false" customHeight="false" outlineLevel="0" collapsed="false">
      <c r="A20" s="11" t="s">
        <v>71</v>
      </c>
      <c r="B20" s="11" t="s">
        <v>72</v>
      </c>
      <c r="C20" s="11" t="s">
        <v>73</v>
      </c>
      <c r="D20" s="11" t="s">
        <v>74</v>
      </c>
      <c r="E20" s="11" t="s">
        <v>75</v>
      </c>
      <c r="F20" s="11" t="s">
        <v>76</v>
      </c>
      <c r="G20" s="11" t="s">
        <v>29</v>
      </c>
      <c r="H20" s="11" t="s">
        <v>77</v>
      </c>
    </row>
    <row r="21" customFormat="false" ht="30" hidden="false" customHeight="true" outlineLevel="0" collapsed="false">
      <c r="A21" s="27" t="s">
        <v>78</v>
      </c>
      <c r="B21" s="35"/>
      <c r="C21" s="35"/>
      <c r="D21" s="35"/>
      <c r="E21" s="8" t="s">
        <v>79</v>
      </c>
      <c r="F21" s="26"/>
      <c r="G21" s="17"/>
      <c r="H21" s="17" t="s">
        <v>81</v>
      </c>
    </row>
    <row r="22" customFormat="false" ht="30" hidden="false" customHeight="true" outlineLevel="0" collapsed="false">
      <c r="A22" s="27" t="s">
        <v>82</v>
      </c>
      <c r="B22" s="36"/>
      <c r="C22" s="36"/>
      <c r="D22" s="36"/>
      <c r="E22" s="8" t="s">
        <v>83</v>
      </c>
      <c r="F22" s="26"/>
      <c r="G22" s="17"/>
      <c r="H22" s="17" t="s">
        <v>84</v>
      </c>
    </row>
    <row r="23" customFormat="false" ht="30" hidden="false" customHeight="true" outlineLevel="0" collapsed="false">
      <c r="A23" s="27" t="s">
        <v>85</v>
      </c>
      <c r="B23" s="36"/>
      <c r="C23" s="36"/>
      <c r="D23" s="36"/>
      <c r="E23" s="8" t="s">
        <v>83</v>
      </c>
      <c r="F23" s="26"/>
      <c r="G23" s="17"/>
      <c r="H23" s="17" t="s">
        <v>87</v>
      </c>
    </row>
    <row r="24" customFormat="false" ht="30" hidden="false" customHeight="true" outlineLevel="0" collapsed="false">
      <c r="A24" s="27" t="s">
        <v>88</v>
      </c>
      <c r="B24" s="36"/>
      <c r="C24" s="36"/>
      <c r="D24" s="36"/>
      <c r="E24" s="8" t="s">
        <v>83</v>
      </c>
      <c r="F24" s="26"/>
      <c r="G24" s="17"/>
      <c r="H24" s="17" t="s">
        <v>81</v>
      </c>
    </row>
    <row r="25" customFormat="false" ht="30" hidden="false" customHeight="true" outlineLevel="0" collapsed="false">
      <c r="A25" s="27" t="s">
        <v>89</v>
      </c>
      <c r="B25" s="35"/>
      <c r="C25" s="35"/>
      <c r="D25" s="35"/>
      <c r="E25" s="8" t="s">
        <v>90</v>
      </c>
      <c r="F25" s="26"/>
      <c r="G25" s="17"/>
      <c r="H25" s="17" t="s">
        <v>92</v>
      </c>
    </row>
    <row r="26" customFormat="false" ht="30" hidden="false" customHeight="true" outlineLevel="0" collapsed="false">
      <c r="A26" s="27" t="s">
        <v>93</v>
      </c>
      <c r="B26" s="36"/>
      <c r="C26" s="36"/>
      <c r="D26" s="36"/>
      <c r="E26" s="8" t="s">
        <v>83</v>
      </c>
      <c r="F26" s="26"/>
      <c r="G26" s="17"/>
      <c r="H26" s="17" t="s">
        <v>95</v>
      </c>
    </row>
    <row r="27" customFormat="false" ht="30" hidden="false" customHeight="true" outlineLevel="0" collapsed="false">
      <c r="A27" s="27" t="s">
        <v>96</v>
      </c>
      <c r="B27" s="35"/>
      <c r="C27" s="35"/>
      <c r="D27" s="35"/>
      <c r="E27" s="8" t="s">
        <v>90</v>
      </c>
      <c r="F27" s="26"/>
      <c r="G27" s="17"/>
      <c r="H27" s="17" t="s">
        <v>84</v>
      </c>
    </row>
    <row r="28" customFormat="false" ht="30" hidden="false" customHeight="true" outlineLevel="0" collapsed="false">
      <c r="A28" s="27" t="s">
        <v>97</v>
      </c>
      <c r="B28" s="36"/>
      <c r="C28" s="36"/>
      <c r="D28" s="36"/>
      <c r="E28" s="8" t="s">
        <v>83</v>
      </c>
      <c r="F28" s="26"/>
      <c r="G28" s="17"/>
      <c r="H28" s="17" t="s">
        <v>95</v>
      </c>
    </row>
    <row r="29" customFormat="false" ht="30" hidden="false" customHeight="true" outlineLevel="0" collapsed="false">
      <c r="A29" s="27" t="s">
        <v>99</v>
      </c>
      <c r="B29" s="35"/>
      <c r="C29" s="35"/>
      <c r="D29" s="35"/>
      <c r="E29" s="8" t="s">
        <v>90</v>
      </c>
      <c r="F29" s="26"/>
      <c r="G29" s="17"/>
      <c r="H29" s="17" t="s">
        <v>84</v>
      </c>
    </row>
    <row r="30" customFormat="false" ht="30" hidden="false" customHeight="true" outlineLevel="0" collapsed="false">
      <c r="A30" s="27" t="s">
        <v>100</v>
      </c>
      <c r="B30" s="35"/>
      <c r="C30" s="35"/>
      <c r="D30" s="35"/>
      <c r="E30" s="8" t="s">
        <v>101</v>
      </c>
      <c r="F30" s="26"/>
      <c r="G30" s="17"/>
      <c r="H30" s="17" t="s">
        <v>84</v>
      </c>
    </row>
    <row r="31" customFormat="false" ht="30" hidden="false" customHeight="true" outlineLevel="0" collapsed="false">
      <c r="A31" s="27" t="s">
        <v>102</v>
      </c>
      <c r="B31" s="35"/>
      <c r="C31" s="35"/>
      <c r="D31" s="35"/>
      <c r="E31" s="8" t="s">
        <v>101</v>
      </c>
      <c r="F31" s="26"/>
      <c r="G31" s="17"/>
      <c r="H31" s="17" t="s">
        <v>84</v>
      </c>
    </row>
    <row r="32" customFormat="false" ht="30" hidden="false" customHeight="true" outlineLevel="0" collapsed="false">
      <c r="A32" s="27" t="s">
        <v>103</v>
      </c>
      <c r="B32" s="35"/>
      <c r="C32" s="35"/>
      <c r="D32" s="35"/>
      <c r="E32" s="8" t="s">
        <v>104</v>
      </c>
      <c r="F32" s="26"/>
      <c r="G32" s="17"/>
      <c r="H32" s="17" t="s">
        <v>106</v>
      </c>
    </row>
    <row r="33" customFormat="false" ht="30" hidden="false" customHeight="true" outlineLevel="0" collapsed="false">
      <c r="A33" s="27" t="s">
        <v>107</v>
      </c>
      <c r="B33" s="35"/>
      <c r="C33" s="35"/>
      <c r="D33" s="35"/>
      <c r="E33" s="8" t="s">
        <v>90</v>
      </c>
      <c r="F33" s="26"/>
      <c r="G33" s="17"/>
      <c r="H33" s="17" t="s">
        <v>109</v>
      </c>
    </row>
    <row r="34" customFormat="false" ht="30" hidden="false" customHeight="true" outlineLevel="0" collapsed="false">
      <c r="A34" s="27" t="s">
        <v>110</v>
      </c>
      <c r="B34" s="35"/>
      <c r="C34" s="35"/>
      <c r="D34" s="35"/>
      <c r="E34" s="8" t="s">
        <v>90</v>
      </c>
      <c r="F34" s="26"/>
      <c r="G34" s="17"/>
      <c r="H34" s="17" t="s">
        <v>111</v>
      </c>
    </row>
    <row r="35" customFormat="false" ht="30" hidden="false" customHeight="true" outlineLevel="0" collapsed="false">
      <c r="A35" s="27" t="s">
        <v>112</v>
      </c>
      <c r="B35" s="36"/>
      <c r="C35" s="36"/>
      <c r="D35" s="36"/>
      <c r="E35" s="8" t="s">
        <v>83</v>
      </c>
      <c r="F35" s="26"/>
      <c r="G35" s="17"/>
      <c r="H35" s="17" t="s">
        <v>113</v>
      </c>
    </row>
    <row r="36" customFormat="false" ht="30" hidden="false" customHeight="true" outlineLevel="0" collapsed="false">
      <c r="A36" s="27" t="s">
        <v>114</v>
      </c>
      <c r="B36" s="35"/>
      <c r="C36" s="35"/>
      <c r="D36" s="35"/>
      <c r="E36" s="8" t="s">
        <v>79</v>
      </c>
      <c r="F36" s="26"/>
      <c r="G36" s="17"/>
      <c r="H36" s="17" t="s">
        <v>84</v>
      </c>
    </row>
    <row r="37" customFormat="false" ht="30" hidden="false" customHeight="true" outlineLevel="0" collapsed="false">
      <c r="A37" s="27" t="s">
        <v>116</v>
      </c>
      <c r="B37" s="35"/>
      <c r="C37" s="35"/>
      <c r="D37" s="35"/>
      <c r="E37" s="8" t="s">
        <v>90</v>
      </c>
      <c r="F37" s="26"/>
      <c r="G37" s="17"/>
      <c r="H37" s="17" t="s">
        <v>84</v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</row>
    <row r="39" customFormat="false" ht="15" hidden="false" customHeight="false" outlineLevel="0" collapsed="false">
      <c r="A39" s="23" t="s">
        <v>117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false" outlineLevel="0" collapsed="false">
      <c r="A40" s="11" t="s">
        <v>118</v>
      </c>
      <c r="B40" s="11" t="s">
        <v>72</v>
      </c>
      <c r="C40" s="11" t="s">
        <v>73</v>
      </c>
      <c r="D40" s="11" t="s">
        <v>74</v>
      </c>
      <c r="E40" s="11" t="s">
        <v>75</v>
      </c>
      <c r="F40" s="11" t="s">
        <v>119</v>
      </c>
      <c r="G40" s="11"/>
      <c r="H40" s="11"/>
    </row>
    <row r="41" customFormat="false" ht="15" hidden="false" customHeight="true" outlineLevel="0" collapsed="false">
      <c r="A41" s="27" t="s">
        <v>120</v>
      </c>
      <c r="B41" s="28" t="n">
        <f aca="false">B21*B22*B23*(1-B24)</f>
        <v>0</v>
      </c>
      <c r="C41" s="28" t="n">
        <f aca="false">IF(C21="",$B21,C21)*IF(C22="",$B22,C22)*IF(C23="",$B23,C23)*(1-IF(C24="",$B24,C24))</f>
        <v>0</v>
      </c>
      <c r="D41" s="28" t="n">
        <f aca="false">IF(D21="",$B21,D21)*IF(D22="",$B22,D22)*IF(D23="",$B23,D23)*(1-IF(D24="",$B24,D24))</f>
        <v>0</v>
      </c>
      <c r="E41" s="8" t="s">
        <v>79</v>
      </c>
      <c r="F41" s="27" t="s">
        <v>121</v>
      </c>
      <c r="G41" s="27"/>
      <c r="H41" s="27"/>
    </row>
    <row r="42" customFormat="false" ht="15" hidden="false" customHeight="true" outlineLevel="0" collapsed="false">
      <c r="A42" s="27" t="s">
        <v>122</v>
      </c>
      <c r="B42" s="28" t="n">
        <f aca="false">B21*B26</f>
        <v>0</v>
      </c>
      <c r="C42" s="28" t="n">
        <f aca="false">IF(C21="",$B21,C21)*IF(C26="",$B26,C26)</f>
        <v>0</v>
      </c>
      <c r="D42" s="28" t="n">
        <f aca="false">IF(D21="",$B21,D21)*IF(D26="",$B26,D26)</f>
        <v>0</v>
      </c>
      <c r="E42" s="8" t="s">
        <v>79</v>
      </c>
      <c r="F42" s="27" t="s">
        <v>123</v>
      </c>
      <c r="G42" s="27"/>
      <c r="H42" s="27"/>
    </row>
    <row r="43" customFormat="false" ht="15" hidden="false" customHeight="true" outlineLevel="0" collapsed="false">
      <c r="A43" s="27" t="s">
        <v>124</v>
      </c>
      <c r="B43" s="28" t="n">
        <f aca="false">B21*B28</f>
        <v>0</v>
      </c>
      <c r="C43" s="28" t="n">
        <f aca="false">IF(C21="",$B21,C21)*IF(C28="",$B28,C28)</f>
        <v>0</v>
      </c>
      <c r="D43" s="28" t="n">
        <f aca="false">IF(D21="",$B21,D21)*IF(D28="",$B28,D28)</f>
        <v>0</v>
      </c>
      <c r="E43" s="8" t="s">
        <v>79</v>
      </c>
      <c r="F43" s="27" t="s">
        <v>125</v>
      </c>
      <c r="G43" s="27"/>
      <c r="H43" s="27"/>
    </row>
    <row r="44" customFormat="false" ht="15" hidden="false" customHeight="true" outlineLevel="0" collapsed="false">
      <c r="A44" s="25" t="s">
        <v>126</v>
      </c>
      <c r="B44" s="28" t="n">
        <f aca="false">(B41*B25-B42*B27-B43*B29)/(1+Портфель!$B$5)</f>
        <v>0</v>
      </c>
      <c r="C44" s="28" t="n">
        <f aca="false">(C41*IF(C25="",$B25,C25)-C42*IF(C27="",$B27,C27)-C43*IF(C29="",$B29,C29))/(1+Портфель!$B$5)</f>
        <v>0</v>
      </c>
      <c r="D44" s="28" t="n">
        <f aca="false">(D41*IF(D25="",$B25,D25)-D42*IF(D27="",$B27,D27)-D43*IF(D29="",$B29,D29))/(1+Портфель!$B$5)</f>
        <v>0</v>
      </c>
      <c r="E44" s="8" t="s">
        <v>90</v>
      </c>
      <c r="F44" s="27" t="s">
        <v>127</v>
      </c>
      <c r="G44" s="27"/>
      <c r="H44" s="27"/>
    </row>
    <row r="45" customFormat="false" ht="15" hidden="false" customHeight="true" outlineLevel="0" collapsed="false">
      <c r="A45" s="27" t="s">
        <v>128</v>
      </c>
      <c r="B45" s="18" t="n">
        <f aca="false">MAX(0,12-B30+1)</f>
        <v>13</v>
      </c>
      <c r="C45" s="18" t="n">
        <f aca="false">MAX(0,12-IF(C30="",$B30,C30)+1)</f>
        <v>13</v>
      </c>
      <c r="D45" s="18" t="n">
        <f aca="false">MAX(0,12-IF(D30="",$B30,D30)+1)</f>
        <v>13</v>
      </c>
      <c r="E45" s="8" t="s">
        <v>101</v>
      </c>
      <c r="F45" s="27" t="s">
        <v>129</v>
      </c>
      <c r="G45" s="27"/>
      <c r="H45" s="27"/>
    </row>
    <row r="46" customFormat="false" ht="15" hidden="false" customHeight="true" outlineLevel="0" collapsed="false">
      <c r="A46" s="27" t="s">
        <v>130</v>
      </c>
      <c r="B46" s="18" t="n">
        <f aca="false">IF(B45&gt;=B31,(B31+1)/2+(B45-B31),B45*(B45+1)/(2*MAX(1,B31)))</f>
        <v>13.5</v>
      </c>
      <c r="C46" s="18" t="n">
        <f aca="false">IF(C45&gt;=IF(C31="",$B31,C31),(IF(C31="",$B31,C31)+1)/2+(C45-IF(C31="",$B31,C31)),C45*(C45+1)/(2*MAX(1,IF(C31="",$B31,C31))))</f>
        <v>13.5</v>
      </c>
      <c r="D46" s="18" t="n">
        <f aca="false">IF(D45&gt;=IF(D31="",$B31,D31),(IF(D31="",$B31,D31)+1)/2+(D45-IF(D31="",$B31,D31)),D45*(D45+1)/(2*MAX(1,IF(D31="",$B31,D31))))</f>
        <v>13.5</v>
      </c>
      <c r="E46" s="8" t="s">
        <v>101</v>
      </c>
      <c r="F46" s="27" t="s">
        <v>131</v>
      </c>
      <c r="G46" s="27"/>
      <c r="H46" s="27"/>
    </row>
    <row r="47" customFormat="false" ht="15" hidden="false" customHeight="true" outlineLevel="0" collapsed="false">
      <c r="A47" s="27" t="s">
        <v>132</v>
      </c>
      <c r="B47" s="18" t="n">
        <f aca="false">MAX(0,24-B30+1)</f>
        <v>25</v>
      </c>
      <c r="C47" s="18" t="n">
        <f aca="false">MAX(0,24-IF(C30="",$B30,C30)+1)</f>
        <v>25</v>
      </c>
      <c r="D47" s="18" t="n">
        <f aca="false">MAX(0,24-IF(D30="",$B30,D30)+1)</f>
        <v>25</v>
      </c>
      <c r="E47" s="8" t="s">
        <v>101</v>
      </c>
      <c r="F47" s="27" t="s">
        <v>133</v>
      </c>
      <c r="G47" s="27"/>
      <c r="H47" s="27"/>
    </row>
    <row r="48" customFormat="false" ht="15" hidden="false" customHeight="false" outlineLevel="0" collapsed="false">
      <c r="A48" s="27" t="s">
        <v>134</v>
      </c>
      <c r="B48" s="18" t="n">
        <f aca="false">IF(B47&gt;=B31,(B31+1)/2+(B47-B31),B47*(B47+1)/(2*MAX(1,B31)))</f>
        <v>25.5</v>
      </c>
      <c r="C48" s="18" t="n">
        <f aca="false">IF(C47&gt;=IF(C31="",$B31,C31),(IF(C31="",$B31,C31)+1)/2+(C47-IF(C31="",$B31,C31)),C47*(C47+1)/(2*MAX(1,IF(C31="",$B31,C31))))</f>
        <v>25.5</v>
      </c>
      <c r="D48" s="18" t="n">
        <f aca="false">IF(D47&gt;=IF(D31="",$B31,D31),(IF(D31="",$B31,D31)+1)/2+(D47-IF(D31="",$B31,D31)),D47*(D47+1)/(2*MAX(1,IF(D31="",$B31,D31))))</f>
        <v>25.5</v>
      </c>
      <c r="E48" s="8" t="s">
        <v>101</v>
      </c>
      <c r="F48" s="27"/>
      <c r="G48" s="27"/>
      <c r="H48" s="27"/>
    </row>
    <row r="49" customFormat="false" ht="15" hidden="false" customHeight="true" outlineLevel="0" collapsed="false">
      <c r="A49" s="25" t="s">
        <v>135</v>
      </c>
      <c r="B49" s="28" t="n">
        <f aca="false">B44*B46</f>
        <v>0</v>
      </c>
      <c r="C49" s="28" t="n">
        <f aca="false">C44*C46</f>
        <v>0</v>
      </c>
      <c r="D49" s="28" t="n">
        <f aca="false">D44*D46</f>
        <v>0</v>
      </c>
      <c r="E49" s="8" t="s">
        <v>104</v>
      </c>
      <c r="F49" s="27" t="s">
        <v>136</v>
      </c>
      <c r="G49" s="27"/>
      <c r="H49" s="27"/>
    </row>
    <row r="50" customFormat="false" ht="15" hidden="false" customHeight="false" outlineLevel="0" collapsed="false">
      <c r="A50" s="27" t="s">
        <v>137</v>
      </c>
      <c r="B50" s="28" t="n">
        <f aca="false">B44*B48</f>
        <v>0</v>
      </c>
      <c r="C50" s="28" t="n">
        <f aca="false">C44*C48</f>
        <v>0</v>
      </c>
      <c r="D50" s="28" t="n">
        <f aca="false">D44*D48</f>
        <v>0</v>
      </c>
      <c r="E50" s="8" t="s">
        <v>104</v>
      </c>
      <c r="F50" s="27"/>
      <c r="G50" s="27"/>
      <c r="H50" s="27"/>
    </row>
    <row r="51" customFormat="false" ht="15" hidden="false" customHeight="true" outlineLevel="0" collapsed="false">
      <c r="A51" s="27" t="s">
        <v>138</v>
      </c>
      <c r="B51" s="28" t="n">
        <f aca="false">B32+B33*B47+B34*B41*B48</f>
        <v>0</v>
      </c>
      <c r="C51" s="28" t="n">
        <f aca="false">IF(C32="",$B32,C32)+IF(C33="",$B33,C33)*C47+IF(C34="",$B34,C34)*C41*C48</f>
        <v>0</v>
      </c>
      <c r="D51" s="28" t="n">
        <f aca="false">IF(D32="",$B32,D32)+IF(D33="",$B33,D33)*D47+IF(D34="",$B34,D34)*D41*D48</f>
        <v>0</v>
      </c>
      <c r="E51" s="8" t="s">
        <v>104</v>
      </c>
      <c r="F51" s="27" t="s">
        <v>139</v>
      </c>
      <c r="G51" s="27"/>
      <c r="H51" s="27"/>
    </row>
    <row r="52" customFormat="false" ht="15" hidden="false" customHeight="true" outlineLevel="0" collapsed="false">
      <c r="A52" s="25" t="s">
        <v>140</v>
      </c>
      <c r="B52" s="28" t="n">
        <f aca="false">B50*B35-B51</f>
        <v>0</v>
      </c>
      <c r="C52" s="28" t="n">
        <f aca="false">C50*IF(C35="",$B35,C35)-C51</f>
        <v>0</v>
      </c>
      <c r="D52" s="28" t="n">
        <f aca="false">D50*IF(D35="",$B35,D35)-D51</f>
        <v>0</v>
      </c>
      <c r="E52" s="8" t="s">
        <v>104</v>
      </c>
      <c r="F52" s="27" t="s">
        <v>141</v>
      </c>
      <c r="G52" s="27"/>
      <c r="H52" s="27"/>
    </row>
    <row r="53" customFormat="false" ht="15" hidden="false" customHeight="true" outlineLevel="0" collapsed="false">
      <c r="A53" s="27" t="s">
        <v>142</v>
      </c>
      <c r="B53" s="18" t="str">
        <f aca="false">IF(B44*B35-B33-B34*B41&gt;0,B32/(B44*B35-B33-B34*B41),"не окупается")</f>
        <v>не окупается</v>
      </c>
      <c r="C53" s="18" t="str">
        <f aca="false">IF(C44*IF(C35="",$B35,C35)-IF(C33="",$B33,C33)-IF(C34="",$B34,C34)*C41&gt;0,IF(C32="",$B32,C32)/(C44*IF(C35="",$B35,C35)-IF(C33="",$B33,C33)-IF(C34="",$B34,C34)*C41),"не окупается")</f>
        <v>не окупается</v>
      </c>
      <c r="D53" s="18" t="str">
        <f aca="false">IF(D44*IF(D35="",$B35,D35)-IF(D33="",$B33,D33)-IF(D34="",$B34,D34)*D41&gt;0,IF(D32="",$B32,D32)/(D44*IF(D35="",$B35,D35)-IF(D33="",$B33,D33)-IF(D34="",$B34,D34)*D41),"не окупается")</f>
        <v>не окупается</v>
      </c>
      <c r="E53" s="8" t="s">
        <v>101</v>
      </c>
      <c r="F53" s="27" t="s">
        <v>143</v>
      </c>
      <c r="G53" s="27"/>
      <c r="H53" s="27"/>
    </row>
    <row r="54" customFormat="false" ht="15" hidden="false" customHeight="true" outlineLevel="0" collapsed="false">
      <c r="A54" s="27" t="s">
        <v>144</v>
      </c>
      <c r="B54" s="29" t="n">
        <f aca="false">IF(B51&gt;0,B52/B51,0)</f>
        <v>0</v>
      </c>
      <c r="C54" s="29" t="n">
        <f aca="false">IF(C51&gt;0,C52/C51,0)</f>
        <v>0</v>
      </c>
      <c r="D54" s="29" t="n">
        <f aca="false">IF(D51&gt;0,D52/D51,0)</f>
        <v>0</v>
      </c>
      <c r="E54" s="8" t="s">
        <v>145</v>
      </c>
      <c r="F54" s="27" t="s">
        <v>146</v>
      </c>
      <c r="G54" s="27"/>
      <c r="H54" s="27"/>
    </row>
    <row r="55" customFormat="false" ht="15" hidden="false" customHeight="true" outlineLevel="0" collapsed="false">
      <c r="A55" s="25" t="s">
        <v>147</v>
      </c>
      <c r="B55" s="30" t="n">
        <f aca="false">IF(B36*B37&gt;0,B44/(B36*B37),0)</f>
        <v>0</v>
      </c>
      <c r="C55" s="30" t="n">
        <f aca="false">IF(IF(C36="",$B36,C36)*IF(C37="",$B37,C37)&gt;0,C44/(IF(C36="",$B36,C36)*IF(C37="",$B37,C37)),0)</f>
        <v>0</v>
      </c>
      <c r="D55" s="30" t="n">
        <f aca="false">IF(IF(D36="",$B36,D36)*IF(D37="",$B37,D37)&gt;0,D44/(IF(D36="",$B36,D36)*IF(D37="",$B37,D37)),0)</f>
        <v>0</v>
      </c>
      <c r="E55" s="8" t="s">
        <v>83</v>
      </c>
      <c r="F55" s="27" t="s">
        <v>148</v>
      </c>
      <c r="G55" s="27"/>
      <c r="H55" s="27"/>
    </row>
    <row r="56" customFormat="false" ht="15" hidden="false" customHeight="true" outlineLevel="0" collapsed="false">
      <c r="A56" s="27" t="s">
        <v>149</v>
      </c>
      <c r="B56" s="31" t="n">
        <f aca="false">B44*12/Портфель!$B$4</f>
        <v>0</v>
      </c>
      <c r="C56" s="31" t="n">
        <f aca="false">C44*12/Портфель!$B$4</f>
        <v>0</v>
      </c>
      <c r="D56" s="31" t="n">
        <f aca="false">D44*12/Портфель!$B$4</f>
        <v>0</v>
      </c>
      <c r="E56" s="8" t="s">
        <v>150</v>
      </c>
      <c r="F56" s="27" t="s">
        <v>151</v>
      </c>
      <c r="G56" s="27"/>
      <c r="H56" s="27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5" hidden="false" customHeight="false" outlineLevel="0" collapsed="false">
      <c r="A58" s="23" t="s">
        <v>152</v>
      </c>
      <c r="B58" s="24"/>
      <c r="C58" s="24"/>
      <c r="D58" s="24"/>
      <c r="E58" s="24"/>
      <c r="F58" s="24"/>
      <c r="G58" s="24"/>
      <c r="H58" s="24"/>
    </row>
    <row r="59" customFormat="false" ht="15" hidden="false" customHeight="false" outlineLevel="0" collapsed="false">
      <c r="A59" s="11" t="s">
        <v>153</v>
      </c>
      <c r="B59" s="11" t="s">
        <v>20</v>
      </c>
      <c r="C59" s="11"/>
      <c r="D59" s="11"/>
      <c r="E59" s="11"/>
      <c r="F59" s="11" t="s">
        <v>154</v>
      </c>
      <c r="G59" s="11"/>
      <c r="H59" s="11"/>
    </row>
    <row r="60" customFormat="false" ht="27.75" hidden="false" customHeight="true" outlineLevel="0" collapsed="false">
      <c r="A60" s="27" t="s">
        <v>155</v>
      </c>
      <c r="B60" s="17"/>
      <c r="C60" s="6"/>
      <c r="D60" s="6"/>
      <c r="E60" s="6"/>
      <c r="F60" s="32"/>
      <c r="G60" s="32"/>
      <c r="H60" s="32"/>
    </row>
    <row r="61" customFormat="false" ht="27.75" hidden="false" customHeight="true" outlineLevel="0" collapsed="false">
      <c r="A61" s="27" t="s">
        <v>157</v>
      </c>
      <c r="B61" s="17"/>
      <c r="C61" s="6"/>
      <c r="D61" s="6"/>
      <c r="E61" s="6"/>
      <c r="F61" s="32"/>
      <c r="G61" s="32"/>
      <c r="H61" s="32"/>
    </row>
    <row r="62" customFormat="false" ht="27.75" hidden="false" customHeight="true" outlineLevel="0" collapsed="false">
      <c r="A62" s="27" t="s">
        <v>158</v>
      </c>
      <c r="B62" s="17"/>
      <c r="C62" s="6"/>
      <c r="D62" s="6"/>
      <c r="E62" s="6"/>
      <c r="F62" s="32"/>
      <c r="G62" s="32"/>
      <c r="H62" s="32"/>
    </row>
    <row r="63" customFormat="false" ht="27.75" hidden="false" customHeight="true" outlineLevel="0" collapsed="false">
      <c r="A63" s="27" t="s">
        <v>159</v>
      </c>
      <c r="B63" s="17"/>
      <c r="C63" s="6"/>
      <c r="D63" s="6"/>
      <c r="E63" s="6"/>
      <c r="F63" s="32"/>
      <c r="G63" s="32"/>
      <c r="H63" s="32"/>
    </row>
    <row r="64" customFormat="false" ht="27.75" hidden="false" customHeight="true" outlineLevel="0" collapsed="false">
      <c r="A64" s="27" t="s">
        <v>160</v>
      </c>
      <c r="B64" s="17"/>
      <c r="C64" s="6"/>
      <c r="D64" s="6"/>
      <c r="E64" s="6"/>
      <c r="F64" s="32"/>
      <c r="G64" s="32"/>
      <c r="H64" s="32"/>
    </row>
    <row r="65" customFormat="false" ht="27.75" hidden="false" customHeight="true" outlineLevel="0" collapsed="false">
      <c r="A65" s="27" t="s">
        <v>161</v>
      </c>
      <c r="B65" s="17"/>
      <c r="C65" s="6"/>
      <c r="D65" s="6"/>
      <c r="E65" s="6"/>
      <c r="F65" s="32"/>
      <c r="G65" s="32"/>
      <c r="H65" s="32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</row>
    <row r="67" customFormat="false" ht="15" hidden="false" customHeight="false" outlineLevel="0" collapsed="false">
      <c r="A67" s="23" t="s">
        <v>162</v>
      </c>
      <c r="B67" s="24"/>
      <c r="C67" s="24"/>
      <c r="D67" s="24"/>
      <c r="E67" s="24"/>
      <c r="F67" s="24"/>
      <c r="G67" s="24"/>
      <c r="H67" s="24"/>
    </row>
    <row r="68" customFormat="false" ht="15" hidden="false" customHeight="false" outlineLevel="0" collapsed="false">
      <c r="A68" s="11" t="s">
        <v>163</v>
      </c>
      <c r="B68" s="11" t="s">
        <v>164</v>
      </c>
      <c r="C68" s="11" t="s">
        <v>165</v>
      </c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26"/>
      <c r="B69" s="17"/>
      <c r="C69" s="17"/>
      <c r="D69" s="6"/>
      <c r="E69" s="6"/>
      <c r="F69" s="6"/>
      <c r="G69" s="6"/>
      <c r="H69" s="6"/>
    </row>
    <row r="70" customFormat="false" ht="15" hidden="false" customHeight="false" outlineLevel="0" collapsed="false">
      <c r="A70" s="26"/>
      <c r="B70" s="17"/>
      <c r="C70" s="17"/>
      <c r="D70" s="6"/>
      <c r="E70" s="6"/>
      <c r="F70" s="6"/>
      <c r="G70" s="6"/>
      <c r="H70" s="6"/>
    </row>
    <row r="71" customFormat="false" ht="15" hidden="false" customHeight="false" outlineLevel="0" collapsed="false">
      <c r="A71" s="26"/>
      <c r="B71" s="17"/>
      <c r="C71" s="17"/>
      <c r="D71" s="6"/>
      <c r="E71" s="6"/>
      <c r="F71" s="6"/>
      <c r="G71" s="6"/>
      <c r="H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</row>
    <row r="73" customFormat="false" ht="15" hidden="false" customHeight="false" outlineLevel="0" collapsed="false">
      <c r="A73" s="23" t="s">
        <v>175</v>
      </c>
      <c r="B73" s="24"/>
      <c r="C73" s="24"/>
      <c r="D73" s="24"/>
      <c r="E73" s="24"/>
      <c r="F73" s="24"/>
      <c r="G73" s="24"/>
      <c r="H73" s="24"/>
    </row>
    <row r="74" customFormat="false" ht="15" hidden="false" customHeight="false" outlineLevel="0" collapsed="false">
      <c r="A74" s="11" t="s">
        <v>176</v>
      </c>
      <c r="B74" s="11" t="s">
        <v>177</v>
      </c>
      <c r="C74" s="11"/>
      <c r="D74" s="11"/>
      <c r="E74" s="11"/>
      <c r="F74" s="11"/>
      <c r="G74" s="11"/>
      <c r="H74" s="11"/>
    </row>
    <row r="75" customFormat="false" ht="26.85" hidden="false" customHeight="false" outlineLevel="0" collapsed="false">
      <c r="A75" s="27" t="s">
        <v>178</v>
      </c>
      <c r="B75" s="17"/>
      <c r="C75" s="6"/>
      <c r="D75" s="6"/>
      <c r="E75" s="6"/>
      <c r="F75" s="6"/>
      <c r="G75" s="6"/>
      <c r="H75" s="6"/>
    </row>
    <row r="76" customFormat="false" ht="15" hidden="false" customHeight="false" outlineLevel="0" collapsed="false">
      <c r="A76" s="27" t="s">
        <v>180</v>
      </c>
      <c r="B76" s="17"/>
      <c r="C76" s="6"/>
      <c r="D76" s="6"/>
      <c r="E76" s="6"/>
      <c r="F76" s="6"/>
      <c r="G76" s="6"/>
      <c r="H76" s="6"/>
    </row>
    <row r="77" customFormat="false" ht="26.85" hidden="false" customHeight="false" outlineLevel="0" collapsed="false">
      <c r="A77" s="27" t="s">
        <v>181</v>
      </c>
      <c r="B77" s="17"/>
      <c r="C77" s="6"/>
      <c r="D77" s="6"/>
      <c r="E77" s="6"/>
      <c r="F77" s="6"/>
      <c r="G77" s="6"/>
      <c r="H77" s="6"/>
    </row>
    <row r="78" customFormat="false" ht="15" hidden="false" customHeight="false" outlineLevel="0" collapsed="false">
      <c r="A78" s="27" t="s">
        <v>182</v>
      </c>
      <c r="B78" s="17"/>
      <c r="C78" s="6"/>
      <c r="D78" s="6"/>
      <c r="E78" s="6"/>
      <c r="F78" s="6"/>
      <c r="G78" s="6"/>
      <c r="H78" s="6"/>
    </row>
    <row r="79" customFormat="false" ht="26.85" hidden="false" customHeight="false" outlineLevel="0" collapsed="false">
      <c r="A79" s="27" t="s">
        <v>183</v>
      </c>
      <c r="B79" s="17"/>
      <c r="C79" s="6"/>
      <c r="D79" s="6"/>
      <c r="E79" s="6"/>
      <c r="F79" s="6"/>
      <c r="G79" s="6"/>
      <c r="H79" s="6"/>
    </row>
    <row r="80" customFormat="false" ht="15" hidden="false" customHeight="false" outlineLevel="0" collapsed="false">
      <c r="A80" s="27" t="s">
        <v>184</v>
      </c>
      <c r="B80" s="17"/>
      <c r="C80" s="6"/>
      <c r="D80" s="6"/>
      <c r="E80" s="6"/>
      <c r="F80" s="6"/>
      <c r="G80" s="6"/>
      <c r="H80" s="6"/>
    </row>
    <row r="81" customFormat="false" ht="15" hidden="false" customHeight="false" outlineLevel="0" collapsed="false">
      <c r="A81" s="27" t="s">
        <v>186</v>
      </c>
      <c r="B81" s="17"/>
      <c r="C81" s="6"/>
      <c r="D81" s="6"/>
      <c r="E81" s="6"/>
      <c r="F81" s="6"/>
      <c r="G81" s="6"/>
      <c r="H81" s="6"/>
    </row>
    <row r="82" customFormat="false" ht="15" hidden="false" customHeight="false" outlineLevel="0" collapsed="false">
      <c r="A82" s="27" t="s">
        <v>187</v>
      </c>
      <c r="B82" s="17"/>
      <c r="C82" s="6"/>
      <c r="D82" s="6"/>
      <c r="E82" s="6"/>
      <c r="F82" s="6"/>
      <c r="G82" s="6"/>
      <c r="H82" s="6"/>
    </row>
    <row r="83" customFormat="false" ht="26.85" hidden="false" customHeight="false" outlineLevel="0" collapsed="false">
      <c r="A83" s="27" t="s">
        <v>188</v>
      </c>
      <c r="B83" s="17"/>
      <c r="C83" s="6"/>
      <c r="D83" s="6"/>
      <c r="E83" s="6"/>
      <c r="F83" s="6"/>
      <c r="G83" s="6"/>
      <c r="H83" s="6"/>
    </row>
    <row r="84" customFormat="false" ht="15" hidden="false" customHeight="false" outlineLevel="0" collapsed="false">
      <c r="A84" s="27" t="s">
        <v>189</v>
      </c>
      <c r="B84" s="17"/>
      <c r="C84" s="6"/>
      <c r="D84" s="6"/>
      <c r="E84" s="6"/>
      <c r="F84" s="6"/>
      <c r="G84" s="6"/>
      <c r="H84" s="6"/>
    </row>
    <row r="85" customFormat="false" ht="15" hidden="false" customHeight="false" outlineLevel="0" collapsed="false">
      <c r="A85" s="20" t="s">
        <v>190</v>
      </c>
      <c r="B85" s="33" t="n">
        <f aca="false">COUNTIF(B75:B84,"Да")/10</f>
        <v>0</v>
      </c>
      <c r="C85" s="20" t="str">
        <f aca="false">IF(B85&gt;=0.8,"Можно передавать финансам","Доработать до 80%")</f>
        <v>Доработать до 80%</v>
      </c>
      <c r="D85" s="6"/>
      <c r="E85" s="6"/>
      <c r="F85" s="6"/>
      <c r="G85" s="6"/>
      <c r="H85" s="6"/>
    </row>
  </sheetData>
  <mergeCells count="35"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60:H60"/>
    <mergeCell ref="F61:H61"/>
    <mergeCell ref="F62:H62"/>
    <mergeCell ref="F63:H63"/>
    <mergeCell ref="F64:H64"/>
    <mergeCell ref="F65:H65"/>
  </mergeCells>
  <dataValidations count="4">
    <dataValidation allowBlank="true" errorStyle="stop" operator="between" showDropDown="false" showErrorMessage="false" showInputMessage="false" sqref="B8" type="list">
      <formula1>"Идея,Discovery,Готово к финансам,В расчёте у финансов,Утверждено,Отклонено"</formula1>
      <formula2>0</formula2>
    </dataValidation>
    <dataValidation allowBlank="true" errorStyle="stop" operator="between" showDropDown="false" showErrorMessage="false" showInputMessage="false" sqref="G21:G37" type="list">
      <formula1>"Высокая,Средняя,Низкая"</formula1>
      <formula2>0</formula2>
    </dataValidation>
    <dataValidation allowBlank="true" errorStyle="stop" operator="between" showDropDown="false" showErrorMessage="false" showInputMessage="false" sqref="B60:B65" type="list">
      <formula1>"Не начато,Запрошено,Получено"</formula1>
      <formula2>0</formula2>
    </dataValidation>
    <dataValidation allowBlank="true" errorStyle="stop" operator="between" showDropDown="false" showErrorMessage="false" showInputMessage="false" sqref="B75:B84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2026-10-09T10:02:11Z</dcterms:created>
  <dc:creator>openpyxl</dc:creator>
  <dc:description/>
  <dc:language>en-US</dc:language>
  <cp:lastModifiedBy/>
  <dcterms:modified xsi:type="dcterms:W3CDTF">2026-10-09T10:02:24Z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