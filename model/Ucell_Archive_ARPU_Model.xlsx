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Initiatives" sheetId="3" state="visible" r:id="rId5"/>
    <sheet name="Monthly" sheetId="4" state="visible" r:id="rId6"/>
    <sheet name="Portfolio" sheetId="5" state="visible" r:id="rId7"/>
    <sheet name="AB_Calculator" sheetId="6" state="visible" r:id="rId8"/>
    <sheet name="MC_Resul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Диапазон Монте-Карло: 0.4 … 0.52</t>
        </r>
      </text>
    </comment>
    <comment ref="C11" authorId="0">
      <text>
        <r>
          <rPr>
            <sz val="10"/>
            <rFont val="Arial"/>
            <family val="2"/>
          </rPr>
          <t xml:space="preserve">Диапазон Монте-Карло: 0.75 … 0.92</t>
        </r>
      </text>
    </comment>
    <comment ref="C12" authorId="0">
      <text>
        <r>
          <rPr>
            <sz val="10"/>
            <rFont val="Arial"/>
            <family val="2"/>
          </rPr>
          <t xml:space="preserve">Диапазон Монте-Карло: 0.06 … 0.2</t>
        </r>
      </text>
    </comment>
    <comment ref="C13" authorId="0">
      <text>
        <r>
          <rPr>
            <sz val="10"/>
            <rFont val="Arial"/>
            <family val="2"/>
          </rPr>
          <t xml:space="preserve">Диапазон Монте-Карло: 0.1 … 0.35</t>
        </r>
      </text>
    </comment>
    <comment ref="C14" authorId="0">
      <text>
        <r>
          <rPr>
            <sz val="10"/>
            <rFont val="Arial"/>
            <family val="2"/>
          </rPr>
          <t xml:space="preserve">Диапазон Монте-Карло: 3,000 … 11,000</t>
        </r>
      </text>
    </comment>
    <comment ref="C15" authorId="0">
      <text>
        <r>
          <rPr>
            <sz val="10"/>
            <rFont val="Arial"/>
            <family val="2"/>
          </rPr>
          <t xml:space="preserve">Диапазон Монте-Карло: 0.0 … 0.006</t>
        </r>
      </text>
    </comment>
    <comment ref="C16" authorId="0">
      <text>
        <r>
          <rPr>
            <sz val="10"/>
            <rFont val="Arial"/>
            <family val="2"/>
          </rPr>
          <t xml:space="preserve">Диапазон Монте-Карло: 0.0 … 0.2</t>
        </r>
      </text>
    </comment>
    <comment ref="C27" authorId="0">
      <text>
        <r>
          <rPr>
            <sz val="10"/>
            <rFont val="Arial"/>
            <family val="2"/>
          </rPr>
          <t xml:space="preserve">Диапазон Монте-Карло: 1,000 … 4,000</t>
        </r>
      </text>
    </comment>
    <comment ref="C29" authorId="0">
      <text>
        <r>
          <rPr>
            <sz val="10"/>
            <rFont val="Arial"/>
            <family val="2"/>
          </rPr>
          <t xml:space="preserve">Диапазон Монте-Карло: 300,000,000 … 600,000,000</t>
        </r>
      </text>
    </comment>
    <comment ref="D10" authorId="0">
      <text>
        <r>
          <rPr>
            <sz val="10"/>
            <rFont val="Arial"/>
            <family val="2"/>
          </rPr>
          <t xml:space="preserve">Диапазон Монте-Карло: 0.18 … 0.26</t>
        </r>
      </text>
    </comment>
    <comment ref="D15" authorId="0">
      <text>
        <r>
          <rPr>
            <sz val="10"/>
            <rFont val="Arial"/>
            <family val="2"/>
          </rPr>
          <t xml:space="preserve">Диапазон Монте-Карло: 0.01 … 0.05</t>
        </r>
      </text>
    </comment>
    <comment ref="D18" authorId="0">
      <text>
        <r>
          <rPr>
            <sz val="10"/>
            <rFont val="Arial"/>
            <family val="2"/>
          </rPr>
          <t xml:space="preserve">Диапазон Монте-Карло: 4,000 … 6,000</t>
        </r>
      </text>
    </comment>
    <comment ref="D19" authorId="0">
      <text>
        <r>
          <rPr>
            <sz val="10"/>
            <rFont val="Arial"/>
            <family val="2"/>
          </rPr>
          <t xml:space="preserve">Диапазон Монте-Карло: 0.04 … 0.15</t>
        </r>
      </text>
    </comment>
    <comment ref="D20" authorId="0">
      <text>
        <r>
          <rPr>
            <sz val="10"/>
            <rFont val="Arial"/>
            <family val="2"/>
          </rPr>
          <t xml:space="preserve">Диапазон Монте-Карло: -6,000 … 0</t>
        </r>
      </text>
    </comment>
    <comment ref="D21" authorId="0">
      <text>
        <r>
          <rPr>
            <sz val="10"/>
            <rFont val="Arial"/>
            <family val="2"/>
          </rPr>
          <t xml:space="preserve">Диапазон Монте-Карло: 200 … 800</t>
        </r>
      </text>
    </comment>
    <comment ref="D29" authorId="0">
      <text>
        <r>
          <rPr>
            <sz val="10"/>
            <rFont val="Arial"/>
            <family val="2"/>
          </rPr>
          <t xml:space="preserve">Диапазон Монте-Карло: 200,000,000 … 500,000,000</t>
        </r>
      </text>
    </comment>
    <comment ref="E10" authorId="0">
      <text>
        <r>
          <rPr>
            <sz val="10"/>
            <rFont val="Arial"/>
            <family val="2"/>
          </rPr>
          <t xml:space="preserve">Диапазон Монте-Карло: 0.18 … 0.22</t>
        </r>
      </text>
    </comment>
    <comment ref="E11" authorId="0">
      <text>
        <r>
          <rPr>
            <sz val="10"/>
            <rFont val="Arial"/>
            <family val="2"/>
          </rPr>
          <t xml:space="preserve">Диапазон Монте-Карло: 0.7 … 0.88</t>
        </r>
      </text>
    </comment>
    <comment ref="E12" authorId="0">
      <text>
        <r>
          <rPr>
            <sz val="10"/>
            <rFont val="Arial"/>
            <family val="2"/>
          </rPr>
          <t xml:space="preserve">Диапазон Монте-Карло: 0.08 … 0.25</t>
        </r>
      </text>
    </comment>
    <comment ref="E13" authorId="0">
      <text>
        <r>
          <rPr>
            <sz val="10"/>
            <rFont val="Arial"/>
            <family val="2"/>
          </rPr>
          <t xml:space="preserve">Диапазон Монте-Карло: 0.1 … 0.3</t>
        </r>
      </text>
    </comment>
    <comment ref="E14" authorId="0">
      <text>
        <r>
          <rPr>
            <sz val="10"/>
            <rFont val="Arial"/>
            <family val="2"/>
          </rPr>
          <t xml:space="preserve">Диапазон Монте-Карло: -1,500 … 5,500</t>
        </r>
      </text>
    </comment>
    <comment ref="E15" authorId="0">
      <text>
        <r>
          <rPr>
            <sz val="10"/>
            <rFont val="Arial"/>
            <family val="2"/>
          </rPr>
          <t xml:space="preserve">Диапазон Монте-Карло: 0.0 … 0.002</t>
        </r>
      </text>
    </comment>
    <comment ref="E16" authorId="0">
      <text>
        <r>
          <rPr>
            <sz val="10"/>
            <rFont val="Arial"/>
            <family val="2"/>
          </rPr>
          <t xml:space="preserve">Диапазон Монте-Карло: 0.0 … 0.15</t>
        </r>
      </text>
    </comment>
    <comment ref="E27" authorId="0">
      <text>
        <r>
          <rPr>
            <sz val="10"/>
            <rFont val="Arial"/>
            <family val="2"/>
          </rPr>
          <t xml:space="preserve">Диапазон Монте-Карло: 0 … 1,000</t>
        </r>
      </text>
    </comment>
    <comment ref="E29" authorId="0">
      <text>
        <r>
          <rPr>
            <sz val="10"/>
            <rFont val="Arial"/>
            <family val="2"/>
          </rPr>
          <t xml:space="preserve">Диапазон Монте-Карло: 150,000,000 … 400,000,000</t>
        </r>
      </text>
    </comment>
    <comment ref="F10" authorId="0">
      <text>
        <r>
          <rPr>
            <sz val="10"/>
            <rFont val="Arial"/>
            <family val="2"/>
          </rPr>
          <t xml:space="preserve">Диапазон Монте-Карло: 0.1 … 0.2</t>
        </r>
      </text>
    </comment>
    <comment ref="F11" authorId="0">
      <text>
        <r>
          <rPr>
            <sz val="10"/>
            <rFont val="Arial"/>
            <family val="2"/>
          </rPr>
          <t xml:space="preserve">Диапазон Монте-Карло: 0.85 … 0.95</t>
        </r>
      </text>
    </comment>
    <comment ref="F12" authorId="0">
      <text>
        <r>
          <rPr>
            <sz val="10"/>
            <rFont val="Arial"/>
            <family val="2"/>
          </rPr>
          <t xml:space="preserve">Диапазон Монте-Карло: 0.08 … 0.18</t>
        </r>
      </text>
    </comment>
    <comment ref="F13" authorId="0">
      <text>
        <r>
          <rPr>
            <sz val="10"/>
            <rFont val="Arial"/>
            <family val="2"/>
          </rPr>
          <t xml:space="preserve">Диапазон Монте-Карло: 0.3 … 0.6</t>
        </r>
      </text>
    </comment>
    <comment ref="F14" authorId="0">
      <text>
        <r>
          <rPr>
            <sz val="10"/>
            <rFont val="Arial"/>
            <family val="2"/>
          </rPr>
          <t xml:space="preserve">Диапазон Монте-Карло: 5,000 … 12,000</t>
        </r>
      </text>
    </comment>
    <comment ref="F15" authorId="0">
      <text>
        <r>
          <rPr>
            <sz val="10"/>
            <rFont val="Arial"/>
            <family val="2"/>
          </rPr>
          <t xml:space="preserve">Диапазон Монте-Карло: 0.0 … 0.002</t>
        </r>
      </text>
    </comment>
    <comment ref="F16" authorId="0">
      <text>
        <r>
          <rPr>
            <sz val="10"/>
            <rFont val="Arial"/>
            <family val="2"/>
          </rPr>
          <t xml:space="preserve">Диапазон Монте-Карло: 0.0 … 0.1</t>
        </r>
      </text>
    </comment>
    <comment ref="F27" authorId="0">
      <text>
        <r>
          <rPr>
            <sz val="10"/>
            <rFont val="Arial"/>
            <family val="2"/>
          </rPr>
          <t xml:space="preserve">Диапазон Монте-Карло: 0 … 0</t>
        </r>
      </text>
    </comment>
    <comment ref="F29" authorId="0">
      <text>
        <r>
          <rPr>
            <sz val="10"/>
            <rFont val="Arial"/>
            <family val="2"/>
          </rPr>
          <t xml:space="preserve">Диапазон Монте-Карло: 250,000,000 … 550,000,000</t>
        </r>
      </text>
    </comment>
    <comment ref="G10" authorId="0">
      <text>
        <r>
          <rPr>
            <sz val="10"/>
            <rFont val="Arial"/>
            <family val="2"/>
          </rPr>
          <t xml:space="preserve">Диапазон Монте-Карло: 0.3 … 0.4</t>
        </r>
      </text>
    </comment>
    <comment ref="G11" authorId="0">
      <text>
        <r>
          <rPr>
            <sz val="10"/>
            <rFont val="Arial"/>
            <family val="2"/>
          </rPr>
          <t xml:space="preserve">Диапазон Монте-Карло: 0.7 … 0.88</t>
        </r>
      </text>
    </comment>
    <comment ref="G12" authorId="0">
      <text>
        <r>
          <rPr>
            <sz val="10"/>
            <rFont val="Arial"/>
            <family val="2"/>
          </rPr>
          <t xml:space="preserve">Диапазон Монте-Карло: 0.01 … 0.05</t>
        </r>
      </text>
    </comment>
    <comment ref="G13" authorId="0">
      <text>
        <r>
          <rPr>
            <sz val="10"/>
            <rFont val="Arial"/>
            <family val="2"/>
          </rPr>
          <t xml:space="preserve">Диапазон Монте-Карло: 0.1 … 0.3</t>
        </r>
      </text>
    </comment>
    <comment ref="G14" authorId="0">
      <text>
        <r>
          <rPr>
            <sz val="10"/>
            <rFont val="Arial"/>
            <family val="2"/>
          </rPr>
          <t xml:space="preserve">Диапазон Монте-Карло: 9,000 … 16,000</t>
        </r>
      </text>
    </comment>
    <comment ref="G15" authorId="0">
      <text>
        <r>
          <rPr>
            <sz val="10"/>
            <rFont val="Arial"/>
            <family val="2"/>
          </rPr>
          <t xml:space="preserve">Диапазон Монте-Карло: 0.0 … 0.0</t>
        </r>
      </text>
    </comment>
    <comment ref="G16" authorId="0">
      <text>
        <r>
          <rPr>
            <sz val="10"/>
            <rFont val="Arial"/>
            <family val="2"/>
          </rPr>
          <t xml:space="preserve">Диапазон Монте-Карло: 0.15 … 0.4</t>
        </r>
      </text>
    </comment>
    <comment ref="G27" authorId="0">
      <text>
        <r>
          <rPr>
            <sz val="10"/>
            <rFont val="Arial"/>
            <family val="2"/>
          </rPr>
          <t xml:space="preserve">Диапазон Монте-Карло: 0 … 0</t>
        </r>
      </text>
    </comment>
    <comment ref="G29" authorId="0">
      <text>
        <r>
          <rPr>
            <sz val="10"/>
            <rFont val="Arial"/>
            <family val="2"/>
          </rPr>
          <t xml:space="preserve">Диапазон Монте-Карло: 100,000,000 … 350,000,000</t>
        </r>
      </text>
    </comment>
    <comment ref="H10" authorId="0">
      <text>
        <r>
          <rPr>
            <sz val="10"/>
            <rFont val="Arial"/>
            <family val="2"/>
          </rPr>
          <t xml:space="preserve">Диапазон Монте-Карло: 0.18 … 0.22</t>
        </r>
      </text>
    </comment>
    <comment ref="H11" authorId="0">
      <text>
        <r>
          <rPr>
            <sz val="10"/>
            <rFont val="Arial"/>
            <family val="2"/>
          </rPr>
          <t xml:space="preserve">Диапазон Монте-Карло: 0.6 … 0.8</t>
        </r>
      </text>
    </comment>
    <comment ref="H12" authorId="0">
      <text>
        <r>
          <rPr>
            <sz val="10"/>
            <rFont val="Arial"/>
            <family val="2"/>
          </rPr>
          <t xml:space="preserve">Диапазон Монте-Карло: 0.03 … 0.1</t>
        </r>
      </text>
    </comment>
    <comment ref="H13" authorId="0">
      <text>
        <r>
          <rPr>
            <sz val="10"/>
            <rFont val="Arial"/>
            <family val="2"/>
          </rPr>
          <t xml:space="preserve">Диапазон Монте-Карло: 0.1 … 0.3</t>
        </r>
      </text>
    </comment>
    <comment ref="H14" authorId="0">
      <text>
        <r>
          <rPr>
            <sz val="10"/>
            <rFont val="Arial"/>
            <family val="2"/>
          </rPr>
          <t xml:space="preserve">Диапазон Монте-Карло: 4,000 … 11,000</t>
        </r>
      </text>
    </comment>
    <comment ref="H15" authorId="0">
      <text>
        <r>
          <rPr>
            <sz val="10"/>
            <rFont val="Arial"/>
            <family val="2"/>
          </rPr>
          <t xml:space="preserve">Диапазон Монте-Карло: 0.0 … 0.0</t>
        </r>
      </text>
    </comment>
    <comment ref="H16" authorId="0">
      <text>
        <r>
          <rPr>
            <sz val="10"/>
            <rFont val="Arial"/>
            <family val="2"/>
          </rPr>
          <t xml:space="preserve">Диапазон Монте-Карло: 0.0 … 0.0</t>
        </r>
      </text>
    </comment>
    <comment ref="H17" authorId="0">
      <text>
        <r>
          <rPr>
            <sz val="10"/>
            <rFont val="Arial"/>
            <family val="2"/>
          </rPr>
          <t xml:space="preserve">Диапазон Монте-Карло: 0.5 … 0.8</t>
        </r>
      </text>
    </comment>
    <comment ref="H27" authorId="0">
      <text>
        <r>
          <rPr>
            <sz val="10"/>
            <rFont val="Arial"/>
            <family val="2"/>
          </rPr>
          <t xml:space="preserve">Диапазон Монте-Карло: 1,500 … 5,000</t>
        </r>
      </text>
    </comment>
    <comment ref="H29" authorId="0">
      <text>
        <r>
          <rPr>
            <sz val="10"/>
            <rFont val="Arial"/>
            <family val="2"/>
          </rPr>
          <t xml:space="preserve">Диапазон Монте-Карло: 100,000,000 … 250,000,000</t>
        </r>
      </text>
    </comment>
    <comment ref="I10" authorId="0">
      <text>
        <r>
          <rPr>
            <sz val="10"/>
            <rFont val="Arial"/>
            <family val="2"/>
          </rPr>
          <t xml:space="preserve">Диапазон Монте-Карло: 0.04 … 0.08</t>
        </r>
      </text>
    </comment>
    <comment ref="I11" authorId="0">
      <text>
        <r>
          <rPr>
            <sz val="10"/>
            <rFont val="Arial"/>
            <family val="2"/>
          </rPr>
          <t xml:space="preserve">Диапазон Монте-Карло: 0.7 … 0.88</t>
        </r>
      </text>
    </comment>
    <comment ref="I12" authorId="0">
      <text>
        <r>
          <rPr>
            <sz val="10"/>
            <rFont val="Arial"/>
            <family val="2"/>
          </rPr>
          <t xml:space="preserve">Диапазон Монте-Карло: 0.1 … 0.28</t>
        </r>
      </text>
    </comment>
    <comment ref="I13" authorId="0">
      <text>
        <r>
          <rPr>
            <sz val="10"/>
            <rFont val="Arial"/>
            <family val="2"/>
          </rPr>
          <t xml:space="preserve">Диапазон Монте-Карло: 0.15 … 0.35</t>
        </r>
      </text>
    </comment>
    <comment ref="I14" authorId="0">
      <text>
        <r>
          <rPr>
            <sz val="10"/>
            <rFont val="Arial"/>
            <family val="2"/>
          </rPr>
          <t xml:space="preserve">Диапазон Монте-Карло: 3,000 … 12,000</t>
        </r>
      </text>
    </comment>
    <comment ref="I15" authorId="0">
      <text>
        <r>
          <rPr>
            <sz val="10"/>
            <rFont val="Arial"/>
            <family val="2"/>
          </rPr>
          <t xml:space="preserve">Диапазон Монте-Карло: 0.0 … 0.0</t>
        </r>
      </text>
    </comment>
    <comment ref="I16" authorId="0">
      <text>
        <r>
          <rPr>
            <sz val="10"/>
            <rFont val="Arial"/>
            <family val="2"/>
          </rPr>
          <t xml:space="preserve">Диапазон Монте-Карло: 0.1 … 0.35</t>
        </r>
      </text>
    </comment>
    <comment ref="I27" authorId="0">
      <text>
        <r>
          <rPr>
            <sz val="10"/>
            <rFont val="Arial"/>
            <family val="2"/>
          </rPr>
          <t xml:space="preserve">Диапазон Монте-Карло: 0 … 0</t>
        </r>
      </text>
    </comment>
    <comment ref="I29" authorId="0">
      <text>
        <r>
          <rPr>
            <sz val="10"/>
            <rFont val="Arial"/>
            <family val="2"/>
          </rPr>
          <t xml:space="preserve">Диапазон Монте-Карло: 100,000,000 … 250,000,000</t>
        </r>
      </text>
    </comment>
    <comment ref="J10" authorId="0">
      <text>
        <r>
          <rPr>
            <sz val="10"/>
            <rFont val="Arial"/>
            <family val="2"/>
          </rPr>
          <t xml:space="preserve">Диапазон Монте-Карло: 0.3 … 0.45</t>
        </r>
      </text>
    </comment>
    <comment ref="J15" authorId="0">
      <text>
        <r>
          <rPr>
            <sz val="10"/>
            <rFont val="Arial"/>
            <family val="2"/>
          </rPr>
          <t xml:space="preserve">Диапазон Монте-Карло: 0.005 … 0.02</t>
        </r>
      </text>
    </comment>
    <comment ref="J18" authorId="0">
      <text>
        <r>
          <rPr>
            <sz val="10"/>
            <rFont val="Arial"/>
            <family val="2"/>
          </rPr>
          <t xml:space="preserve">Диапазон Монте-Карло: 1,500 … 2,500</t>
        </r>
      </text>
    </comment>
    <comment ref="J19" authorId="0">
      <text>
        <r>
          <rPr>
            <sz val="10"/>
            <rFont val="Arial"/>
            <family val="2"/>
          </rPr>
          <t xml:space="preserve">Диапазон Монте-Карло: 0.02 … 0.07</t>
        </r>
      </text>
    </comment>
    <comment ref="J20" authorId="0">
      <text>
        <r>
          <rPr>
            <sz val="10"/>
            <rFont val="Arial"/>
            <family val="2"/>
          </rPr>
          <t xml:space="preserve">Диапазон Монте-Карло: -4,000 … 0</t>
        </r>
      </text>
    </comment>
    <comment ref="J21" authorId="0">
      <text>
        <r>
          <rPr>
            <sz val="10"/>
            <rFont val="Arial"/>
            <family val="2"/>
          </rPr>
          <t xml:space="preserve">Диапазон Монте-Карло: 0 … 300</t>
        </r>
      </text>
    </comment>
    <comment ref="J29" authorId="0">
      <text>
        <r>
          <rPr>
            <sz val="10"/>
            <rFont val="Arial"/>
            <family val="2"/>
          </rPr>
          <t xml:space="preserve">Диапазон Монте-Карло: 100,000,000 … 250,000,000</t>
        </r>
      </text>
    </comment>
    <comment ref="K22" authorId="0">
      <text>
        <r>
          <rPr>
            <sz val="10"/>
            <rFont val="Arial"/>
            <family val="2"/>
          </rPr>
          <t xml:space="preserve">Диапазон Монте-Карло: 0.01 … 0.06</t>
        </r>
      </text>
    </comment>
    <comment ref="K23" authorId="0">
      <text>
        <r>
          <rPr>
            <sz val="10"/>
            <rFont val="Arial"/>
            <family val="2"/>
          </rPr>
          <t xml:space="preserve">Диапазон Монте-Карло: 0.02 … 0.1</t>
        </r>
      </text>
    </comment>
    <comment ref="K29" authorId="0">
      <text>
        <r>
          <rPr>
            <sz val="10"/>
            <rFont val="Arial"/>
            <family val="2"/>
          </rPr>
          <t xml:space="preserve">Диапазон Монте-Карло: 6,000,000,000 … 14,000,000,000</t>
        </r>
      </text>
    </comment>
    <comment ref="L10" authorId="0">
      <text>
        <r>
          <rPr>
            <sz val="10"/>
            <rFont val="Arial"/>
            <family val="2"/>
          </rPr>
          <t xml:space="preserve">Диапазон Монте-Карло: 0.15 … 0.25</t>
        </r>
      </text>
    </comment>
    <comment ref="L11" authorId="0">
      <text>
        <r>
          <rPr>
            <sz val="10"/>
            <rFont val="Arial"/>
            <family val="2"/>
          </rPr>
          <t xml:space="preserve">Диапазон Монте-Карло: 0.7 … 0.88</t>
        </r>
      </text>
    </comment>
    <comment ref="L12" authorId="0">
      <text>
        <r>
          <rPr>
            <sz val="10"/>
            <rFont val="Arial"/>
            <family val="2"/>
          </rPr>
          <t xml:space="preserve">Диапазон Монте-Карло: 0.02 … 0.07</t>
        </r>
      </text>
    </comment>
    <comment ref="L13" authorId="0">
      <text>
        <r>
          <rPr>
            <sz val="10"/>
            <rFont val="Arial"/>
            <family val="2"/>
          </rPr>
          <t xml:space="preserve">Диапазон Монте-Карло: 0.05 … 0.2</t>
        </r>
      </text>
    </comment>
    <comment ref="L14" authorId="0">
      <text>
        <r>
          <rPr>
            <sz val="10"/>
            <rFont val="Arial"/>
            <family val="2"/>
          </rPr>
          <t xml:space="preserve">Диапазон Монте-Карло: 12,000 … 35,000</t>
        </r>
      </text>
    </comment>
    <comment ref="L15" authorId="0">
      <text>
        <r>
          <rPr>
            <sz val="10"/>
            <rFont val="Arial"/>
            <family val="2"/>
          </rPr>
          <t xml:space="preserve">Диапазон Монте-Карло: 0.0 … 0.0</t>
        </r>
      </text>
    </comment>
    <comment ref="L16" authorId="0">
      <text>
        <r>
          <rPr>
            <sz val="10"/>
            <rFont val="Arial"/>
            <family val="2"/>
          </rPr>
          <t xml:space="preserve">Диапазон Монте-Карло: 0.2 … 0.45</t>
        </r>
      </text>
    </comment>
    <comment ref="L24" authorId="0">
      <text>
        <r>
          <rPr>
            <sz val="10"/>
            <rFont val="Arial"/>
            <family val="2"/>
          </rPr>
          <t xml:space="preserve">Диапазон Монте-Карло: 0.2 … 0.7</t>
        </r>
      </text>
    </comment>
    <comment ref="L27" authorId="0">
      <text>
        <r>
          <rPr>
            <sz val="10"/>
            <rFont val="Arial"/>
            <family val="2"/>
          </rPr>
          <t xml:space="preserve">Диапазон Монте-Карло: 5,000 … 20,000</t>
        </r>
      </text>
    </comment>
    <comment ref="L29" authorId="0">
      <text>
        <r>
          <rPr>
            <sz val="10"/>
            <rFont val="Arial"/>
            <family val="2"/>
          </rPr>
          <t xml:space="preserve">Диапазон Монте-Карло: 3,000,000,000 … 8,000,000,000</t>
        </r>
      </text>
    </comment>
    <comment ref="M10" authorId="0">
      <text>
        <r>
          <rPr>
            <sz val="10"/>
            <rFont val="Arial"/>
            <family val="2"/>
          </rPr>
          <t xml:space="preserve">Диапазон Монте-Карло: 0.15 … 0.35</t>
        </r>
      </text>
    </comment>
    <comment ref="M15" authorId="0">
      <text>
        <r>
          <rPr>
            <sz val="10"/>
            <rFont val="Arial"/>
            <family val="2"/>
          </rPr>
          <t xml:space="preserve">Диапазон Монте-Карло: 0.02 … 0.07</t>
        </r>
      </text>
    </comment>
    <comment ref="M18" authorId="0">
      <text>
        <r>
          <rPr>
            <sz val="10"/>
            <rFont val="Arial"/>
            <family val="2"/>
          </rPr>
          <t xml:space="preserve">Диапазон Монте-Карло: 3,500 … 10,000</t>
        </r>
      </text>
    </comment>
    <comment ref="M19" authorId="0">
      <text>
        <r>
          <rPr>
            <sz val="10"/>
            <rFont val="Arial"/>
            <family val="2"/>
          </rPr>
          <t xml:space="preserve">Диапазон Монте-Карло: 0.05 … 0.18</t>
        </r>
      </text>
    </comment>
    <comment ref="M20" authorId="0">
      <text>
        <r>
          <rPr>
            <sz val="10"/>
            <rFont val="Arial"/>
            <family val="2"/>
          </rPr>
          <t xml:space="preserve">Диапазон Монте-Карло: -5,000 … 0</t>
        </r>
      </text>
    </comment>
    <comment ref="M21" authorId="0">
      <text>
        <r>
          <rPr>
            <sz val="10"/>
            <rFont val="Arial"/>
            <family val="2"/>
          </rPr>
          <t xml:space="preserve">Диапазон Монте-Карло: 200 … 900</t>
        </r>
      </text>
    </comment>
    <comment ref="M29" authorId="0">
      <text>
        <r>
          <rPr>
            <sz val="10"/>
            <rFont val="Arial"/>
            <family val="2"/>
          </rPr>
          <t xml:space="preserve">Диапазон Монте-Карло: 4,000,000,000 … 10,000,000,000</t>
        </r>
      </text>
    </comment>
    <comment ref="M31" authorId="0">
      <text>
        <r>
          <rPr>
            <sz val="10"/>
            <rFont val="Arial"/>
            <family val="2"/>
          </rPr>
          <t xml:space="preserve">Диапазон Монте-Карло: 40,000,000 … 160,000,000</t>
        </r>
      </text>
    </comment>
    <comment ref="N10" authorId="0">
      <text>
        <r>
          <rPr>
            <sz val="10"/>
            <rFont val="Arial"/>
            <family val="2"/>
          </rPr>
          <t xml:space="preserve">Диапазон Монте-Карло: 0.06 … 0.1</t>
        </r>
      </text>
    </comment>
    <comment ref="N11" authorId="0">
      <text>
        <r>
          <rPr>
            <sz val="10"/>
            <rFont val="Arial"/>
            <family val="2"/>
          </rPr>
          <t xml:space="preserve">Диапазон Монте-Карло: 0.6 … 0.8</t>
        </r>
      </text>
    </comment>
    <comment ref="N12" authorId="0">
      <text>
        <r>
          <rPr>
            <sz val="10"/>
            <rFont val="Arial"/>
            <family val="2"/>
          </rPr>
          <t xml:space="preserve">Диапазон Монте-Карло: 0.02 … 0.09</t>
        </r>
      </text>
    </comment>
    <comment ref="N13" authorId="0">
      <text>
        <r>
          <rPr>
            <sz val="10"/>
            <rFont val="Arial"/>
            <family val="2"/>
          </rPr>
          <t xml:space="preserve">Диапазон Монте-Карло: 0.2 … 0.5</t>
        </r>
      </text>
    </comment>
    <comment ref="N14" authorId="0">
      <text>
        <r>
          <rPr>
            <sz val="10"/>
            <rFont val="Arial"/>
            <family val="2"/>
          </rPr>
          <t xml:space="preserve">Диапазон Монте-Карло: 6,000 … 16,000</t>
        </r>
      </text>
    </comment>
    <comment ref="N15" authorId="0">
      <text>
        <r>
          <rPr>
            <sz val="10"/>
            <rFont val="Arial"/>
            <family val="2"/>
          </rPr>
          <t xml:space="preserve">Диапазон Монте-Карло: 0.0 … 0.0</t>
        </r>
      </text>
    </comment>
    <comment ref="N16" authorId="0">
      <text>
        <r>
          <rPr>
            <sz val="10"/>
            <rFont val="Arial"/>
            <family val="2"/>
          </rPr>
          <t xml:space="preserve">Диапазон Монте-Карло: 0.1 … 0.3</t>
        </r>
      </text>
    </comment>
    <comment ref="N27" authorId="0">
      <text>
        <r>
          <rPr>
            <sz val="10"/>
            <rFont val="Arial"/>
            <family val="2"/>
          </rPr>
          <t xml:space="preserve">Диапазон Монте-Карло: 0 … 120,000</t>
        </r>
      </text>
    </comment>
    <comment ref="N29" authorId="0">
      <text>
        <r>
          <rPr>
            <sz val="10"/>
            <rFont val="Arial"/>
            <family val="2"/>
          </rPr>
          <t xml:space="preserve">Диапазон Монте-Карло: 1,500,000,000.0 … 4,000,000,000</t>
        </r>
      </text>
    </comment>
    <comment ref="O10" authorId="0">
      <text>
        <r>
          <rPr>
            <sz val="10"/>
            <rFont val="Arial"/>
            <family val="2"/>
          </rPr>
          <t xml:space="preserve">Диапазон Монте-Карло: 0.25 … 0.4</t>
        </r>
      </text>
    </comment>
    <comment ref="O11" authorId="0">
      <text>
        <r>
          <rPr>
            <sz val="10"/>
            <rFont val="Arial"/>
            <family val="2"/>
          </rPr>
          <t xml:space="preserve">Диапазон Монте-Карло: 0.85 … 0.95</t>
        </r>
      </text>
    </comment>
    <comment ref="O12" authorId="0">
      <text>
        <r>
          <rPr>
            <sz val="10"/>
            <rFont val="Arial"/>
            <family val="2"/>
          </rPr>
          <t xml:space="preserve">Диапазон Монте-Карло: 0.1 … 0.28</t>
        </r>
      </text>
    </comment>
    <comment ref="O13" authorId="0">
      <text>
        <r>
          <rPr>
            <sz val="10"/>
            <rFont val="Arial"/>
            <family val="2"/>
          </rPr>
          <t xml:space="preserve">Диапазон Монте-Карло: 0.35 … 0.65</t>
        </r>
      </text>
    </comment>
    <comment ref="O14" authorId="0">
      <text>
        <r>
          <rPr>
            <sz val="10"/>
            <rFont val="Arial"/>
            <family val="2"/>
          </rPr>
          <t xml:space="preserve">Диапазон Монте-Карло: 1,500 … 5,000</t>
        </r>
      </text>
    </comment>
    <comment ref="O15" authorId="0">
      <text>
        <r>
          <rPr>
            <sz val="10"/>
            <rFont val="Arial"/>
            <family val="2"/>
          </rPr>
          <t xml:space="preserve">Диапазон Монте-Карло: 0.0 … 0.0</t>
        </r>
      </text>
    </comment>
    <comment ref="O16" authorId="0">
      <text>
        <r>
          <rPr>
            <sz val="10"/>
            <rFont val="Arial"/>
            <family val="2"/>
          </rPr>
          <t xml:space="preserve">Диапазон Монте-Карло: 0.05 … 0.2</t>
        </r>
      </text>
    </comment>
    <comment ref="O27" authorId="0">
      <text>
        <r>
          <rPr>
            <sz val="10"/>
            <rFont val="Arial"/>
            <family val="2"/>
          </rPr>
          <t xml:space="preserve">Диапазон Монте-Карло: 0 … 0</t>
        </r>
      </text>
    </comment>
    <comment ref="O29" authorId="0">
      <text>
        <r>
          <rPr>
            <sz val="10"/>
            <rFont val="Arial"/>
            <family val="2"/>
          </rPr>
          <t xml:space="preserve">Диапазон Монте-Карло: 1,500,000,000.0 … 4,000,000,000</t>
        </r>
      </text>
    </comment>
  </commentList>
</comments>
</file>

<file path=xl/sharedStrings.xml><?xml version="1.0" encoding="utf-8"?>
<sst xmlns="http://schemas.openxmlformats.org/spreadsheetml/2006/main" count="705" uniqueCount="328">
  <si>
    <t xml:space="preserve">Ucell — модель роста ARPU архивной базы</t>
  </si>
  <si>
    <t xml:space="preserve">Как пользоваться</t>
  </si>
  <si>
    <t xml:space="preserve">1. Замените ЖЁЛТЫЕ ячейки на листе Inputs фактом от аналитиков (docs/09_data_request_for_analysts.md).</t>
  </si>
  <si>
    <t xml:space="preserve">2. Лист Initiatives: синие ячейки — параметры инициатив (модальные значения бенчмарков). После пилотов подставьте фактические конверсии/отток.</t>
  </si>
  <si>
    <t xml:space="preserve">3. Лист Monthly — помесячный движок на 24 мес.; лист Portfolio — итоги портфеля, динамика ARPU, график.</t>
  </si>
  <si>
    <t xml:space="preserve">4. Лист AB_Calculator — размер выборок для пилотов; лист MC_Results — вероятности из Монте-Карло (значения из Python).</t>
  </si>
  <si>
    <t xml:space="preserve">5. После изменения допущений в коде: python model/arpu_model.py &amp;&amp; python model/build_excel.py</t>
  </si>
  <si>
    <t xml:space="preserve">Легенда</t>
  </si>
  <si>
    <t xml:space="preserve">Синий текст — ввод · Чёрный — формула · Зелёный — ссылка на другой лист · Жёлтая заливка — ключевая гипотеза, заменить фактом</t>
  </si>
  <si>
    <t xml:space="preserve">Единицы и определения</t>
  </si>
  <si>
    <t xml:space="preserve">Деньги — сум (UZS) без НДС 12%, если не указано «с НДС». Курс — лист Inputs.</t>
  </si>
  <si>
    <t xml:space="preserve">ARPU считается по КОГОРТЕ абонентов, бывших на архивных ТП на дату T0: мигрировавшие на актуальные ТП остаются в когорте.</t>
  </si>
  <si>
    <t xml:space="preserve">Иначе миграция «выносит» лучших абонентов из архива и формально снижает ARPU архива — ловушка метрики.</t>
  </si>
  <si>
    <t xml:space="preserve">ΔARPU когорты = (R0 + ΔR) / (S0 + ΔS) / ARPU0 − 1, где R0, S0 — выручка и абоненты когорты без инициатив (с естественным оттоком).</t>
  </si>
  <si>
    <t xml:space="preserve">Типы механик</t>
  </si>
  <si>
    <t xml:space="preserve">adoption — добровольное принятие оффера (миграция, допродажа); reprice — изменение условий ТП для целевой группы (stay/downgrade/churn); relative — относительный прирост выручки всей когорты (платформа).</t>
  </si>
  <si>
    <t xml:space="preserve">Базовые допущения</t>
  </si>
  <si>
    <t xml:space="preserve">Параметр</t>
  </si>
  <si>
    <t xml:space="preserve">Значение</t>
  </si>
  <si>
    <t xml:space="preserve">Ед.</t>
  </si>
  <si>
    <t xml:space="preserve">Источник / комментарий</t>
  </si>
  <si>
    <t xml:space="preserve">Абонентская база Ucell</t>
  </si>
  <si>
    <t xml:space="preserve">абон.</t>
  </si>
  <si>
    <t xml:space="preserve">Ucell: &gt;10,9 млн на начало 2026 (итоги 2025, kun.uz 25.02.2026)</t>
  </si>
  <si>
    <t xml:space="preserve">Доля абонентов на архивных ТП</t>
  </si>
  <si>
    <t xml:space="preserve">%</t>
  </si>
  <si>
    <t xml:space="preserve">HYPOTHESIS — заменить фактом (запрос D1)</t>
  </si>
  <si>
    <t xml:space="preserve">Доля активных среди архивных (доход за 30 дн.)</t>
  </si>
  <si>
    <t xml:space="preserve">HYPOTHESIS — запрос D1</t>
  </si>
  <si>
    <t xml:space="preserve">Активная архивная когорта (N)</t>
  </si>
  <si>
    <t xml:space="preserve">Формула</t>
  </si>
  <si>
    <t xml:space="preserve">ARPU архивной когорты (ARPU0, net)</t>
  </si>
  <si>
    <t xml:space="preserve">сум/мес</t>
  </si>
  <si>
    <t xml:space="preserve">Средневзвешенный по сегментам (ниже)</t>
  </si>
  <si>
    <t xml:space="preserve">Месячный отток архивной когорты (c)</t>
  </si>
  <si>
    <t xml:space="preserve">HYPOTHESIS — запрос D4</t>
  </si>
  <si>
    <t xml:space="preserve">НДС</t>
  </si>
  <si>
    <t xml:space="preserve">НК РУз: 12%</t>
  </si>
  <si>
    <t xml:space="preserve">Курс, сум за 1 USD</t>
  </si>
  <si>
    <t xml:space="preserve">сум</t>
  </si>
  <si>
    <t xml:space="preserve">ЦБ РУз, 2026: 11 950–12 205</t>
  </si>
  <si>
    <t xml:space="preserve">Рынок мобильной связи РУз, абонентов</t>
  </si>
  <si>
    <t xml:space="preserve">HYPOTHESIS: 35,6 млн на конец 2024 + рост</t>
  </si>
  <si>
    <t xml:space="preserve">Выручка когорты в месяц (R0 мес. 0)</t>
  </si>
  <si>
    <t xml:space="preserve">Сегменты архивной когорты (HYPOTHESIS — проверить кластеризацией, запрос D2)</t>
  </si>
  <si>
    <t xml:space="preserve">Код</t>
  </si>
  <si>
    <t xml:space="preserve">Сегмент</t>
  </si>
  <si>
    <t xml:space="preserve">Доля когорты</t>
  </si>
  <si>
    <t xml:space="preserve">ARPU net, сум</t>
  </si>
  <si>
    <t xml:space="preserve">Абонентов</t>
  </si>
  <si>
    <t xml:space="preserve">Выручка/мес, сум</t>
  </si>
  <si>
    <t xml:space="preserve">S1</t>
  </si>
  <si>
    <t xml:space="preserve">Спящие / почти нулевые (2-я SIM, ARPU&lt;5k)</t>
  </si>
  <si>
    <t xml:space="preserve">S2</t>
  </si>
  <si>
    <t xml:space="preserve">PAYG / голосовые, много кнопочных 2G/3G</t>
  </si>
  <si>
    <t xml:space="preserve">S3</t>
  </si>
  <si>
    <t xml:space="preserve">Недооценённые старые пакеты (платят мало, потребляют много)</t>
  </si>
  <si>
    <t xml:space="preserve">S4</t>
  </si>
  <si>
    <t xml:space="preserve">Старые пакеты mid/high + докупка пакетов</t>
  </si>
  <si>
    <t xml:space="preserve">S5</t>
  </si>
  <si>
    <t xml:space="preserve">Социально защищённые (жен. 55+, муж. 60+)</t>
  </si>
  <si>
    <t xml:space="preserve">Итого</t>
  </si>
  <si>
    <t xml:space="preserve">Проверка: сумма долей = 100%</t>
  </si>
  <si>
    <t xml:space="preserve">Инициативы: параметры (синие) → производные (чёрные) → итоги из листа Monthly (зелёные)</t>
  </si>
  <si>
    <t xml:space="preserve">Ключ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</si>
  <si>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</si>
  <si>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</si>
  <si>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</si>
  <si>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</si>
  <si>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</si>
  <si>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</si>
  <si>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</si>
  <si>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</si>
  <si>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</si>
  <si>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</si>
  <si>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</si>
  <si>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</si>
  <si>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</si>
  <si>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Название</t>
  </si>
  <si>
    <t xml:space="preserve">name</t>
  </si>
  <si>
    <t xml:space="preserve">«Ucell 30 — Upgrade»: мягкая миграция с подарком</t>
  </si>
  <si>
    <t xml:space="preserve">Точечная индексация недооценённых архивных ТП (more-for-more)</t>
  </si>
  <si>
    <t xml:space="preserve">PAYG → суточные/недельные микропакеты</t>
  </si>
  <si>
    <t xml:space="preserve">Smart add-on: пакет-«бустер» в момент исчерпания (opt-in автопродление)</t>
  </si>
  <si>
    <t xml:space="preserve">Контент-надстройка (Yandex Plus / OVVA / Ucell TV) для архивных ТП</t>
  </si>
  <si>
    <t xml:space="preserve">Реактивация спящих архивных SIM (win-back оффер)</t>
  </si>
  <si>
    <t xml:space="preserve">«Musofir»: пакеты роуминга/OTP для трудовых мигрантов на архивных ТП</t>
  </si>
  <si>
    <t xml:space="preserve">ОПЦИЯ: ежегодная индексация архивных пакетов на инфляцию (волна 2)</t>
  </si>
  <si>
    <t xml:space="preserve">AI Next-Best-Offer: персональные офферы в реальном времени (RTD/CVM)</t>
  </si>
  <si>
    <t xml:space="preserve">«Ucell Oila»: семейный/групповой аккаунт с общим пакетом</t>
  </si>
  <si>
    <t xml:space="preserve">Sunset-программа: вывод устаревших семейств ТП с ценовой защитой</t>
  </si>
  <si>
    <t xml:space="preserve">Апгрейд 2G/3G → 4G-смартфон в рассрочку (BNPL-партнёр)</t>
  </si>
  <si>
    <t xml:space="preserve">Персональные лимиты «Mobil avans» на ML-скоринге</t>
  </si>
  <si>
    <t xml:space="preserve">Группа (EASY/HARD)</t>
  </si>
  <si>
    <t xml:space="preserve">group</t>
  </si>
  <si>
    <t xml:space="preserve">EASY</t>
  </si>
  <si>
    <t xml:space="preserve">HARD</t>
  </si>
  <si>
    <t xml:space="preserve">Тип механики</t>
  </si>
  <si>
    <t xml:space="preserve">type</t>
  </si>
  <si>
    <t xml:space="preserve">adoption</t>
  </si>
  <si>
    <t xml:space="preserve">reprice</t>
  </si>
  <si>
    <t xml:space="preserve">relative</t>
  </si>
  <si>
    <t xml:space="preserve">Сложность биллинг/интеграции (1–5)</t>
  </si>
  <si>
    <t xml:space="preserve">complexity</t>
  </si>
  <si>
    <t xml:space="preserve">Опция вне базового портфеля (1=да)</t>
  </si>
  <si>
    <t xml:space="preserve">optional</t>
  </si>
  <si>
    <t xml:space="preserve">ARPU целевого сегмента, сум</t>
  </si>
  <si>
    <t xml:space="preserve">segment_arpu</t>
  </si>
  <si>
    <t xml:space="preserve">Доля целевой группы от когорты</t>
  </si>
  <si>
    <t xml:space="preserve">eligible_share</t>
  </si>
  <si>
    <t xml:space="preserve">Охват коммуникацией</t>
  </si>
  <si>
    <t xml:space="preserve">reach</t>
  </si>
  <si>
    <t xml:space="preserve">Конверсия (take-up)</t>
  </si>
  <si>
    <t xml:space="preserve">takeup</t>
  </si>
  <si>
    <t xml:space="preserve">Каннибализация (сделали бы и так)</t>
  </si>
  <si>
    <t xml:space="preserve">cannibal</t>
  </si>
  <si>
    <t xml:space="preserve">ΔARPU на адоптера, сум/мес</t>
  </si>
  <si>
    <t xml:space="preserve">delta</t>
  </si>
  <si>
    <t xml:space="preserve">Доп. отток от изменения/контакта</t>
  </si>
  <si>
    <t xml:space="preserve">churn_incr</t>
  </si>
  <si>
    <t xml:space="preserve">Снижение оттока адоптеров (отн.)</t>
  </si>
  <si>
    <t xml:space="preserve">churn_red</t>
  </si>
  <si>
    <t xml:space="preserve">Доля адоптеров, активных через 6 мес. (A6)</t>
  </si>
  <si>
    <t xml:space="preserve">adopter_decay_6m</t>
  </si>
  <si>
    <t xml:space="preserve">Повышение абонплаты, сум с НДС</t>
  </si>
  <si>
    <t xml:space="preserve">price_up_gross</t>
  </si>
  <si>
    <t xml:space="preserve">Доля даунгрейда</t>
  </si>
  <si>
    <t xml:space="preserve">downgrade</t>
  </si>
  <si>
    <t xml:space="preserve">Δ выручки при даунгрейде, сум/мес</t>
  </si>
  <si>
    <t xml:space="preserve">downgrade_delta</t>
  </si>
  <si>
    <t xml:space="preserve">Себестоимость доп. трафика, сум/мес</t>
  </si>
  <si>
    <t xml:space="preserve">data_cost_m</t>
  </si>
  <si>
    <t xml:space="preserve">Отн. прирост выручки когорты</t>
  </si>
  <si>
    <t xml:space="preserve">rel_uplift</t>
  </si>
  <si>
    <t xml:space="preserve">Снижение оттока всей когорты (отн.)</t>
  </si>
  <si>
    <t xml:space="preserve">churn_red_base</t>
  </si>
  <si>
    <t xml:space="preserve">Новые линии на адоптера</t>
  </si>
  <si>
    <t xml:space="preserve">new_lines</t>
  </si>
  <si>
    <t xml:space="preserve">ARPU новой линии, сум</t>
  </si>
  <si>
    <t xml:space="preserve">new_line_arpu</t>
  </si>
  <si>
    <t xml:space="preserve">Стоимость контакта, сум</t>
  </si>
  <si>
    <t xml:space="preserve">cost_per_contact</t>
  </si>
  <si>
    <t xml:space="preserve">Разовая стоимость на адоптера, сум</t>
  </si>
  <si>
    <t xml:space="preserve">cost_per_adopter_once</t>
  </si>
  <si>
    <t xml:space="preserve">Перем. затраты на адоптера, сум/мес</t>
  </si>
  <si>
    <t xml:space="preserve">var_cost_m</t>
  </si>
  <si>
    <t xml:space="preserve">Разовые затраты (внедрение), сум</t>
  </si>
  <si>
    <t xml:space="preserve">one_time</t>
  </si>
  <si>
    <t xml:space="preserve">OPEX, сум/мес</t>
  </si>
  <si>
    <t xml:space="preserve">opex_m</t>
  </si>
  <si>
    <t xml:space="preserve">Экономия OPEX, сум/мес</t>
  </si>
  <si>
    <t xml:space="preserve">opex_savings_m</t>
  </si>
  <si>
    <t xml:space="preserve">Маржинальность инкр. выручки</t>
  </si>
  <si>
    <t xml:space="preserve">margin</t>
  </si>
  <si>
    <t xml:space="preserve">Месяц запуска (1 = старт программы)</t>
  </si>
  <si>
    <t xml:space="preserve">launch</t>
  </si>
  <si>
    <t xml:space="preserve">Набор до полного эффекта, мес</t>
  </si>
  <si>
    <t xml:space="preserve">ramp</t>
  </si>
  <si>
    <t xml:space="preserve">Вероятность запуска как задумано</t>
  </si>
  <si>
    <t xml:space="preserve">exec_prob</t>
  </si>
  <si>
    <t xml:space="preserve">ПРОИЗВОДНЫЕ</t>
  </si>
  <si>
    <t xml:space="preserve">Целевая группа, абон.</t>
  </si>
  <si>
    <t xml:space="preserve">elig</t>
  </si>
  <si>
    <t xml:space="preserve">Охвачено коммуникацией, абон.</t>
  </si>
  <si>
    <t xml:space="preserve">contacted</t>
  </si>
  <si>
    <t xml:space="preserve">Адоптеры при полном наборе (инкр.), абон.</t>
  </si>
  <si>
    <t xml:space="preserve">a_final</t>
  </si>
  <si>
    <t xml:space="preserve">reprice: остаются и платят больше, абон.</t>
  </si>
  <si>
    <t xml:space="preserve">stay</t>
  </si>
  <si>
    <t xml:space="preserve">reprice: ушли на более дешёвый ТП, абон.</t>
  </si>
  <si>
    <t xml:space="preserve">down</t>
  </si>
  <si>
    <t xml:space="preserve">Доп. отток всего, абон.</t>
  </si>
  <si>
    <t xml:space="preserve">lost_total</t>
  </si>
  <si>
    <t xml:space="preserve">Повышение абонплаты net, сум</t>
  </si>
  <si>
    <t xml:space="preserve">up_net</t>
  </si>
  <si>
    <t xml:space="preserve">Темп «засыпания» адоптеров, в мес.</t>
  </si>
  <si>
    <t xml:space="preserve">decay_m</t>
  </si>
  <si>
    <t xml:space="preserve">Месяцев подготовки (разовые затраты)</t>
  </si>
  <si>
    <t xml:space="preserve">build</t>
  </si>
  <si>
    <t xml:space="preserve">Месяцев распределения доп. оттока</t>
  </si>
  <si>
    <t xml:space="preserve">K</t>
  </si>
  <si>
    <t xml:space="preserve">Месяц оценки (12-й после запуска, ≤24)</t>
  </si>
  <si>
    <t xml:space="preserve">eval_m</t>
  </si>
  <si>
    <t xml:space="preserve">ИТОГИ (из листа Monthly)</t>
  </si>
  <si>
    <t xml:space="preserve">Выручка Y1 (мес. 1–12), сум</t>
  </si>
  <si>
    <t xml:space="preserve">rev1</t>
  </si>
  <si>
    <t xml:space="preserve">Выручка Y2 (мес. 13–24), сум</t>
  </si>
  <si>
    <t xml:space="preserve">rev2</t>
  </si>
  <si>
    <t xml:space="preserve">Run-rate выручки/год на мес. 24, сум</t>
  </si>
  <si>
    <t xml:space="preserve">runrate</t>
  </si>
  <si>
    <t xml:space="preserve">Run-rate выручки/год, USD</t>
  </si>
  <si>
    <t xml:space="preserve">runrate_usd</t>
  </si>
  <si>
    <t xml:space="preserve">Затраты за 24 мес., сум</t>
  </si>
  <si>
    <t xml:space="preserve">cost24</t>
  </si>
  <si>
    <t xml:space="preserve">Вклад (маржа − затраты) за 24 мес., сум</t>
  </si>
  <si>
    <t xml:space="preserve">contrib24</t>
  </si>
  <si>
    <t xml:space="preserve">ROI за 24 мес. (вклад / затраты)</t>
  </si>
  <si>
    <t xml:space="preserve">roi</t>
  </si>
  <si>
    <t xml:space="preserve">ΔARPU когорты на месяц оценки</t>
  </si>
  <si>
    <t xml:space="preserve">upl_eval</t>
  </si>
  <si>
    <t xml:space="preserve">ΔARPU когорты на мес. 24</t>
  </si>
  <si>
    <t xml:space="preserve">upl24</t>
  </si>
  <si>
    <t xml:space="preserve">Δ абонентов к мес. 24 (вкл. новые линии)</t>
  </si>
  <si>
    <t xml:space="preserve">dsubs24</t>
  </si>
  <si>
    <t xml:space="preserve">Δ доли рынка к мес. 24, п.п.</t>
  </si>
  <si>
    <t xml:space="preserve">dshare</t>
  </si>
  <si>
    <t xml:space="preserve">Ожидаемый вклад с учётом P(запуска), сум</t>
  </si>
  <si>
    <t xml:space="preserve">exp_contrib</t>
  </si>
  <si>
    <t xml:space="preserve">Помесячный движок, 24 мес. (формулы; сум без НДС)</t>
  </si>
  <si>
    <t xml:space="preserve">Месяц</t>
  </si>
  <si>
    <t xml:space="preserve">S0: абоненты когорты без инициатив</t>
  </si>
  <si>
    <t xml:space="preserve">R0: выручка когорты без инициатив</t>
  </si>
  <si>
    <t xml:space="preserve">A1 — «Ucell 30 — Upgrade»: мягкая миграция с подарком</t>
  </si>
  <si>
    <t xml:space="preserve">Доля набора</t>
  </si>
  <si>
    <t xml:space="preserve">f</t>
  </si>
  <si>
    <t xml:space="preserve">Адоптеры (цель)</t>
  </si>
  <si>
    <t xml:space="preserve">target</t>
  </si>
  <si>
    <t xml:space="preserve">Новые адоптеры</t>
  </si>
  <si>
    <t xml:space="preserve">new</t>
  </si>
  <si>
    <t xml:space="preserve">Удержанные (эффект оттока)</t>
  </si>
  <si>
    <t xml:space="preserve">R</t>
  </si>
  <si>
    <t xml:space="preserve">Пул адоптеров</t>
  </si>
  <si>
    <t xml:space="preserve">pool</t>
  </si>
  <si>
    <t xml:space="preserve">Потерянные из-за инициативы</t>
  </si>
  <si>
    <t xml:space="preserve">L</t>
  </si>
  <si>
    <t xml:space="preserve">Инкр. выручка когорты</t>
  </si>
  <si>
    <t xml:space="preserve">rev</t>
  </si>
  <si>
    <t xml:space="preserve">Выручка новых линий</t>
  </si>
  <si>
    <t xml:space="preserve">rev_ext</t>
  </si>
  <si>
    <t xml:space="preserve">Затраты</t>
  </si>
  <si>
    <t xml:space="preserve">cost</t>
  </si>
  <si>
    <t xml:space="preserve">Вклад</t>
  </si>
  <si>
    <t xml:space="preserve">contrib</t>
  </si>
  <si>
    <t xml:space="preserve">Δ абонентов когорты</t>
  </si>
  <si>
    <t xml:space="preserve">dsubs</t>
  </si>
  <si>
    <t xml:space="preserve">Новые линии</t>
  </si>
  <si>
    <t xml:space="preserve">dsubs_ext</t>
  </si>
  <si>
    <t xml:space="preserve">A2 — Точечная индексация недооценённых архивных ТП (more-for-more)</t>
  </si>
  <si>
    <t xml:space="preserve">A3 — PAYG → суточные/недельные микропакеты</t>
  </si>
  <si>
    <t xml:space="preserve">A4 — Smart add-on: пакет-«бустер» в момент исчерпания (opt-in автопродление)</t>
  </si>
  <si>
    <t xml:space="preserve">A5 — Контент-надстройка (Yandex Plus / OVVA / Ucell TV) для архивных ТП</t>
  </si>
  <si>
    <t xml:space="preserve">A6 — Реактивация спящих архивных SIM (win-back оффер)</t>
  </si>
  <si>
    <t xml:space="preserve">A7 — «Musofir»: пакеты роуминга/OTP для трудовых мигрантов на архивных ТП</t>
  </si>
  <si>
    <t xml:space="preserve">A8 — ОПЦИЯ: ежегодная индексация архивных пакетов на инфляцию (волна 2)</t>
  </si>
  <si>
    <t xml:space="preserve">B1 — AI Next-Best-Offer: персональные офферы в реальном времени (RTD/CVM)</t>
  </si>
  <si>
    <t xml:space="preserve">B2 — «Ucell Oila»: семейный/групповой аккаунт с общим пакетом</t>
  </si>
  <si>
    <t xml:space="preserve">B3 — Sunset-программа: вывод устаревших семейств ТП с ценовой защитой</t>
  </si>
  <si>
    <t xml:space="preserve">B4 — Апгрейд 2G/3G → 4G-смартфон в рассрочку (BNPL-партнёр)</t>
  </si>
  <si>
    <t xml:space="preserve">B5 — Персональные лимиты «Mobil avans» на ML-скоринге</t>
  </si>
  <si>
    <t xml:space="preserve">ПОРТФЕЛЬ (детерминированный, все инициативы запущены)</t>
  </si>
  <si>
    <t xml:space="preserve">Базовый: Σ выручка когорты до перекрытия</t>
  </si>
  <si>
    <t xml:space="preserve">Базовый: Σ выручка новых линий</t>
  </si>
  <si>
    <t xml:space="preserve">Базовый: Σ Δ абонентов когорты</t>
  </si>
  <si>
    <t xml:space="preserve">Базовый: Σ вклад</t>
  </si>
  <si>
    <t xml:space="preserve">Stretch: Σ выручка когорты до перекрытия</t>
  </si>
  <si>
    <t xml:space="preserve">Stretch: Σ Δ абонентов когорты</t>
  </si>
  <si>
    <t xml:space="preserve">Базовый: ARPU когорты после перекрытия, сум</t>
  </si>
  <si>
    <t xml:space="preserve">Базовый: ΔARPU когорты</t>
  </si>
  <si>
    <t xml:space="preserve">Stretch: ARPU когорты после перекрытия, сум</t>
  </si>
  <si>
    <t xml:space="preserve">Stretch: ΔARPU когорты</t>
  </si>
  <si>
    <t xml:space="preserve">Портфель: базовый кейс (детерминированный) — вероятностный прогноз см. MC_Results</t>
  </si>
  <si>
    <t xml:space="preserve">Перекрытие эффектов (haircut)</t>
  </si>
  <si>
    <t xml:space="preserve">Доля эффекта, «съедаемая» пересечением целевых групп (одни и те же абоненты в нескольких инициативах)</t>
  </si>
  <si>
    <t xml:space="preserve">#</t>
  </si>
  <si>
    <t xml:space="preserve">Инициатива</t>
  </si>
  <si>
    <t xml:space="preserve">Группа</t>
  </si>
  <si>
    <t xml:space="preserve">Опция</t>
  </si>
  <si>
    <t xml:space="preserve">Выручка Y1</t>
  </si>
  <si>
    <t xml:space="preserve">Выручка Y2</t>
  </si>
  <si>
    <t xml:space="preserve">Run-rate/год</t>
  </si>
  <si>
    <t xml:space="preserve">Вклад 24 мес</t>
  </si>
  <si>
    <t xml:space="preserve">ROI</t>
  </si>
  <si>
    <t xml:space="preserve">ΔARPU (мес. оценки)</t>
  </si>
  <si>
    <t xml:space="preserve">Δ доли, п.п.</t>
  </si>
  <si>
    <t xml:space="preserve">P(запуска)</t>
  </si>
  <si>
    <t xml:space="preserve">Ожид. вклад</t>
  </si>
  <si>
    <t xml:space="preserve">Итоги портфеля</t>
  </si>
  <si>
    <t xml:space="preserve">Базовый: выручка Y1 после перекрытия, сум</t>
  </si>
  <si>
    <t xml:space="preserve">Базовый: выручка Y2 после перекрытия, сум</t>
  </si>
  <si>
    <t xml:space="preserve">Базовый: run-rate/год на мес. 24 после перекрытия, сум</t>
  </si>
  <si>
    <t xml:space="preserve">Базовый: run-rate/год, USD</t>
  </si>
  <si>
    <t xml:space="preserve">Базовый: вклад 24 мес. (перекрытие снижает положительный вклад)</t>
  </si>
  <si>
    <t xml:space="preserve">Базовый: ARPU когорты до, сум</t>
  </si>
  <si>
    <t xml:space="preserve">Базовый: ARPU когорты на мес. 12, сум</t>
  </si>
  <si>
    <t xml:space="preserve">Базовый: ARPU когорты на мес. 24, сум</t>
  </si>
  <si>
    <t xml:space="preserve">Базовый: ΔARPU когорты на мес. 12</t>
  </si>
  <si>
    <t xml:space="preserve">Базовый: ΔARPU когорты на мес. 24</t>
  </si>
  <si>
    <t xml:space="preserve">Stretch (+опции): ΔARPU когорты на мес. 24</t>
  </si>
  <si>
    <t xml:space="preserve">Базовый: прирост выручки когорты (run-rate), % к базе</t>
  </si>
  <si>
    <t xml:space="preserve">Базовый: Δ доли рынка к мес. 24, п.п.</t>
  </si>
  <si>
    <t xml:space="preserve">Динамика ΔARPU когорты по месяцам</t>
  </si>
  <si>
    <t xml:space="preserve">Базовый портфель</t>
  </si>
  <si>
    <t xml:space="preserve">Stretch (+A8)</t>
  </si>
  <si>
    <t xml:space="preserve">Калькулятор размера выборки A/B (двусторонний тест)</t>
  </si>
  <si>
    <t xml:space="preserve">Уровень значимости alpha</t>
  </si>
  <si>
    <t xml:space="preserve">Мощность (power)</t>
  </si>
  <si>
    <t xml:space="preserve">Коэф. вариации ARPU σ/μ (из данных, запрос D6)</t>
  </si>
  <si>
    <t xml:space="preserve">Минимальный детектируемый эффект (MDE), отн.</t>
  </si>
  <si>
    <t xml:space="preserve">N на группу — ARPU (t-тест)</t>
  </si>
  <si>
    <t xml:space="preserve">Конверсия/отток в контроле p1</t>
  </si>
  <si>
    <t xml:space="preserve">Конверсия/отток в тесте p2</t>
  </si>
  <si>
    <t xml:space="preserve">N на группу — пропорции</t>
  </si>
  <si>
    <t xml:space="preserve">Рекомендация: holdout 5–10% целевой группы на весь срок программы; стратификация по сегменту, региону, тенуре, типу устройства; фиксировать гипотезу и MDE до старта (pre-registration).</t>
  </si>
  <si>
    <t xml:space="preserve">Результаты Монте-Карло (20 000 прогонов) — значения из model/output/results.json</t>
  </si>
  <si>
    <t xml:space="preserve">Выход внешней модели (python model/arpu_model.py), не формулы. Млрд сум без НДС. Шанс успеха = P(вклад 24м &gt; 0 и ΔARPU &gt; 0) × P(запуска). Бизнес-кейс = ≥70% плана по вкладу и ΔARPU.</t>
  </si>
  <si>
    <t xml:space="preserve">Выручка Y1 P10</t>
  </si>
  <si>
    <t xml:space="preserve">Выручка Y1 P50</t>
  </si>
  <si>
    <t xml:space="preserve">Выручка Y1 P90</t>
  </si>
  <si>
    <t xml:space="preserve">Вклад 24м P10</t>
  </si>
  <si>
    <t xml:space="preserve">Вклад 24м P50</t>
  </si>
  <si>
    <t xml:space="preserve">Вклад 24м P90</t>
  </si>
  <si>
    <t xml:space="preserve">ΔARPU P50</t>
  </si>
  <si>
    <t xml:space="preserve">P(вклад&gt;0)</t>
  </si>
  <si>
    <t xml:space="preserve">Шанс успеха</t>
  </si>
  <si>
    <t xml:space="preserve">Шанс ≥70% бизнес-кейса</t>
  </si>
  <si>
    <t xml:space="preserve">Портфель (с учётом P(запуска) каждой инициативы и перекрытия)</t>
  </si>
  <si>
    <t xml:space="preserve">Сценарий</t>
  </si>
  <si>
    <t xml:space="preserve">ΔARPU мес.12 P50</t>
  </si>
  <si>
    <t xml:space="preserve">ΔARPU мес.24 P10</t>
  </si>
  <si>
    <t xml:space="preserve">ΔARPU мес.24 P50</t>
  </si>
  <si>
    <t xml:space="preserve">ΔARPU мес.24 P90</t>
  </si>
  <si>
    <t xml:space="preserve">Выручка Y2 P50</t>
  </si>
  <si>
    <t xml:space="preserve">P(ΔARPU≥10%)</t>
  </si>
  <si>
    <t xml:space="preserve">P(ΔARPU≥15%)</t>
  </si>
  <si>
    <t xml:space="preserve">P(ΔARPU≥20%)</t>
  </si>
  <si>
    <t xml:space="preserve">Базовый</t>
  </si>
  <si>
    <t xml:space="preserve">Только EASY</t>
  </si>
  <si>
    <t xml:space="preserve">Только HARD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</si>
</sst>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#,##0.0;\(#,##0.0\);\-"/>
    <numFmt numFmtId="168" formatCode="0.00%;\(0.00%\);\-"/>
    <numFmt numFmtId="169" formatCode="0.0\x;\(0.0&quot;x)&quot;;\-"/>
    <numFmt numFmtId="170" formatCode="0.000;\(0.000\);\-"/>
    <numFmt numFmtId="171" formatCode="\$#,##0"/>
    <numFmt numFmtId="172" formatCode="0%"/>
    <numFmt numFmtId="173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ΔARPU архивной когорты, базовый кейс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Portfolio!A38</c:f>
              <c:strCache>
                <c:ptCount val="1"/>
                <c:pt idx="0">
                  <c:v>Базовый портфель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Portfolio!$C$37:$Z$37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Portfolio!$B$38:$Z$38</c:f>
              <c:numCache>
                <c:formatCode>0.0%;\(0.0%\);\-</c:formatCode>
                <c:ptCount val="25"/>
                <c:pt idx="1">
                  <c:v>0</c:v>
                </c:pt>
                <c:pt idx="2">
                  <c:v>0.0422139314360408</c:v>
                </c:pt>
                <c:pt idx="3">
                  <c:v>0.0491217086593674</c:v>
                </c:pt>
                <c:pt idx="4">
                  <c:v>0.0547793371499756</c:v>
                </c:pt>
                <c:pt idx="5">
                  <c:v>0.0590239324457655</c:v>
                </c:pt>
                <c:pt idx="6">
                  <c:v>0.060889228198737</c:v>
                </c:pt>
                <c:pt idx="7">
                  <c:v>0.0621315570872716</c:v>
                </c:pt>
                <c:pt idx="8">
                  <c:v>0.069418719511358</c:v>
                </c:pt>
                <c:pt idx="9">
                  <c:v>0.0770839389395031</c:v>
                </c:pt>
                <c:pt idx="10">
                  <c:v>0.0847730367239115</c:v>
                </c:pt>
                <c:pt idx="11">
                  <c:v>0.0924824310559202</c:v>
                </c:pt>
                <c:pt idx="12">
                  <c:v>0.15810325983979</c:v>
                </c:pt>
                <c:pt idx="13">
                  <c:v>0.159703081199678</c:v>
                </c:pt>
                <c:pt idx="14">
                  <c:v>0.159597929317036</c:v>
                </c:pt>
                <c:pt idx="15">
                  <c:v>0.159498244825305</c:v>
                </c:pt>
                <c:pt idx="16">
                  <c:v>0.159403667150353</c:v>
                </c:pt>
                <c:pt idx="17">
                  <c:v>0.159313860994026</c:v>
                </c:pt>
                <c:pt idx="18">
                  <c:v>0.159228514564728</c:v>
                </c:pt>
                <c:pt idx="19">
                  <c:v>0.15914733793189</c:v>
                </c:pt>
                <c:pt idx="20">
                  <c:v>0.159070061495652</c:v>
                </c:pt>
                <c:pt idx="21">
                  <c:v>0.158996434563685</c:v>
                </c:pt>
                <c:pt idx="22">
                  <c:v>0.158926224027667</c:v>
                </c:pt>
                <c:pt idx="23">
                  <c:v>0.158859213132414</c:v>
                </c:pt>
                <c:pt idx="24">
                  <c:v>0.158795200331197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Portfolio!A39</c:f>
              <c:strCache>
                <c:ptCount val="1"/>
                <c:pt idx="0">
                  <c:v>Stretch (+A8)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Portfolio!$C$37:$Z$37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Portfolio!$B$39:$Z$39</c:f>
              <c:numCache>
                <c:formatCode>0.0%;\(0.0%\);\-</c:formatCode>
                <c:ptCount val="25"/>
                <c:pt idx="1">
                  <c:v>0</c:v>
                </c:pt>
                <c:pt idx="2">
                  <c:v>0.0422139314360408</c:v>
                </c:pt>
                <c:pt idx="3">
                  <c:v>0.0491217086593674</c:v>
                </c:pt>
                <c:pt idx="4">
                  <c:v>0.0547793371499756</c:v>
                </c:pt>
                <c:pt idx="5">
                  <c:v>0.0590239324457655</c:v>
                </c:pt>
                <c:pt idx="6">
                  <c:v>0.060889228198737</c:v>
                </c:pt>
                <c:pt idx="7">
                  <c:v>0.0621315570872716</c:v>
                </c:pt>
                <c:pt idx="8">
                  <c:v>0.069418719511358</c:v>
                </c:pt>
                <c:pt idx="9">
                  <c:v>0.0770839389395031</c:v>
                </c:pt>
                <c:pt idx="10">
                  <c:v>0.0847730367239115</c:v>
                </c:pt>
                <c:pt idx="11">
                  <c:v>0.0924824310559202</c:v>
                </c:pt>
                <c:pt idx="12">
                  <c:v>0.15810325983979</c:v>
                </c:pt>
                <c:pt idx="13">
                  <c:v>0.159703081199678</c:v>
                </c:pt>
                <c:pt idx="14">
                  <c:v>0.192147052111267</c:v>
                </c:pt>
                <c:pt idx="15">
                  <c:v>0.19140071552816</c:v>
                </c:pt>
                <c:pt idx="16">
                  <c:v>0.191280992647323</c:v>
                </c:pt>
                <c:pt idx="17">
                  <c:v>0.191166085856019</c:v>
                </c:pt>
                <c:pt idx="18">
                  <c:v>0.191055682056861</c:v>
                </c:pt>
                <c:pt idx="19">
                  <c:v>0.190949490101003</c:v>
                </c:pt>
                <c:pt idx="20">
                  <c:v>0.190847239251648</c:v>
                </c:pt>
                <c:pt idx="21">
                  <c:v>0.190748677755125</c:v>
                </c:pt>
                <c:pt idx="22">
                  <c:v>0.190653571512023</c:v>
                </c:pt>
                <c:pt idx="23">
                  <c:v>0.190561702841365</c:v>
                </c:pt>
                <c:pt idx="24">
                  <c:v>0.190472869331314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797063"/>
        <c:axId val="70033722"/>
      </c:lineChart>
      <c:catAx>
        <c:axId val="527970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33722"/>
        <c:crosses val="autoZero"/>
        <c:auto val="1"/>
        <c:lblAlgn val="ctr"/>
        <c:lblOffset val="100"/>
        <c:noMultiLvlLbl val="0"/>
      </c:catAx>
      <c:valAx>
        <c:axId val="70033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ΔARPU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97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99720</xdr:rowOff>
    </xdr:from>
    <xdr:to>
      <xdr:col>1</xdr:col>
      <xdr:colOff>2763360</xdr:colOff>
      <xdr:row>48</xdr:row>
      <xdr:rowOff>122040</xdr:rowOff>
    </xdr:to>
    <xdr:graphicFrame>
      <xdr:nvGraphicFramePr>
        <xdr:cNvPr id="0" name="Chart 1"/>
        <xdr:cNvGraphicFramePr/>
      </xdr:nvGraphicFramePr>
      <xdr:xfrm>
        <a:off x="0" y="76201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6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16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17</v>
      </c>
      <c r="B3" s="5"/>
      <c r="C3" s="5" t="s">
        <v>18</v>
      </c>
      <c r="D3" s="5" t="s">
        <v>19</v>
      </c>
      <c r="E3" s="5" t="s">
        <v>20</v>
      </c>
      <c r="F3" s="4"/>
    </row>
    <row r="4" customFormat="false" ht="15" hidden="false" customHeight="false" outlineLevel="0" collapsed="false">
      <c r="A4" s="2" t="s">
        <v>21</v>
      </c>
      <c r="B4" s="4"/>
      <c r="C4" s="6" t="n">
        <v>11000000</v>
      </c>
      <c r="D4" s="4" t="s">
        <v>22</v>
      </c>
      <c r="E4" s="4" t="s">
        <v>23</v>
      </c>
      <c r="F4" s="4"/>
    </row>
    <row r="5" customFormat="false" ht="15" hidden="false" customHeight="false" outlineLevel="0" collapsed="false">
      <c r="A5" s="2" t="s">
        <v>24</v>
      </c>
      <c r="B5" s="4"/>
      <c r="C5" s="7" t="n">
        <v>0.4</v>
      </c>
      <c r="D5" s="4" t="s">
        <v>25</v>
      </c>
      <c r="E5" s="4" t="s">
        <v>26</v>
      </c>
      <c r="F5" s="4"/>
    </row>
    <row r="6" customFormat="false" ht="15" hidden="false" customHeight="false" outlineLevel="0" collapsed="false">
      <c r="A6" s="2" t="s">
        <v>27</v>
      </c>
      <c r="B6" s="4"/>
      <c r="C6" s="7" t="n">
        <v>0.8</v>
      </c>
      <c r="D6" s="4" t="s">
        <v>25</v>
      </c>
      <c r="E6" s="4" t="s">
        <v>28</v>
      </c>
      <c r="F6" s="4"/>
    </row>
    <row r="7" customFormat="false" ht="15" hidden="false" customHeight="false" outlineLevel="0" collapsed="false">
      <c r="A7" s="2" t="s">
        <v>29</v>
      </c>
      <c r="B7" s="4"/>
      <c r="C7" s="8" t="n">
        <f aca="false">C4*C5*C6</f>
        <v>3520000</v>
      </c>
      <c r="D7" s="4" t="s">
        <v>22</v>
      </c>
      <c r="E7" s="4" t="s">
        <v>30</v>
      </c>
      <c r="F7" s="4"/>
    </row>
    <row r="8" customFormat="false" ht="15" hidden="false" customHeight="false" outlineLevel="0" collapsed="false">
      <c r="A8" s="2" t="s">
        <v>31</v>
      </c>
      <c r="B8" s="4"/>
      <c r="C8" s="8" t="n">
        <f aca="false">SUMPRODUCT(C17:C21,D17:D21)</f>
        <v>18500</v>
      </c>
      <c r="D8" s="4" t="s">
        <v>32</v>
      </c>
      <c r="E8" s="4" t="s">
        <v>33</v>
      </c>
      <c r="F8" s="4"/>
    </row>
    <row r="9" customFormat="false" ht="15" hidden="false" customHeight="false" outlineLevel="0" collapsed="false">
      <c r="A9" s="2" t="s">
        <v>34</v>
      </c>
      <c r="B9" s="4"/>
      <c r="C9" s="7" t="n">
        <v>0.015</v>
      </c>
      <c r="D9" s="4" t="s">
        <v>25</v>
      </c>
      <c r="E9" s="4" t="s">
        <v>35</v>
      </c>
      <c r="F9" s="4"/>
    </row>
    <row r="10" customFormat="false" ht="15" hidden="false" customHeight="false" outlineLevel="0" collapsed="false">
      <c r="A10" s="2" t="s">
        <v>36</v>
      </c>
      <c r="B10" s="4"/>
      <c r="C10" s="9" t="n">
        <v>0.12</v>
      </c>
      <c r="D10" s="4" t="s">
        <v>25</v>
      </c>
      <c r="E10" s="4" t="s">
        <v>37</v>
      </c>
      <c r="F10" s="4"/>
    </row>
    <row r="11" customFormat="false" ht="15" hidden="false" customHeight="false" outlineLevel="0" collapsed="false">
      <c r="A11" s="2" t="s">
        <v>38</v>
      </c>
      <c r="B11" s="4"/>
      <c r="C11" s="6" t="n">
        <v>12100</v>
      </c>
      <c r="D11" s="4" t="s">
        <v>39</v>
      </c>
      <c r="E11" s="4" t="s">
        <v>40</v>
      </c>
      <c r="F11" s="4"/>
    </row>
    <row r="12" customFormat="false" ht="15" hidden="false" customHeight="false" outlineLevel="0" collapsed="false">
      <c r="A12" s="2" t="s">
        <v>41</v>
      </c>
      <c r="B12" s="4"/>
      <c r="C12" s="10" t="n">
        <v>36500000</v>
      </c>
      <c r="D12" s="4" t="s">
        <v>22</v>
      </c>
      <c r="E12" s="4" t="s">
        <v>42</v>
      </c>
      <c r="F12" s="4"/>
    </row>
    <row r="13" customFormat="false" ht="15" hidden="false" customHeight="false" outlineLevel="0" collapsed="false">
      <c r="A13" s="2" t="s">
        <v>43</v>
      </c>
      <c r="B13" s="4"/>
      <c r="C13" s="8" t="n">
        <f aca="false">C7*C8</f>
        <v>65120000000</v>
      </c>
      <c r="D13" s="4" t="s">
        <v>32</v>
      </c>
      <c r="E13" s="4" t="s">
        <v>30</v>
      </c>
      <c r="F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</row>
    <row r="15" customFormat="false" ht="15" hidden="false" customHeight="false" outlineLevel="0" collapsed="false">
      <c r="A15" s="3" t="s">
        <v>44</v>
      </c>
      <c r="B15" s="4"/>
      <c r="C15" s="4"/>
      <c r="D15" s="4"/>
      <c r="E15" s="4"/>
      <c r="F15" s="4"/>
    </row>
    <row r="16" customFormat="false" ht="15" hidden="false" customHeight="false" outlineLevel="0" collapsed="false">
      <c r="A16" s="5" t="s">
        <v>45</v>
      </c>
      <c r="B16" s="5" t="s">
        <v>46</v>
      </c>
      <c r="C16" s="5" t="s">
        <v>47</v>
      </c>
      <c r="D16" s="5" t="s">
        <v>48</v>
      </c>
      <c r="E16" s="5" t="s">
        <v>49</v>
      </c>
      <c r="F16" s="5" t="s">
        <v>50</v>
      </c>
    </row>
    <row r="17" customFormat="false" ht="15" hidden="false" customHeight="false" outlineLevel="0" collapsed="false">
      <c r="A17" s="11" t="s">
        <v>51</v>
      </c>
      <c r="B17" s="11" t="s">
        <v>52</v>
      </c>
      <c r="C17" s="7" t="n">
        <v>0.2</v>
      </c>
      <c r="D17" s="10" t="n">
        <v>3000</v>
      </c>
      <c r="E17" s="8" t="n">
        <f aca="false">$C$7*C17</f>
        <v>704000</v>
      </c>
      <c r="F17" s="8" t="n">
        <f aca="false">E17*D17</f>
        <v>2112000000</v>
      </c>
    </row>
    <row r="18" customFormat="false" ht="15" hidden="false" customHeight="false" outlineLevel="0" collapsed="false">
      <c r="A18" s="11" t="s">
        <v>53</v>
      </c>
      <c r="B18" s="11" t="s">
        <v>54</v>
      </c>
      <c r="C18" s="7" t="n">
        <v>0.2</v>
      </c>
      <c r="D18" s="10" t="n">
        <v>10000</v>
      </c>
      <c r="E18" s="8" t="n">
        <f aca="false">$C$7*C18</f>
        <v>704000</v>
      </c>
      <c r="F18" s="8" t="n">
        <f aca="false">E18*D18</f>
        <v>7040000000</v>
      </c>
    </row>
    <row r="19" customFormat="false" ht="15" hidden="false" customHeight="false" outlineLevel="0" collapsed="false">
      <c r="A19" s="11" t="s">
        <v>55</v>
      </c>
      <c r="B19" s="11" t="s">
        <v>56</v>
      </c>
      <c r="C19" s="7" t="n">
        <v>0.3</v>
      </c>
      <c r="D19" s="10" t="n">
        <v>21000</v>
      </c>
      <c r="E19" s="8" t="n">
        <f aca="false">$C$7*C19</f>
        <v>1056000</v>
      </c>
      <c r="F19" s="8" t="n">
        <f aca="false">E19*D19</f>
        <v>22176000000</v>
      </c>
    </row>
    <row r="20" customFormat="false" ht="15" hidden="false" customHeight="false" outlineLevel="0" collapsed="false">
      <c r="A20" s="11" t="s">
        <v>57</v>
      </c>
      <c r="B20" s="11" t="s">
        <v>58</v>
      </c>
      <c r="C20" s="7" t="n">
        <v>0.2</v>
      </c>
      <c r="D20" s="10" t="n">
        <v>40000</v>
      </c>
      <c r="E20" s="8" t="n">
        <f aca="false">$C$7*C20</f>
        <v>704000</v>
      </c>
      <c r="F20" s="8" t="n">
        <f aca="false">E20*D20</f>
        <v>28160000000</v>
      </c>
    </row>
    <row r="21" customFormat="false" ht="15" hidden="false" customHeight="false" outlineLevel="0" collapsed="false">
      <c r="A21" s="11" t="s">
        <v>59</v>
      </c>
      <c r="B21" s="11" t="s">
        <v>60</v>
      </c>
      <c r="C21" s="7" t="n">
        <v>0.1</v>
      </c>
      <c r="D21" s="10" t="n">
        <v>16000</v>
      </c>
      <c r="E21" s="8" t="n">
        <f aca="false">$C$7*C21</f>
        <v>352000</v>
      </c>
      <c r="F21" s="8" t="n">
        <f aca="false">E21*D21</f>
        <v>5632000000</v>
      </c>
    </row>
    <row r="22" customFormat="false" ht="15" hidden="false" customHeight="false" outlineLevel="0" collapsed="false">
      <c r="A22" s="3" t="s">
        <v>61</v>
      </c>
      <c r="B22" s="4"/>
      <c r="C22" s="12" t="n">
        <f aca="false">SUM(C17:C21)</f>
        <v>1</v>
      </c>
      <c r="D22" s="4"/>
      <c r="E22" s="13" t="n">
        <f aca="false">SUM(E17:E21)</f>
        <v>3520000</v>
      </c>
      <c r="F22" s="13" t="n">
        <f aca="false">SUM(F17:F21)</f>
        <v>65120000000</v>
      </c>
    </row>
    <row r="23" customFormat="false" ht="15" hidden="false" customHeight="false" outlineLevel="0" collapsed="false">
      <c r="A23" s="4" t="s">
        <v>62</v>
      </c>
      <c r="B23" s="4"/>
      <c r="C23" s="4" t="str">
        <f aca="false">IF(ABS(C22-1)&lt;0.0001,"OK","ОШИБКА: доли ≠ 100%")</f>
        <v>OK</v>
      </c>
      <c r="D23" s="4"/>
      <c r="E23" s="4"/>
      <c r="F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15" min="3" style="0" width="19"/>
  </cols>
  <sheetData>
    <row r="1" customFormat="false" ht="17.35" hidden="false" customHeight="false" outlineLevel="0" collapsed="false">
      <c r="A1" s="1" t="s">
        <v>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customFormat="false" ht="15" hidden="false" customHeight="false" outlineLevel="0" collapsed="false">
      <c r="A3" s="5" t="s">
        <v>17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 t="s">
        <v>69</v>
      </c>
      <c r="H3" s="5" t="s">
        <v>70</v>
      </c>
      <c r="I3" s="5" t="s">
        <v>71</v>
      </c>
      <c r="J3" s="5" t="s">
        <v>72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</row>
    <row r="4" customFormat="false" ht="79.5" hidden="false" customHeight="true" outlineLevel="0" collapsed="false">
      <c r="A4" s="4" t="s">
        <v>78</v>
      </c>
      <c r="B4" s="4" t="s">
        <v>79</v>
      </c>
      <c r="C4" s="14" t="s">
        <v>80</v>
      </c>
      <c r="D4" s="14" t="s">
        <v>81</v>
      </c>
      <c r="E4" s="14" t="s">
        <v>82</v>
      </c>
      <c r="F4" s="14" t="s">
        <v>83</v>
      </c>
      <c r="G4" s="14" t="s">
        <v>84</v>
      </c>
      <c r="H4" s="14" t="s">
        <v>85</v>
      </c>
      <c r="I4" s="14" t="s">
        <v>86</v>
      </c>
      <c r="J4" s="14" t="s">
        <v>87</v>
      </c>
      <c r="K4" s="14" t="s">
        <v>88</v>
      </c>
      <c r="L4" s="14" t="s">
        <v>89</v>
      </c>
      <c r="M4" s="14" t="s">
        <v>90</v>
      </c>
      <c r="N4" s="14" t="s">
        <v>91</v>
      </c>
      <c r="O4" s="14" t="s">
        <v>92</v>
      </c>
    </row>
    <row r="5" customFormat="false" ht="15" hidden="false" customHeight="false" outlineLevel="0" collapsed="false">
      <c r="A5" s="4" t="s">
        <v>93</v>
      </c>
      <c r="B5" s="4" t="s">
        <v>94</v>
      </c>
      <c r="C5" s="15" t="s">
        <v>95</v>
      </c>
      <c r="D5" s="15" t="s">
        <v>95</v>
      </c>
      <c r="E5" s="15" t="s">
        <v>95</v>
      </c>
      <c r="F5" s="15" t="s">
        <v>95</v>
      </c>
      <c r="G5" s="15" t="s">
        <v>95</v>
      </c>
      <c r="H5" s="15" t="s">
        <v>95</v>
      </c>
      <c r="I5" s="15" t="s">
        <v>95</v>
      </c>
      <c r="J5" s="15" t="s">
        <v>95</v>
      </c>
      <c r="K5" s="15" t="s">
        <v>96</v>
      </c>
      <c r="L5" s="15" t="s">
        <v>96</v>
      </c>
      <c r="M5" s="15" t="s">
        <v>96</v>
      </c>
      <c r="N5" s="15" t="s">
        <v>96</v>
      </c>
      <c r="O5" s="15" t="s">
        <v>96</v>
      </c>
    </row>
    <row r="6" customFormat="false" ht="15" hidden="false" customHeight="false" outlineLevel="0" collapsed="false">
      <c r="A6" s="4" t="s">
        <v>97</v>
      </c>
      <c r="B6" s="4" t="s">
        <v>98</v>
      </c>
      <c r="C6" s="15" t="s">
        <v>99</v>
      </c>
      <c r="D6" s="15" t="s">
        <v>100</v>
      </c>
      <c r="E6" s="15" t="s">
        <v>99</v>
      </c>
      <c r="F6" s="15" t="s">
        <v>99</v>
      </c>
      <c r="G6" s="15" t="s">
        <v>99</v>
      </c>
      <c r="H6" s="15" t="s">
        <v>99</v>
      </c>
      <c r="I6" s="15" t="s">
        <v>99</v>
      </c>
      <c r="J6" s="15" t="s">
        <v>100</v>
      </c>
      <c r="K6" s="15" t="s">
        <v>101</v>
      </c>
      <c r="L6" s="15" t="s">
        <v>99</v>
      </c>
      <c r="M6" s="15" t="s">
        <v>100</v>
      </c>
      <c r="N6" s="15" t="s">
        <v>99</v>
      </c>
      <c r="O6" s="15" t="s">
        <v>99</v>
      </c>
    </row>
    <row r="7" customFormat="false" ht="15" hidden="false" customHeight="false" outlineLevel="0" collapsed="false">
      <c r="A7" s="4" t="s">
        <v>102</v>
      </c>
      <c r="B7" s="4" t="s">
        <v>103</v>
      </c>
      <c r="C7" s="6" t="n">
        <v>1</v>
      </c>
      <c r="D7" s="6" t="n">
        <v>1</v>
      </c>
      <c r="E7" s="6" t="n">
        <v>2</v>
      </c>
      <c r="F7" s="6" t="n">
        <v>2</v>
      </c>
      <c r="G7" s="6" t="n">
        <v>2</v>
      </c>
      <c r="H7" s="6" t="n">
        <v>1</v>
      </c>
      <c r="I7" s="6" t="n">
        <v>2</v>
      </c>
      <c r="J7" s="6" t="n">
        <v>1</v>
      </c>
      <c r="K7" s="6" t="n">
        <v>4</v>
      </c>
      <c r="L7" s="6" t="n">
        <v>4</v>
      </c>
      <c r="M7" s="6" t="n">
        <v>5</v>
      </c>
      <c r="N7" s="6" t="n">
        <v>4</v>
      </c>
      <c r="O7" s="6" t="n">
        <v>3</v>
      </c>
    </row>
    <row r="8" customFormat="false" ht="15" hidden="false" customHeight="false" outlineLevel="0" collapsed="false">
      <c r="A8" s="4" t="s">
        <v>104</v>
      </c>
      <c r="B8" s="4" t="s">
        <v>105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 customFormat="false" ht="15" hidden="false" customHeight="false" outlineLevel="0" collapsed="false">
      <c r="A9" s="4" t="s">
        <v>106</v>
      </c>
      <c r="B9" s="4" t="s">
        <v>107</v>
      </c>
      <c r="C9" s="6" t="n">
        <v>21000</v>
      </c>
      <c r="D9" s="6" t="n">
        <v>21000</v>
      </c>
      <c r="E9" s="6" t="n">
        <v>10000</v>
      </c>
      <c r="F9" s="6" t="n">
        <v>28000</v>
      </c>
      <c r="G9" s="6" t="n">
        <v>28000</v>
      </c>
      <c r="H9" s="6" t="n">
        <v>3000</v>
      </c>
      <c r="I9" s="6" t="n">
        <v>15000</v>
      </c>
      <c r="J9" s="6" t="n">
        <v>28000</v>
      </c>
      <c r="K9" s="6" t="n">
        <v>0</v>
      </c>
      <c r="L9" s="6" t="n">
        <v>28000</v>
      </c>
      <c r="M9" s="6" t="n">
        <v>15000</v>
      </c>
      <c r="N9" s="6" t="n">
        <v>10000</v>
      </c>
      <c r="O9" s="6" t="n">
        <v>14000</v>
      </c>
    </row>
    <row r="10" customFormat="false" ht="15" hidden="false" customHeight="false" outlineLevel="0" collapsed="false">
      <c r="A10" s="4" t="s">
        <v>108</v>
      </c>
      <c r="B10" s="4" t="s">
        <v>109</v>
      </c>
      <c r="C10" s="9" t="n">
        <v>0.46</v>
      </c>
      <c r="D10" s="9" t="n">
        <v>0.22</v>
      </c>
      <c r="E10" s="9" t="n">
        <v>0.2</v>
      </c>
      <c r="F10" s="9" t="n">
        <v>0.15</v>
      </c>
      <c r="G10" s="9" t="n">
        <v>0.35</v>
      </c>
      <c r="H10" s="9" t="n">
        <v>0.2</v>
      </c>
      <c r="I10" s="9" t="n">
        <v>0.06</v>
      </c>
      <c r="J10" s="9" t="n">
        <v>0.38</v>
      </c>
      <c r="K10" s="9" t="n">
        <v>0</v>
      </c>
      <c r="L10" s="9" t="n">
        <v>0.2</v>
      </c>
      <c r="M10" s="9" t="n">
        <v>0.25</v>
      </c>
      <c r="N10" s="9" t="n">
        <v>0.08</v>
      </c>
      <c r="O10" s="9" t="n">
        <v>0.3</v>
      </c>
    </row>
    <row r="11" customFormat="false" ht="15" hidden="false" customHeight="false" outlineLevel="0" collapsed="false">
      <c r="A11" s="4" t="s">
        <v>110</v>
      </c>
      <c r="B11" s="4" t="s">
        <v>111</v>
      </c>
      <c r="C11" s="9" t="n">
        <v>0.85</v>
      </c>
      <c r="D11" s="9" t="n">
        <v>0</v>
      </c>
      <c r="E11" s="9" t="n">
        <v>0.8</v>
      </c>
      <c r="F11" s="9" t="n">
        <v>0.9</v>
      </c>
      <c r="G11" s="9" t="n">
        <v>0.8</v>
      </c>
      <c r="H11" s="9" t="n">
        <v>0.7</v>
      </c>
      <c r="I11" s="9" t="n">
        <v>0.8</v>
      </c>
      <c r="J11" s="9" t="n">
        <v>0</v>
      </c>
      <c r="K11" s="9" t="n">
        <v>0</v>
      </c>
      <c r="L11" s="9" t="n">
        <v>0.8</v>
      </c>
      <c r="M11" s="9" t="n">
        <v>0</v>
      </c>
      <c r="N11" s="9" t="n">
        <v>0.7</v>
      </c>
      <c r="O11" s="9" t="n">
        <v>0.9</v>
      </c>
    </row>
    <row r="12" customFormat="false" ht="15" hidden="false" customHeight="false" outlineLevel="0" collapsed="false">
      <c r="A12" s="4" t="s">
        <v>112</v>
      </c>
      <c r="B12" s="4" t="s">
        <v>113</v>
      </c>
      <c r="C12" s="9" t="n">
        <v>0.12</v>
      </c>
      <c r="D12" s="9" t="n">
        <v>0</v>
      </c>
      <c r="E12" s="9" t="n">
        <v>0.15</v>
      </c>
      <c r="F12" s="9" t="n">
        <v>0.12</v>
      </c>
      <c r="G12" s="9" t="n">
        <v>0.025</v>
      </c>
      <c r="H12" s="9" t="n">
        <v>0.06</v>
      </c>
      <c r="I12" s="9" t="n">
        <v>0.18</v>
      </c>
      <c r="J12" s="9" t="n">
        <v>0</v>
      </c>
      <c r="K12" s="9" t="n">
        <v>0</v>
      </c>
      <c r="L12" s="9" t="n">
        <v>0.04</v>
      </c>
      <c r="M12" s="9" t="n">
        <v>0</v>
      </c>
      <c r="N12" s="9" t="n">
        <v>0.05</v>
      </c>
      <c r="O12" s="9" t="n">
        <v>0.18</v>
      </c>
    </row>
    <row r="13" customFormat="false" ht="15" hidden="false" customHeight="false" outlineLevel="0" collapsed="false">
      <c r="A13" s="4" t="s">
        <v>114</v>
      </c>
      <c r="B13" s="4" t="s">
        <v>115</v>
      </c>
      <c r="C13" s="9" t="n">
        <v>0.2</v>
      </c>
      <c r="D13" s="9" t="n">
        <v>0</v>
      </c>
      <c r="E13" s="9" t="n">
        <v>0.2</v>
      </c>
      <c r="F13" s="9" t="n">
        <v>0.45</v>
      </c>
      <c r="G13" s="9" t="n">
        <v>0.2</v>
      </c>
      <c r="H13" s="9" t="n">
        <v>0.2</v>
      </c>
      <c r="I13" s="9" t="n">
        <v>0.25</v>
      </c>
      <c r="J13" s="9" t="n">
        <v>0</v>
      </c>
      <c r="K13" s="9" t="n">
        <v>0</v>
      </c>
      <c r="L13" s="9" t="n">
        <v>0.1</v>
      </c>
      <c r="M13" s="9" t="n">
        <v>0</v>
      </c>
      <c r="N13" s="9" t="n">
        <v>0.35</v>
      </c>
      <c r="O13" s="9" t="n">
        <v>0.5</v>
      </c>
    </row>
    <row r="14" customFormat="false" ht="15" hidden="false" customHeight="false" outlineLevel="0" collapsed="false">
      <c r="A14" s="4" t="s">
        <v>116</v>
      </c>
      <c r="B14" s="4" t="s">
        <v>117</v>
      </c>
      <c r="C14" s="6" t="n">
        <v>6500</v>
      </c>
      <c r="D14" s="6" t="n">
        <v>0</v>
      </c>
      <c r="E14" s="6" t="n">
        <v>2500</v>
      </c>
      <c r="F14" s="6" t="n">
        <v>7500</v>
      </c>
      <c r="G14" s="6" t="n">
        <v>12000</v>
      </c>
      <c r="H14" s="6" t="n">
        <v>7000</v>
      </c>
      <c r="I14" s="6" t="n">
        <v>7000</v>
      </c>
      <c r="J14" s="6" t="n">
        <v>0</v>
      </c>
      <c r="K14" s="6" t="n">
        <v>0</v>
      </c>
      <c r="L14" s="6" t="n">
        <v>22000</v>
      </c>
      <c r="M14" s="6" t="n">
        <v>0</v>
      </c>
      <c r="N14" s="6" t="n">
        <v>10000</v>
      </c>
      <c r="O14" s="6" t="n">
        <v>3000</v>
      </c>
    </row>
    <row r="15" customFormat="false" ht="15" hidden="false" customHeight="false" outlineLevel="0" collapsed="false">
      <c r="A15" s="4" t="s">
        <v>118</v>
      </c>
      <c r="B15" s="4" t="s">
        <v>119</v>
      </c>
      <c r="C15" s="9" t="n">
        <v>0.002</v>
      </c>
      <c r="D15" s="9" t="n">
        <v>0.025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0.01</v>
      </c>
      <c r="K15" s="9" t="n">
        <v>0</v>
      </c>
      <c r="L15" s="9" t="n">
        <v>0</v>
      </c>
      <c r="M15" s="9" t="n">
        <v>0.04</v>
      </c>
      <c r="N15" s="9" t="n">
        <v>0</v>
      </c>
      <c r="O15" s="9" t="n">
        <v>0</v>
      </c>
    </row>
    <row r="16" customFormat="false" ht="15" hidden="false" customHeight="false" outlineLevel="0" collapsed="false">
      <c r="A16" s="4" t="s">
        <v>120</v>
      </c>
      <c r="B16" s="4" t="s">
        <v>121</v>
      </c>
      <c r="C16" s="9" t="n">
        <v>0.1</v>
      </c>
      <c r="D16" s="9" t="n">
        <v>0</v>
      </c>
      <c r="E16" s="9" t="n">
        <v>0.05</v>
      </c>
      <c r="F16" s="9" t="n">
        <v>0.05</v>
      </c>
      <c r="G16" s="9" t="n">
        <v>0.25</v>
      </c>
      <c r="H16" s="9" t="n">
        <v>0</v>
      </c>
      <c r="I16" s="9" t="n">
        <v>0.2</v>
      </c>
      <c r="J16" s="9" t="n">
        <v>0</v>
      </c>
      <c r="K16" s="9" t="n">
        <v>0</v>
      </c>
      <c r="L16" s="9" t="n">
        <v>0.3</v>
      </c>
      <c r="M16" s="9" t="n">
        <v>0</v>
      </c>
      <c r="N16" s="9" t="n">
        <v>0.2</v>
      </c>
      <c r="O16" s="9" t="n">
        <v>0.1</v>
      </c>
    </row>
    <row r="17" customFormat="false" ht="15" hidden="false" customHeight="false" outlineLevel="0" collapsed="false">
      <c r="A17" s="4" t="s">
        <v>122</v>
      </c>
      <c r="B17" s="4" t="s">
        <v>123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0.65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</row>
    <row r="18" customFormat="false" ht="15" hidden="false" customHeight="false" outlineLevel="0" collapsed="false">
      <c r="A18" s="4" t="s">
        <v>124</v>
      </c>
      <c r="B18" s="4" t="s">
        <v>125</v>
      </c>
      <c r="C18" s="6" t="n">
        <v>0</v>
      </c>
      <c r="D18" s="6" t="n">
        <v>5000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2000</v>
      </c>
      <c r="K18" s="6" t="n">
        <v>0</v>
      </c>
      <c r="L18" s="6" t="n">
        <v>0</v>
      </c>
      <c r="M18" s="6" t="n">
        <v>6500</v>
      </c>
      <c r="N18" s="6" t="n">
        <v>0</v>
      </c>
      <c r="O18" s="6" t="n">
        <v>0</v>
      </c>
    </row>
    <row r="19" customFormat="false" ht="15" hidden="false" customHeight="false" outlineLevel="0" collapsed="false">
      <c r="A19" s="4" t="s">
        <v>126</v>
      </c>
      <c r="B19" s="4" t="s">
        <v>127</v>
      </c>
      <c r="C19" s="9" t="n">
        <v>0</v>
      </c>
      <c r="D19" s="9" t="n">
        <v>0.08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0.04</v>
      </c>
      <c r="K19" s="9" t="n">
        <v>0</v>
      </c>
      <c r="L19" s="9" t="n">
        <v>0</v>
      </c>
      <c r="M19" s="9" t="n">
        <v>0.1</v>
      </c>
      <c r="N19" s="9" t="n">
        <v>0</v>
      </c>
      <c r="O19" s="9" t="n">
        <v>0</v>
      </c>
    </row>
    <row r="20" customFormat="false" ht="15" hidden="false" customHeight="false" outlineLevel="0" collapsed="false">
      <c r="A20" s="4" t="s">
        <v>128</v>
      </c>
      <c r="B20" s="4" t="s">
        <v>129</v>
      </c>
      <c r="C20" s="6" t="n">
        <v>0</v>
      </c>
      <c r="D20" s="6" t="n">
        <v>-3000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-2000</v>
      </c>
      <c r="K20" s="6" t="n">
        <v>0</v>
      </c>
      <c r="L20" s="6" t="n">
        <v>0</v>
      </c>
      <c r="M20" s="6" t="n">
        <v>-2000</v>
      </c>
      <c r="N20" s="6" t="n">
        <v>0</v>
      </c>
      <c r="O20" s="6" t="n">
        <v>0</v>
      </c>
    </row>
    <row r="21" customFormat="false" ht="15" hidden="false" customHeight="false" outlineLevel="0" collapsed="false">
      <c r="A21" s="4" t="s">
        <v>130</v>
      </c>
      <c r="B21" s="4" t="s">
        <v>131</v>
      </c>
      <c r="C21" s="6" t="n">
        <v>0</v>
      </c>
      <c r="D21" s="6" t="n">
        <v>400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100</v>
      </c>
      <c r="K21" s="6" t="n">
        <v>0</v>
      </c>
      <c r="L21" s="6" t="n">
        <v>0</v>
      </c>
      <c r="M21" s="6" t="n">
        <v>500</v>
      </c>
      <c r="N21" s="6" t="n">
        <v>0</v>
      </c>
      <c r="O21" s="6" t="n">
        <v>0</v>
      </c>
    </row>
    <row r="22" customFormat="false" ht="15" hidden="false" customHeight="false" outlineLevel="0" collapsed="false">
      <c r="A22" s="4" t="s">
        <v>132</v>
      </c>
      <c r="B22" s="4" t="s">
        <v>133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0.03</v>
      </c>
      <c r="L22" s="9" t="n">
        <v>0</v>
      </c>
      <c r="M22" s="9" t="n">
        <v>0</v>
      </c>
      <c r="N22" s="9" t="n">
        <v>0</v>
      </c>
      <c r="O22" s="9" t="n">
        <v>0</v>
      </c>
    </row>
    <row r="23" customFormat="false" ht="15" hidden="false" customHeight="false" outlineLevel="0" collapsed="false">
      <c r="A23" s="4" t="s">
        <v>134</v>
      </c>
      <c r="B23" s="4" t="s">
        <v>135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0.05</v>
      </c>
      <c r="L23" s="9" t="n">
        <v>0</v>
      </c>
      <c r="M23" s="9" t="n">
        <v>0</v>
      </c>
      <c r="N23" s="9" t="n">
        <v>0</v>
      </c>
      <c r="O23" s="9" t="n">
        <v>0</v>
      </c>
    </row>
    <row r="24" customFormat="false" ht="15" hidden="false" customHeight="false" outlineLevel="0" collapsed="false">
      <c r="A24" s="4" t="s">
        <v>136</v>
      </c>
      <c r="B24" s="4" t="s">
        <v>137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0.4</v>
      </c>
      <c r="M24" s="16" t="n">
        <v>0</v>
      </c>
      <c r="N24" s="16" t="n">
        <v>0</v>
      </c>
      <c r="O24" s="16" t="n">
        <v>0</v>
      </c>
    </row>
    <row r="25" customFormat="false" ht="15" hidden="false" customHeight="false" outlineLevel="0" collapsed="false">
      <c r="A25" s="4" t="s">
        <v>138</v>
      </c>
      <c r="B25" s="4" t="s">
        <v>139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12000</v>
      </c>
      <c r="M25" s="6" t="n">
        <v>0</v>
      </c>
      <c r="N25" s="6" t="n">
        <v>0</v>
      </c>
      <c r="O25" s="6" t="n">
        <v>0</v>
      </c>
    </row>
    <row r="26" customFormat="false" ht="15" hidden="false" customHeight="false" outlineLevel="0" collapsed="false">
      <c r="A26" s="4" t="s">
        <v>140</v>
      </c>
      <c r="B26" s="4" t="s">
        <v>141</v>
      </c>
      <c r="C26" s="6" t="n">
        <v>150</v>
      </c>
      <c r="D26" s="6" t="n">
        <v>100</v>
      </c>
      <c r="E26" s="6" t="n">
        <v>150</v>
      </c>
      <c r="F26" s="6" t="n">
        <v>50</v>
      </c>
      <c r="G26" s="6" t="n">
        <v>150</v>
      </c>
      <c r="H26" s="6" t="n">
        <v>150</v>
      </c>
      <c r="I26" s="6" t="n">
        <v>150</v>
      </c>
      <c r="J26" s="6" t="n">
        <v>100</v>
      </c>
      <c r="K26" s="6" t="n">
        <v>0</v>
      </c>
      <c r="L26" s="6" t="n">
        <v>150</v>
      </c>
      <c r="M26" s="6" t="n">
        <v>200</v>
      </c>
      <c r="N26" s="6" t="n">
        <v>200</v>
      </c>
      <c r="O26" s="6" t="n">
        <v>50</v>
      </c>
    </row>
    <row r="27" customFormat="false" ht="15" hidden="false" customHeight="false" outlineLevel="0" collapsed="false">
      <c r="A27" s="4" t="s">
        <v>142</v>
      </c>
      <c r="B27" s="4" t="s">
        <v>143</v>
      </c>
      <c r="C27" s="6" t="n">
        <v>2000</v>
      </c>
      <c r="D27" s="6" t="n">
        <v>0</v>
      </c>
      <c r="E27" s="6" t="n">
        <v>500</v>
      </c>
      <c r="F27" s="6" t="n">
        <v>0</v>
      </c>
      <c r="G27" s="6" t="n">
        <v>0</v>
      </c>
      <c r="H27" s="6" t="n">
        <v>3000</v>
      </c>
      <c r="I27" s="6" t="n">
        <v>0</v>
      </c>
      <c r="J27" s="6" t="n">
        <v>0</v>
      </c>
      <c r="K27" s="6" t="n">
        <v>0</v>
      </c>
      <c r="L27" s="6" t="n">
        <v>10000</v>
      </c>
      <c r="M27" s="6" t="n">
        <v>0</v>
      </c>
      <c r="N27" s="6" t="n">
        <v>50000</v>
      </c>
      <c r="O27" s="6" t="n">
        <v>0</v>
      </c>
    </row>
    <row r="28" customFormat="false" ht="15" hidden="false" customHeight="false" outlineLevel="0" collapsed="false">
      <c r="A28" s="4" t="s">
        <v>144</v>
      </c>
      <c r="B28" s="4" t="s">
        <v>145</v>
      </c>
      <c r="C28" s="6" t="n">
        <v>0</v>
      </c>
      <c r="D28" s="6" t="n">
        <v>0</v>
      </c>
      <c r="E28" s="6" t="n">
        <v>300</v>
      </c>
      <c r="F28" s="6" t="n">
        <v>500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1500</v>
      </c>
      <c r="M28" s="6" t="n">
        <v>0</v>
      </c>
      <c r="N28" s="6" t="n">
        <v>800</v>
      </c>
      <c r="O28" s="6" t="n">
        <v>0</v>
      </c>
    </row>
    <row r="29" customFormat="false" ht="15" hidden="false" customHeight="false" outlineLevel="0" collapsed="false">
      <c r="A29" s="4" t="s">
        <v>146</v>
      </c>
      <c r="B29" s="4" t="s">
        <v>147</v>
      </c>
      <c r="C29" s="6" t="n">
        <v>400000000</v>
      </c>
      <c r="D29" s="6" t="n">
        <v>300000000</v>
      </c>
      <c r="E29" s="6" t="n">
        <v>250000000</v>
      </c>
      <c r="F29" s="6" t="n">
        <v>350000000</v>
      </c>
      <c r="G29" s="6" t="n">
        <v>200000000</v>
      </c>
      <c r="H29" s="6" t="n">
        <v>150000000</v>
      </c>
      <c r="I29" s="6" t="n">
        <v>150000000</v>
      </c>
      <c r="J29" s="6" t="n">
        <v>150000000</v>
      </c>
      <c r="K29" s="6" t="n">
        <v>9000000000</v>
      </c>
      <c r="L29" s="6" t="n">
        <v>5000000000</v>
      </c>
      <c r="M29" s="6" t="n">
        <v>6000000000</v>
      </c>
      <c r="N29" s="6" t="n">
        <v>2500000000</v>
      </c>
      <c r="O29" s="6" t="n">
        <v>2500000000</v>
      </c>
    </row>
    <row r="30" customFormat="false" ht="15" hidden="false" customHeight="false" outlineLevel="0" collapsed="false">
      <c r="A30" s="4" t="s">
        <v>148</v>
      </c>
      <c r="B30" s="4" t="s">
        <v>149</v>
      </c>
      <c r="C30" s="6" t="n">
        <v>30000000</v>
      </c>
      <c r="D30" s="6" t="n">
        <v>20000000</v>
      </c>
      <c r="E30" s="6" t="n">
        <v>15000000</v>
      </c>
      <c r="F30" s="6" t="n">
        <v>10000000</v>
      </c>
      <c r="G30" s="6" t="n">
        <v>10000000</v>
      </c>
      <c r="H30" s="6" t="n">
        <v>10000000</v>
      </c>
      <c r="I30" s="6" t="n">
        <v>10000000</v>
      </c>
      <c r="J30" s="6" t="n">
        <v>10000000</v>
      </c>
      <c r="K30" s="6" t="n">
        <v>150000000</v>
      </c>
      <c r="L30" s="6" t="n">
        <v>50000000</v>
      </c>
      <c r="M30" s="6" t="n">
        <v>30000000</v>
      </c>
      <c r="N30" s="6" t="n">
        <v>40000000</v>
      </c>
      <c r="O30" s="6" t="n">
        <v>40000000</v>
      </c>
    </row>
    <row r="31" customFormat="false" ht="15" hidden="false" customHeight="false" outlineLevel="0" collapsed="false">
      <c r="A31" s="4" t="s">
        <v>150</v>
      </c>
      <c r="B31" s="4" t="s">
        <v>151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80000000</v>
      </c>
      <c r="N31" s="6" t="n">
        <v>0</v>
      </c>
      <c r="O31" s="6" t="n">
        <v>0</v>
      </c>
    </row>
    <row r="32" customFormat="false" ht="15" hidden="false" customHeight="false" outlineLevel="0" collapsed="false">
      <c r="A32" s="4" t="s">
        <v>152</v>
      </c>
      <c r="B32" s="4" t="s">
        <v>153</v>
      </c>
      <c r="C32" s="9" t="n">
        <v>0.85</v>
      </c>
      <c r="D32" s="9" t="n">
        <v>1</v>
      </c>
      <c r="E32" s="9" t="n">
        <v>0.85</v>
      </c>
      <c r="F32" s="9" t="n">
        <v>0.85</v>
      </c>
      <c r="G32" s="9" t="n">
        <v>0.3</v>
      </c>
      <c r="H32" s="9" t="n">
        <v>0.85</v>
      </c>
      <c r="I32" s="9" t="n">
        <v>0.6</v>
      </c>
      <c r="J32" s="9" t="n">
        <v>1</v>
      </c>
      <c r="K32" s="9" t="n">
        <v>0.85</v>
      </c>
      <c r="L32" s="9" t="n">
        <v>0.85</v>
      </c>
      <c r="M32" s="9" t="n">
        <v>1</v>
      </c>
      <c r="N32" s="9" t="n">
        <v>0.85</v>
      </c>
      <c r="O32" s="9" t="n">
        <v>0.7</v>
      </c>
    </row>
    <row r="33" customFormat="false" ht="15" hidden="false" customHeight="false" outlineLevel="0" collapsed="false">
      <c r="A33" s="4" t="s">
        <v>154</v>
      </c>
      <c r="B33" s="4" t="s">
        <v>155</v>
      </c>
      <c r="C33" s="6" t="n">
        <v>2</v>
      </c>
      <c r="D33" s="6" t="n">
        <v>2</v>
      </c>
      <c r="E33" s="6" t="n">
        <v>2</v>
      </c>
      <c r="F33" s="6" t="n">
        <v>2</v>
      </c>
      <c r="G33" s="6" t="n">
        <v>3</v>
      </c>
      <c r="H33" s="6" t="n">
        <v>2</v>
      </c>
      <c r="I33" s="6" t="n">
        <v>3</v>
      </c>
      <c r="J33" s="6" t="n">
        <v>14</v>
      </c>
      <c r="K33" s="6" t="n">
        <v>8</v>
      </c>
      <c r="L33" s="6" t="n">
        <v>9</v>
      </c>
      <c r="M33" s="6" t="n">
        <v>12</v>
      </c>
      <c r="N33" s="6" t="n">
        <v>7</v>
      </c>
      <c r="O33" s="6" t="n">
        <v>6</v>
      </c>
    </row>
    <row r="34" customFormat="false" ht="15" hidden="false" customHeight="false" outlineLevel="0" collapsed="false">
      <c r="A34" s="4" t="s">
        <v>156</v>
      </c>
      <c r="B34" s="4" t="s">
        <v>157</v>
      </c>
      <c r="C34" s="6" t="n">
        <v>4</v>
      </c>
      <c r="D34" s="6" t="n">
        <v>1</v>
      </c>
      <c r="E34" s="6" t="n">
        <v>3</v>
      </c>
      <c r="F34" s="6" t="n">
        <v>2</v>
      </c>
      <c r="G34" s="6" t="n">
        <v>4</v>
      </c>
      <c r="H34" s="6" t="n">
        <v>3</v>
      </c>
      <c r="I34" s="6" t="n">
        <v>3</v>
      </c>
      <c r="J34" s="6" t="n">
        <v>1</v>
      </c>
      <c r="K34" s="6" t="n">
        <v>4</v>
      </c>
      <c r="L34" s="6" t="n">
        <v>4</v>
      </c>
      <c r="M34" s="6" t="n">
        <v>1</v>
      </c>
      <c r="N34" s="6" t="n">
        <v>6</v>
      </c>
      <c r="O34" s="6" t="n">
        <v>3</v>
      </c>
    </row>
    <row r="35" customFormat="false" ht="15" hidden="false" customHeight="false" outlineLevel="0" collapsed="false">
      <c r="A35" s="4" t="s">
        <v>158</v>
      </c>
      <c r="B35" s="4" t="s">
        <v>159</v>
      </c>
      <c r="C35" s="9" t="n">
        <v>0.92</v>
      </c>
      <c r="D35" s="9" t="n">
        <v>0.8</v>
      </c>
      <c r="E35" s="9" t="n">
        <v>0.9</v>
      </c>
      <c r="F35" s="9" t="n">
        <v>0.9</v>
      </c>
      <c r="G35" s="9" t="n">
        <v>0.85</v>
      </c>
      <c r="H35" s="9" t="n">
        <v>0.92</v>
      </c>
      <c r="I35" s="9" t="n">
        <v>0.9</v>
      </c>
      <c r="J35" s="9" t="n">
        <v>0.65</v>
      </c>
      <c r="K35" s="9" t="n">
        <v>0.65</v>
      </c>
      <c r="L35" s="9" t="n">
        <v>0.65</v>
      </c>
      <c r="M35" s="9" t="n">
        <v>0.6</v>
      </c>
      <c r="N35" s="9" t="n">
        <v>0.6</v>
      </c>
      <c r="O35" s="9" t="n">
        <v>0.7</v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customFormat="false" ht="15" hidden="false" customHeight="false" outlineLevel="0" collapsed="false">
      <c r="A37" s="17" t="s">
        <v>160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customFormat="false" ht="15" hidden="false" customHeight="false" outlineLevel="0" collapsed="false">
      <c r="A38" s="4" t="s">
        <v>161</v>
      </c>
      <c r="B38" s="4" t="s">
        <v>162</v>
      </c>
      <c r="C38" s="8" t="n">
        <f aca="false">Inputs!$C$7*C$10</f>
        <v>1619200</v>
      </c>
      <c r="D38" s="8" t="n">
        <f aca="false">Inputs!$C$7*D$10</f>
        <v>774400</v>
      </c>
      <c r="E38" s="8" t="n">
        <f aca="false">Inputs!$C$7*E$10</f>
        <v>704000</v>
      </c>
      <c r="F38" s="8" t="n">
        <f aca="false">Inputs!$C$7*F$10</f>
        <v>528000</v>
      </c>
      <c r="G38" s="8" t="n">
        <f aca="false">Inputs!$C$7*G$10</f>
        <v>1232000</v>
      </c>
      <c r="H38" s="8" t="n">
        <f aca="false">Inputs!$C$7*H$10</f>
        <v>704000</v>
      </c>
      <c r="I38" s="8" t="n">
        <f aca="false">Inputs!$C$7*I$10</f>
        <v>211200</v>
      </c>
      <c r="J38" s="8" t="n">
        <f aca="false">Inputs!$C$7*J$10</f>
        <v>1337600</v>
      </c>
      <c r="K38" s="8" t="n">
        <f aca="false">Inputs!$C$7*K$10</f>
        <v>0</v>
      </c>
      <c r="L38" s="8" t="n">
        <f aca="false">Inputs!$C$7*L$10</f>
        <v>704000</v>
      </c>
      <c r="M38" s="8" t="n">
        <f aca="false">Inputs!$C$7*M$10</f>
        <v>880000</v>
      </c>
      <c r="N38" s="8" t="n">
        <f aca="false">Inputs!$C$7*N$10</f>
        <v>281600</v>
      </c>
      <c r="O38" s="8" t="n">
        <f aca="false">Inputs!$C$7*O$10</f>
        <v>1056000</v>
      </c>
    </row>
    <row r="39" customFormat="false" ht="15" hidden="false" customHeight="false" outlineLevel="0" collapsed="false">
      <c r="A39" s="4" t="s">
        <v>163</v>
      </c>
      <c r="B39" s="4" t="s">
        <v>164</v>
      </c>
      <c r="C39" s="8" t="n">
        <f aca="false">IF(C$6="adoption",C$38*C$11,IF(C$6="reprice",C$38,0))</f>
        <v>1376320</v>
      </c>
      <c r="D39" s="8" t="n">
        <f aca="false">IF(D$6="adoption",D$38*D$11,IF(D$6="reprice",D$38,0))</f>
        <v>774400</v>
      </c>
      <c r="E39" s="8" t="n">
        <f aca="false">IF(E$6="adoption",E$38*E$11,IF(E$6="reprice",E$38,0))</f>
        <v>563200</v>
      </c>
      <c r="F39" s="8" t="n">
        <f aca="false">IF(F$6="adoption",F$38*F$11,IF(F$6="reprice",F$38,0))</f>
        <v>475200</v>
      </c>
      <c r="G39" s="8" t="n">
        <f aca="false">IF(G$6="adoption",G$38*G$11,IF(G$6="reprice",G$38,0))</f>
        <v>985600</v>
      </c>
      <c r="H39" s="8" t="n">
        <f aca="false">IF(H$6="adoption",H$38*H$11,IF(H$6="reprice",H$38,0))</f>
        <v>492800</v>
      </c>
      <c r="I39" s="8" t="n">
        <f aca="false">IF(I$6="adoption",I$38*I$11,IF(I$6="reprice",I$38,0))</f>
        <v>168960</v>
      </c>
      <c r="J39" s="8" t="n">
        <f aca="false">IF(J$6="adoption",J$38*J$11,IF(J$6="reprice",J$38,0))</f>
        <v>1337600</v>
      </c>
      <c r="K39" s="8" t="n">
        <f aca="false">IF(K$6="adoption",K$38*K$11,IF(K$6="reprice",K$38,0))</f>
        <v>0</v>
      </c>
      <c r="L39" s="8" t="n">
        <f aca="false">IF(L$6="adoption",L$38*L$11,IF(L$6="reprice",L$38,0))</f>
        <v>563200</v>
      </c>
      <c r="M39" s="8" t="n">
        <f aca="false">IF(M$6="adoption",M$38*M$11,IF(M$6="reprice",M$38,0))</f>
        <v>880000</v>
      </c>
      <c r="N39" s="8" t="n">
        <f aca="false">IF(N$6="adoption",N$38*N$11,IF(N$6="reprice",N$38,0))</f>
        <v>197120</v>
      </c>
      <c r="O39" s="8" t="n">
        <f aca="false">IF(O$6="adoption",O$38*O$11,IF(O$6="reprice",O$38,0))</f>
        <v>950400</v>
      </c>
    </row>
    <row r="40" customFormat="false" ht="15" hidden="false" customHeight="false" outlineLevel="0" collapsed="false">
      <c r="A40" s="4" t="s">
        <v>165</v>
      </c>
      <c r="B40" s="4" t="s">
        <v>166</v>
      </c>
      <c r="C40" s="8" t="n">
        <f aca="false">IF(C$6="adoption",C$39*C$12*(1-C$13),0)</f>
        <v>132126.72</v>
      </c>
      <c r="D40" s="8" t="n">
        <f aca="false">IF(D$6="adoption",D$39*D$12*(1-D$13),0)</f>
        <v>0</v>
      </c>
      <c r="E40" s="8" t="n">
        <f aca="false">IF(E$6="adoption",E$39*E$12*(1-E$13),0)</f>
        <v>67584</v>
      </c>
      <c r="F40" s="8" t="n">
        <f aca="false">IF(F$6="adoption",F$39*F$12*(1-F$13),0)</f>
        <v>31363.2</v>
      </c>
      <c r="G40" s="8" t="n">
        <f aca="false">IF(G$6="adoption",G$39*G$12*(1-G$13),0)</f>
        <v>19712</v>
      </c>
      <c r="H40" s="8" t="n">
        <f aca="false">IF(H$6="adoption",H$39*H$12*(1-H$13),0)</f>
        <v>23654.4</v>
      </c>
      <c r="I40" s="8" t="n">
        <f aca="false">IF(I$6="adoption",I$39*I$12*(1-I$13),0)</f>
        <v>22809.6</v>
      </c>
      <c r="J40" s="8" t="n">
        <f aca="false">IF(J$6="adoption",J$39*J$12*(1-J$13),0)</f>
        <v>0</v>
      </c>
      <c r="K40" s="8" t="n">
        <f aca="false">IF(K$6="adoption",K$39*K$12*(1-K$13),0)</f>
        <v>0</v>
      </c>
      <c r="L40" s="8" t="n">
        <f aca="false">IF(L$6="adoption",L$39*L$12*(1-L$13),0)</f>
        <v>20275.2</v>
      </c>
      <c r="M40" s="8" t="n">
        <f aca="false">IF(M$6="adoption",M$39*M$12*(1-M$13),0)</f>
        <v>0</v>
      </c>
      <c r="N40" s="8" t="n">
        <f aca="false">IF(N$6="adoption",N$39*N$12*(1-N$13),0)</f>
        <v>6406.4</v>
      </c>
      <c r="O40" s="8" t="n">
        <f aca="false">IF(O$6="adoption",O$39*O$12*(1-O$13),0)</f>
        <v>85536</v>
      </c>
    </row>
    <row r="41" customFormat="false" ht="15" hidden="false" customHeight="false" outlineLevel="0" collapsed="false">
      <c r="A41" s="4" t="s">
        <v>167</v>
      </c>
      <c r="B41" s="4" t="s">
        <v>168</v>
      </c>
      <c r="C41" s="8" t="n">
        <f aca="false">IF(C$6="reprice",C$38*(1-C$19-C$15),0)</f>
        <v>0</v>
      </c>
      <c r="D41" s="8" t="n">
        <f aca="false">IF(D$6="reprice",D$38*(1-D$19-D$15),0)</f>
        <v>693088</v>
      </c>
      <c r="E41" s="8" t="n">
        <f aca="false">IF(E$6="reprice",E$38*(1-E$19-E$15),0)</f>
        <v>0</v>
      </c>
      <c r="F41" s="8" t="n">
        <f aca="false">IF(F$6="reprice",F$38*(1-F$19-F$15),0)</f>
        <v>0</v>
      </c>
      <c r="G41" s="8" t="n">
        <f aca="false">IF(G$6="reprice",G$38*(1-G$19-G$15),0)</f>
        <v>0</v>
      </c>
      <c r="H41" s="8" t="n">
        <f aca="false">IF(H$6="reprice",H$38*(1-H$19-H$15),0)</f>
        <v>0</v>
      </c>
      <c r="I41" s="8" t="n">
        <f aca="false">IF(I$6="reprice",I$38*(1-I$19-I$15),0)</f>
        <v>0</v>
      </c>
      <c r="J41" s="8" t="n">
        <f aca="false">IF(J$6="reprice",J$38*(1-J$19-J$15),0)</f>
        <v>1270720</v>
      </c>
      <c r="K41" s="8" t="n">
        <f aca="false">IF(K$6="reprice",K$38*(1-K$19-K$15),0)</f>
        <v>0</v>
      </c>
      <c r="L41" s="8" t="n">
        <f aca="false">IF(L$6="reprice",L$38*(1-L$19-L$15),0)</f>
        <v>0</v>
      </c>
      <c r="M41" s="8" t="n">
        <f aca="false">IF(M$6="reprice",M$38*(1-M$19-M$15),0)</f>
        <v>756800</v>
      </c>
      <c r="N41" s="8" t="n">
        <f aca="false">IF(N$6="reprice",N$38*(1-N$19-N$15),0)</f>
        <v>0</v>
      </c>
      <c r="O41" s="8" t="n">
        <f aca="false">IF(O$6="reprice",O$38*(1-O$19-O$15),0)</f>
        <v>0</v>
      </c>
    </row>
    <row r="42" customFormat="false" ht="15" hidden="false" customHeight="false" outlineLevel="0" collapsed="false">
      <c r="A42" s="4" t="s">
        <v>169</v>
      </c>
      <c r="B42" s="4" t="s">
        <v>170</v>
      </c>
      <c r="C42" s="8" t="n">
        <f aca="false">IF(C$6="reprice",C$38*C$19,0)</f>
        <v>0</v>
      </c>
      <c r="D42" s="8" t="n">
        <f aca="false">IF(D$6="reprice",D$38*D$19,0)</f>
        <v>61952</v>
      </c>
      <c r="E42" s="8" t="n">
        <f aca="false">IF(E$6="reprice",E$38*E$19,0)</f>
        <v>0</v>
      </c>
      <c r="F42" s="8" t="n">
        <f aca="false">IF(F$6="reprice",F$38*F$19,0)</f>
        <v>0</v>
      </c>
      <c r="G42" s="8" t="n">
        <f aca="false">IF(G$6="reprice",G$38*G$19,0)</f>
        <v>0</v>
      </c>
      <c r="H42" s="8" t="n">
        <f aca="false">IF(H$6="reprice",H$38*H$19,0)</f>
        <v>0</v>
      </c>
      <c r="I42" s="8" t="n">
        <f aca="false">IF(I$6="reprice",I$38*I$19,0)</f>
        <v>0</v>
      </c>
      <c r="J42" s="8" t="n">
        <f aca="false">IF(J$6="reprice",J$38*J$19,0)</f>
        <v>53504</v>
      </c>
      <c r="K42" s="8" t="n">
        <f aca="false">IF(K$6="reprice",K$38*K$19,0)</f>
        <v>0</v>
      </c>
      <c r="L42" s="8" t="n">
        <f aca="false">IF(L$6="reprice",L$38*L$19,0)</f>
        <v>0</v>
      </c>
      <c r="M42" s="8" t="n">
        <f aca="false">IF(M$6="reprice",M$38*M$19,0)</f>
        <v>88000</v>
      </c>
      <c r="N42" s="8" t="n">
        <f aca="false">IF(N$6="reprice",N$38*N$19,0)</f>
        <v>0</v>
      </c>
      <c r="O42" s="8" t="n">
        <f aca="false">IF(O$6="reprice",O$38*O$19,0)</f>
        <v>0</v>
      </c>
    </row>
    <row r="43" customFormat="false" ht="15" hidden="false" customHeight="false" outlineLevel="0" collapsed="false">
      <c r="A43" s="4" t="s">
        <v>171</v>
      </c>
      <c r="B43" s="4" t="s">
        <v>172</v>
      </c>
      <c r="C43" s="8" t="n">
        <f aca="false">IF(C$6="relative",0,C$39*C$15)</f>
        <v>2752.64</v>
      </c>
      <c r="D43" s="8" t="n">
        <f aca="false">IF(D$6="relative",0,D$39*D$15)</f>
        <v>19360</v>
      </c>
      <c r="E43" s="8" t="n">
        <f aca="false">IF(E$6="relative",0,E$39*E$15)</f>
        <v>0</v>
      </c>
      <c r="F43" s="8" t="n">
        <f aca="false">IF(F$6="relative",0,F$39*F$15)</f>
        <v>0</v>
      </c>
      <c r="G43" s="8" t="n">
        <f aca="false">IF(G$6="relative",0,G$39*G$15)</f>
        <v>0</v>
      </c>
      <c r="H43" s="8" t="n">
        <f aca="false">IF(H$6="relative",0,H$39*H$15)</f>
        <v>0</v>
      </c>
      <c r="I43" s="8" t="n">
        <f aca="false">IF(I$6="relative",0,I$39*I$15)</f>
        <v>0</v>
      </c>
      <c r="J43" s="8" t="n">
        <f aca="false">IF(J$6="relative",0,J$39*J$15)</f>
        <v>13376</v>
      </c>
      <c r="K43" s="8" t="n">
        <f aca="false">IF(K$6="relative",0,K$39*K$15)</f>
        <v>0</v>
      </c>
      <c r="L43" s="8" t="n">
        <f aca="false">IF(L$6="relative",0,L$39*L$15)</f>
        <v>0</v>
      </c>
      <c r="M43" s="8" t="n">
        <f aca="false">IF(M$6="relative",0,M$39*M$15)</f>
        <v>35200</v>
      </c>
      <c r="N43" s="8" t="n">
        <f aca="false">IF(N$6="relative",0,N$39*N$15)</f>
        <v>0</v>
      </c>
      <c r="O43" s="8" t="n">
        <f aca="false">IF(O$6="relative",0,O$39*O$15)</f>
        <v>0</v>
      </c>
    </row>
    <row r="44" customFormat="false" ht="15" hidden="false" customHeight="false" outlineLevel="0" collapsed="false">
      <c r="A44" s="4" t="s">
        <v>173</v>
      </c>
      <c r="B44" s="4" t="s">
        <v>174</v>
      </c>
      <c r="C44" s="8" t="n">
        <f aca="false">C$18/(1+Inputs!$C$10)</f>
        <v>0</v>
      </c>
      <c r="D44" s="8" t="n">
        <f aca="false">D$18/(1+Inputs!$C$10)</f>
        <v>4464.28571428571</v>
      </c>
      <c r="E44" s="8" t="n">
        <f aca="false">E$18/(1+Inputs!$C$10)</f>
        <v>0</v>
      </c>
      <c r="F44" s="8" t="n">
        <f aca="false">F$18/(1+Inputs!$C$10)</f>
        <v>0</v>
      </c>
      <c r="G44" s="8" t="n">
        <f aca="false">G$18/(1+Inputs!$C$10)</f>
        <v>0</v>
      </c>
      <c r="H44" s="8" t="n">
        <f aca="false">H$18/(1+Inputs!$C$10)</f>
        <v>0</v>
      </c>
      <c r="I44" s="8" t="n">
        <f aca="false">I$18/(1+Inputs!$C$10)</f>
        <v>0</v>
      </c>
      <c r="J44" s="8" t="n">
        <f aca="false">J$18/(1+Inputs!$C$10)</f>
        <v>1785.71428571429</v>
      </c>
      <c r="K44" s="8" t="n">
        <f aca="false">K$18/(1+Inputs!$C$10)</f>
        <v>0</v>
      </c>
      <c r="L44" s="8" t="n">
        <f aca="false">L$18/(1+Inputs!$C$10)</f>
        <v>0</v>
      </c>
      <c r="M44" s="8" t="n">
        <f aca="false">M$18/(1+Inputs!$C$10)</f>
        <v>5803.57142857143</v>
      </c>
      <c r="N44" s="8" t="n">
        <f aca="false">N$18/(1+Inputs!$C$10)</f>
        <v>0</v>
      </c>
      <c r="O44" s="8" t="n">
        <f aca="false">O$18/(1+Inputs!$C$10)</f>
        <v>0</v>
      </c>
    </row>
    <row r="45" customFormat="false" ht="15" hidden="false" customHeight="false" outlineLevel="0" collapsed="false">
      <c r="A45" s="4" t="s">
        <v>175</v>
      </c>
      <c r="B45" s="4" t="s">
        <v>176</v>
      </c>
      <c r="C45" s="19" t="n">
        <f aca="false">1-C$17^(1/6)</f>
        <v>0</v>
      </c>
      <c r="D45" s="19" t="n">
        <f aca="false">1-D$17^(1/6)</f>
        <v>0</v>
      </c>
      <c r="E45" s="19" t="n">
        <f aca="false">1-E$17^(1/6)</f>
        <v>0</v>
      </c>
      <c r="F45" s="19" t="n">
        <f aca="false">1-F$17^(1/6)</f>
        <v>0</v>
      </c>
      <c r="G45" s="19" t="n">
        <f aca="false">1-G$17^(1/6)</f>
        <v>0</v>
      </c>
      <c r="H45" s="19" t="n">
        <f aca="false">1-H$17^(1/6)</f>
        <v>0.0692803293467453</v>
      </c>
      <c r="I45" s="19" t="n">
        <f aca="false">1-I$17^(1/6)</f>
        <v>0</v>
      </c>
      <c r="J45" s="19" t="n">
        <f aca="false">1-J$17^(1/6)</f>
        <v>0</v>
      </c>
      <c r="K45" s="19" t="n">
        <f aca="false">1-K$17^(1/6)</f>
        <v>0</v>
      </c>
      <c r="L45" s="19" t="n">
        <f aca="false">1-L$17^(1/6)</f>
        <v>0</v>
      </c>
      <c r="M45" s="19" t="n">
        <f aca="false">1-M$17^(1/6)</f>
        <v>0</v>
      </c>
      <c r="N45" s="19" t="n">
        <f aca="false">1-N$17^(1/6)</f>
        <v>0</v>
      </c>
      <c r="O45" s="19" t="n">
        <f aca="false">1-O$17^(1/6)</f>
        <v>0</v>
      </c>
    </row>
    <row r="46" customFormat="false" ht="15" hidden="false" customHeight="false" outlineLevel="0" collapsed="false">
      <c r="A46" s="4" t="s">
        <v>177</v>
      </c>
      <c r="B46" s="4" t="s">
        <v>178</v>
      </c>
      <c r="C46" s="8" t="n">
        <f aca="false">MAX(C$33-1,1)</f>
        <v>1</v>
      </c>
      <c r="D46" s="8" t="n">
        <f aca="false">MAX(D$33-1,1)</f>
        <v>1</v>
      </c>
      <c r="E46" s="8" t="n">
        <f aca="false">MAX(E$33-1,1)</f>
        <v>1</v>
      </c>
      <c r="F46" s="8" t="n">
        <f aca="false">MAX(F$33-1,1)</f>
        <v>1</v>
      </c>
      <c r="G46" s="8" t="n">
        <f aca="false">MAX(G$33-1,1)</f>
        <v>2</v>
      </c>
      <c r="H46" s="8" t="n">
        <f aca="false">MAX(H$33-1,1)</f>
        <v>1</v>
      </c>
      <c r="I46" s="8" t="n">
        <f aca="false">MAX(I$33-1,1)</f>
        <v>2</v>
      </c>
      <c r="J46" s="8" t="n">
        <f aca="false">MAX(J$33-1,1)</f>
        <v>13</v>
      </c>
      <c r="K46" s="8" t="n">
        <f aca="false">MAX(K$33-1,1)</f>
        <v>7</v>
      </c>
      <c r="L46" s="8" t="n">
        <f aca="false">MAX(L$33-1,1)</f>
        <v>8</v>
      </c>
      <c r="M46" s="8" t="n">
        <f aca="false">MAX(M$33-1,1)</f>
        <v>11</v>
      </c>
      <c r="N46" s="8" t="n">
        <f aca="false">MAX(N$33-1,1)</f>
        <v>6</v>
      </c>
      <c r="O46" s="8" t="n">
        <f aca="false">MAX(O$33-1,1)</f>
        <v>5</v>
      </c>
    </row>
    <row r="47" customFormat="false" ht="15" hidden="false" customHeight="false" outlineLevel="0" collapsed="false">
      <c r="A47" s="4" t="s">
        <v>179</v>
      </c>
      <c r="B47" s="4" t="s">
        <v>180</v>
      </c>
      <c r="C47" s="8" t="n">
        <f aca="false">IF(C$6="reprice",2,3)</f>
        <v>3</v>
      </c>
      <c r="D47" s="8" t="n">
        <f aca="false">IF(D$6="reprice",2,3)</f>
        <v>2</v>
      </c>
      <c r="E47" s="8" t="n">
        <f aca="false">IF(E$6="reprice",2,3)</f>
        <v>3</v>
      </c>
      <c r="F47" s="8" t="n">
        <f aca="false">IF(F$6="reprice",2,3)</f>
        <v>3</v>
      </c>
      <c r="G47" s="8" t="n">
        <f aca="false">IF(G$6="reprice",2,3)</f>
        <v>3</v>
      </c>
      <c r="H47" s="8" t="n">
        <f aca="false">IF(H$6="reprice",2,3)</f>
        <v>3</v>
      </c>
      <c r="I47" s="8" t="n">
        <f aca="false">IF(I$6="reprice",2,3)</f>
        <v>3</v>
      </c>
      <c r="J47" s="8" t="n">
        <f aca="false">IF(J$6="reprice",2,3)</f>
        <v>2</v>
      </c>
      <c r="K47" s="8" t="n">
        <f aca="false">IF(K$6="reprice",2,3)</f>
        <v>3</v>
      </c>
      <c r="L47" s="8" t="n">
        <f aca="false">IF(L$6="reprice",2,3)</f>
        <v>3</v>
      </c>
      <c r="M47" s="8" t="n">
        <f aca="false">IF(M$6="reprice",2,3)</f>
        <v>2</v>
      </c>
      <c r="N47" s="8" t="n">
        <f aca="false">IF(N$6="reprice",2,3)</f>
        <v>3</v>
      </c>
      <c r="O47" s="8" t="n">
        <f aca="false">IF(O$6="reprice",2,3)</f>
        <v>3</v>
      </c>
    </row>
    <row r="48" customFormat="false" ht="15" hidden="false" customHeight="false" outlineLevel="0" collapsed="false">
      <c r="A48" s="4" t="s">
        <v>181</v>
      </c>
      <c r="B48" s="4" t="s">
        <v>182</v>
      </c>
      <c r="C48" s="8" t="n">
        <f aca="false">MIN(C$33+11,24)</f>
        <v>13</v>
      </c>
      <c r="D48" s="8" t="n">
        <f aca="false">MIN(D$33+11,24)</f>
        <v>13</v>
      </c>
      <c r="E48" s="8" t="n">
        <f aca="false">MIN(E$33+11,24)</f>
        <v>13</v>
      </c>
      <c r="F48" s="8" t="n">
        <f aca="false">MIN(F$33+11,24)</f>
        <v>13</v>
      </c>
      <c r="G48" s="8" t="n">
        <f aca="false">MIN(G$33+11,24)</f>
        <v>14</v>
      </c>
      <c r="H48" s="8" t="n">
        <f aca="false">MIN(H$33+11,24)</f>
        <v>13</v>
      </c>
      <c r="I48" s="8" t="n">
        <f aca="false">MIN(I$33+11,24)</f>
        <v>14</v>
      </c>
      <c r="J48" s="8" t="n">
        <f aca="false">MIN(J$33+11,24)</f>
        <v>24</v>
      </c>
      <c r="K48" s="8" t="n">
        <f aca="false">MIN(K$33+11,24)</f>
        <v>19</v>
      </c>
      <c r="L48" s="8" t="n">
        <f aca="false">MIN(L$33+11,24)</f>
        <v>20</v>
      </c>
      <c r="M48" s="8" t="n">
        <f aca="false">MIN(M$33+11,24)</f>
        <v>23</v>
      </c>
      <c r="N48" s="8" t="n">
        <f aca="false">MIN(N$33+11,24)</f>
        <v>18</v>
      </c>
      <c r="O48" s="8" t="n">
        <f aca="false">MIN(O$33+11,24)</f>
        <v>17</v>
      </c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customFormat="false" ht="15" hidden="false" customHeight="false" outlineLevel="0" collapsed="false">
      <c r="A50" s="17" t="s">
        <v>183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customFormat="false" ht="15" hidden="false" customHeight="false" outlineLevel="0" collapsed="false">
      <c r="A51" s="4" t="s">
        <v>184</v>
      </c>
      <c r="B51" s="4" t="s">
        <v>185</v>
      </c>
      <c r="C51" s="20" t="n">
        <f aca="false">SUM(Monthly!C14:N14)+SUM(Monthly!C15:N15)</f>
        <v>7317904847.14509</v>
      </c>
      <c r="D51" s="20" t="n">
        <f aca="false">SUM(Monthly!C28:N28)+SUM(Monthly!C29:N29)</f>
        <v>25719984730.9289</v>
      </c>
      <c r="E51" s="20" t="n">
        <f aca="false">SUM(Monthly!C42:N42)+SUM(Monthly!C43:N43)</f>
        <v>1605790695.00426</v>
      </c>
      <c r="F51" s="20" t="n">
        <f aca="false">SUM(Monthly!C56:N56)+SUM(Monthly!C57:N57)</f>
        <v>2339178436.04719</v>
      </c>
      <c r="G51" s="20" t="n">
        <f aca="false">SUM(Monthly!C70:N70)+SUM(Monthly!C71:N71)</f>
        <v>1989685651.54394</v>
      </c>
      <c r="H51" s="20" t="n">
        <f aca="false">SUM(Monthly!C84:N84)+SUM(Monthly!C85:N85)</f>
        <v>1152959272.23391</v>
      </c>
      <c r="I51" s="20" t="n">
        <f aca="false">SUM(Monthly!C98:N98)+SUM(Monthly!C99:N99)</f>
        <v>1404312329.20227</v>
      </c>
      <c r="J51" s="20" t="n">
        <f aca="false">SUM(Monthly!C112:N112)+SUM(Monthly!C113:N113)</f>
        <v>0</v>
      </c>
      <c r="K51" s="20" t="n">
        <f aca="false">SUM(Monthly!C126:N126)+SUM(Monthly!C127:N127)</f>
        <v>6180724544.65531</v>
      </c>
      <c r="L51" s="20" t="n">
        <f aca="false">SUM(Monthly!C140:N140)+SUM(Monthly!C141:N141)</f>
        <v>1350555095.89263</v>
      </c>
      <c r="M51" s="20" t="n">
        <f aca="false">SUM(Monthly!C154:N154)+SUM(Monthly!C155:N155)</f>
        <v>3952142857.14286</v>
      </c>
      <c r="N51" s="20" t="n">
        <f aca="false">SUM(Monthly!C168:N168)+SUM(Monthly!C169:N169)</f>
        <v>220884164.676543</v>
      </c>
      <c r="O51" s="20" t="n">
        <f aca="false">SUM(Monthly!C182:N182)+SUM(Monthly!C183:N183)</f>
        <v>1513985219.52099</v>
      </c>
    </row>
    <row r="52" customFormat="false" ht="15" hidden="false" customHeight="false" outlineLevel="0" collapsed="false">
      <c r="A52" s="4" t="s">
        <v>186</v>
      </c>
      <c r="B52" s="4" t="s">
        <v>187</v>
      </c>
      <c r="C52" s="20" t="n">
        <f aca="false">SUM(Monthly!O14:Z14)+SUM(Monthly!O15:Z15)</f>
        <v>8471618520.38091</v>
      </c>
      <c r="D52" s="20" t="n">
        <f aca="false">SUM(Monthly!O28:Z28)+SUM(Monthly!O29:Z29)</f>
        <v>23397644061.2481</v>
      </c>
      <c r="E52" s="20" t="n">
        <f aca="false">SUM(Monthly!O42:Z42)+SUM(Monthly!O43:Z43)</f>
        <v>1700561116.31138</v>
      </c>
      <c r="F52" s="20" t="n">
        <f aca="false">SUM(Monthly!O56:Z56)+SUM(Monthly!O57:Z57)</f>
        <v>2346720787.35669</v>
      </c>
      <c r="G52" s="20" t="n">
        <f aca="false">SUM(Monthly!O70:Z70)+SUM(Monthly!O71:Z71)</f>
        <v>2714339758.82758</v>
      </c>
      <c r="H52" s="20" t="n">
        <f aca="false">SUM(Monthly!O84:Z84)+SUM(Monthly!O85:Z85)</f>
        <v>541513119.316211</v>
      </c>
      <c r="I52" s="20" t="n">
        <f aca="false">SUM(Monthly!O98:Z98)+SUM(Monthly!O99:Z99)</f>
        <v>1756883979.20386</v>
      </c>
      <c r="J52" s="20" t="n">
        <f aca="false">SUM(Monthly!O112:Z112)+SUM(Monthly!O113:Z113)</f>
        <v>18414311479.8129</v>
      </c>
      <c r="K52" s="20" t="n">
        <f aca="false">SUM(Monthly!O126:Z126)+SUM(Monthly!O127:Z127)</f>
        <v>22106590405.8703</v>
      </c>
      <c r="L52" s="20" t="n">
        <f aca="false">SUM(Monthly!O140:Z140)+SUM(Monthly!O141:Z141)</f>
        <v>6216589534.17307</v>
      </c>
      <c r="M52" s="20" t="n">
        <f aca="false">SUM(Monthly!O154:Z154)+SUM(Monthly!O155:Z155)</f>
        <v>40127465589.5793</v>
      </c>
      <c r="N52" s="20" t="n">
        <f aca="false">SUM(Monthly!O168:Z168)+SUM(Monthly!O169:Z169)</f>
        <v>708589287.865316</v>
      </c>
      <c r="O52" s="20" t="n">
        <f aca="false">SUM(Monthly!O182:Z182)+SUM(Monthly!O183:Z183)</f>
        <v>2846906079.17289</v>
      </c>
    </row>
    <row r="53" customFormat="false" ht="15" hidden="false" customHeight="false" outlineLevel="0" collapsed="false">
      <c r="A53" s="4" t="s">
        <v>188</v>
      </c>
      <c r="B53" s="4" t="s">
        <v>189</v>
      </c>
      <c r="C53" s="20" t="n">
        <f aca="false">(Monthly!Z14+Monthly!Z15)*12</f>
        <v>8068854352.74846</v>
      </c>
      <c r="D53" s="20" t="n">
        <f aca="false">(Monthly!Z28+Monthly!Z29)*12</f>
        <v>21502080307.7385</v>
      </c>
      <c r="E53" s="20" t="n">
        <f aca="false">(Monthly!Z42+Monthly!Z43)*12</f>
        <v>1595118866.33786</v>
      </c>
      <c r="F53" s="20" t="n">
        <f aca="false">(Monthly!Z56+Monthly!Z57)*12</f>
        <v>2198901920.64531</v>
      </c>
      <c r="G53" s="20" t="n">
        <f aca="false">(Monthly!Z70+Monthly!Z71)*12</f>
        <v>2655843147.34435</v>
      </c>
      <c r="H53" s="20" t="n">
        <f aca="false">(Monthly!Z84+Monthly!Z85)*12</f>
        <v>321100959.101932</v>
      </c>
      <c r="I53" s="20" t="n">
        <f aca="false">(Monthly!Z98+Monthly!Z99)*12</f>
        <v>1695298469.58055</v>
      </c>
      <c r="J53" s="20" t="n">
        <f aca="false">(Monthly!Z112+Monthly!Z113)*12</f>
        <v>18412899715.0741</v>
      </c>
      <c r="K53" s="20" t="n">
        <f aca="false">(Monthly!Z126+Monthly!Z127)*12</f>
        <v>22631816667.0656</v>
      </c>
      <c r="L53" s="20" t="n">
        <f aca="false">(Monthly!Z140+Monthly!Z141)*12</f>
        <v>6007084362.39</v>
      </c>
      <c r="M53" s="20" t="n">
        <f aca="false">(Monthly!Z154+Monthly!Z155)*12</f>
        <v>36876532756.6541</v>
      </c>
      <c r="N53" s="20" t="n">
        <f aca="false">(Monthly!Z168+Monthly!Z169)*12</f>
        <v>673219556.790591</v>
      </c>
      <c r="O53" s="20" t="n">
        <f aca="false">(Monthly!Z182+Monthly!Z183)*12</f>
        <v>2735268323.51928</v>
      </c>
    </row>
    <row r="54" customFormat="false" ht="15" hidden="false" customHeight="false" outlineLevel="0" collapsed="false">
      <c r="A54" s="4" t="s">
        <v>190</v>
      </c>
      <c r="B54" s="4" t="s">
        <v>191</v>
      </c>
      <c r="C54" s="8" t="n">
        <f aca="false">C$53/Inputs!$C$11</f>
        <v>666847.467169294</v>
      </c>
      <c r="D54" s="8" t="n">
        <f aca="false">D$53/Inputs!$C$11</f>
        <v>1777031.43039161</v>
      </c>
      <c r="E54" s="8" t="n">
        <f aca="false">E$53/Inputs!$C$11</f>
        <v>131828.005482468</v>
      </c>
      <c r="F54" s="8" t="n">
        <f aca="false">F$53/Inputs!$C$11</f>
        <v>181727.43145829</v>
      </c>
      <c r="G54" s="8" t="n">
        <f aca="false">G$53/Inputs!$C$11</f>
        <v>219491.169202012</v>
      </c>
      <c r="H54" s="8" t="n">
        <f aca="false">H$53/Inputs!$C$11</f>
        <v>26537.2693472671</v>
      </c>
      <c r="I54" s="8" t="n">
        <f aca="false">I$53/Inputs!$C$11</f>
        <v>140107.311535582</v>
      </c>
      <c r="J54" s="8" t="n">
        <f aca="false">J$53/Inputs!$C$11</f>
        <v>1521727.24917968</v>
      </c>
      <c r="K54" s="8" t="n">
        <f aca="false">K$53/Inputs!$C$11</f>
        <v>1870398.07165832</v>
      </c>
      <c r="L54" s="8" t="n">
        <f aca="false">L$53/Inputs!$C$11</f>
        <v>496453.253090083</v>
      </c>
      <c r="M54" s="8" t="n">
        <f aca="false">M$53/Inputs!$C$11</f>
        <v>3047647.33526067</v>
      </c>
      <c r="N54" s="8" t="n">
        <f aca="false">N$53/Inputs!$C$11</f>
        <v>55637.9799000488</v>
      </c>
      <c r="O54" s="8" t="n">
        <f aca="false">O$53/Inputs!$C$11</f>
        <v>226055.233348701</v>
      </c>
    </row>
    <row r="55" customFormat="false" ht="15" hidden="false" customHeight="false" outlineLevel="0" collapsed="false">
      <c r="A55" s="4" t="s">
        <v>192</v>
      </c>
      <c r="B55" s="4" t="s">
        <v>193</v>
      </c>
      <c r="C55" s="20" t="n">
        <f aca="false">SUM(Monthly!C16:Z16)</f>
        <v>1560701440</v>
      </c>
      <c r="D55" s="20" t="n">
        <f aca="false">SUM(Monthly!C30:Z30)</f>
        <v>6264379729.49241</v>
      </c>
      <c r="E55" s="20" t="n">
        <f aca="false">SUM(Monthly!C44:Z44)</f>
        <v>1098446639.45585</v>
      </c>
      <c r="F55" s="20" t="n">
        <f aca="false">SUM(Monthly!C58:Z58)</f>
        <v>907441423.875801</v>
      </c>
      <c r="G55" s="20" t="n">
        <f aca="false">SUM(Monthly!C72:Z72)</f>
        <v>567840000</v>
      </c>
      <c r="H55" s="20" t="n">
        <f aca="false">SUM(Monthly!C86:Z86)</f>
        <v>524883200</v>
      </c>
      <c r="I55" s="20" t="n">
        <f aca="false">SUM(Monthly!C100:Z100)</f>
        <v>395344000</v>
      </c>
      <c r="J55" s="20" t="n">
        <f aca="false">SUM(Monthly!C114:Z114)</f>
        <v>1691296549.5085</v>
      </c>
      <c r="K55" s="20" t="n">
        <f aca="false">SUM(Monthly!C128:Z128)</f>
        <v>11550000000</v>
      </c>
      <c r="L55" s="20" t="n">
        <f aca="false">SUM(Monthly!C142:Z142)</f>
        <v>6498116683.79822</v>
      </c>
      <c r="M55" s="20" t="n">
        <f aca="false">SUM(Monthly!C156:Z156)</f>
        <v>10025933082.141</v>
      </c>
      <c r="N55" s="20" t="n">
        <f aca="false">SUM(Monthly!C170:Z170)</f>
        <v>3652556434.53057</v>
      </c>
      <c r="O55" s="20" t="n">
        <f aca="false">SUM(Monthly!C184:Z184)</f>
        <v>3307520000</v>
      </c>
    </row>
    <row r="56" customFormat="false" ht="15" hidden="false" customHeight="false" outlineLevel="0" collapsed="false">
      <c r="A56" s="4" t="s">
        <v>194</v>
      </c>
      <c r="B56" s="4" t="s">
        <v>195</v>
      </c>
      <c r="C56" s="20" t="n">
        <f aca="false">SUM(Monthly!C17:Z17)</f>
        <v>11860393422.3971</v>
      </c>
      <c r="D56" s="20" t="n">
        <f aca="false">SUM(Monthly!C31:Z31)</f>
        <v>42853249062.6846</v>
      </c>
      <c r="E56" s="20" t="n">
        <f aca="false">SUM(Monthly!C45:Z45)</f>
        <v>1711952400.16244</v>
      </c>
      <c r="F56" s="20" t="n">
        <f aca="false">SUM(Monthly!C59:Z59)</f>
        <v>3075572916.01749</v>
      </c>
      <c r="G56" s="20" t="n">
        <f aca="false">SUM(Monthly!C73:Z73)</f>
        <v>843367623.111454</v>
      </c>
      <c r="H56" s="20" t="n">
        <f aca="false">SUM(Monthly!C87:Z87)</f>
        <v>915418332.8176</v>
      </c>
      <c r="I56" s="20" t="n">
        <f aca="false">SUM(Monthly!C101:Z101)</f>
        <v>1501373785.04368</v>
      </c>
      <c r="J56" s="20" t="n">
        <f aca="false">SUM(Monthly!C115:Z115)</f>
        <v>16723014930.3044</v>
      </c>
      <c r="K56" s="20" t="n">
        <f aca="false">SUM(Monthly!C129:Z129)</f>
        <v>12494217707.9468</v>
      </c>
      <c r="L56" s="20" t="n">
        <f aca="false">SUM(Monthly!C143:Z143)</f>
        <v>-66043748.2423842</v>
      </c>
      <c r="M56" s="20" t="n">
        <f aca="false">SUM(Monthly!C157:Z157)</f>
        <v>34053675364.5812</v>
      </c>
      <c r="N56" s="20" t="n">
        <f aca="false">SUM(Monthly!C171:Z171)</f>
        <v>-2862503999.86999</v>
      </c>
      <c r="O56" s="20" t="n">
        <f aca="false">SUM(Monthly!C185:Z185)</f>
        <v>-254896090.914283</v>
      </c>
    </row>
    <row r="57" customFormat="false" ht="15" hidden="false" customHeight="false" outlineLevel="0" collapsed="false">
      <c r="A57" s="4" t="s">
        <v>196</v>
      </c>
      <c r="B57" s="4" t="s">
        <v>197</v>
      </c>
      <c r="C57" s="21" t="n">
        <f aca="false">IF(C$55&gt;0,C$56/C$55,0)</f>
        <v>7.59939929471526</v>
      </c>
      <c r="D57" s="21" t="n">
        <f aca="false">IF(D$55&gt;0,D$56/D$55,0)</f>
        <v>6.84078087746397</v>
      </c>
      <c r="E57" s="21" t="n">
        <f aca="false">IF(E$55&gt;0,E$56/E$55,0)</f>
        <v>1.55852122321618</v>
      </c>
      <c r="F57" s="21" t="n">
        <f aca="false">IF(F$55&gt;0,F$56/F$55,0)</f>
        <v>3.38927983128798</v>
      </c>
      <c r="G57" s="21" t="n">
        <f aca="false">IF(G$55&gt;0,G$56/G$55,0)</f>
        <v>1.48522052534421</v>
      </c>
      <c r="H57" s="21" t="n">
        <f aca="false">IF(H$55&gt;0,H$56/H$55,0)</f>
        <v>1.74404197508627</v>
      </c>
      <c r="I57" s="21" t="n">
        <f aca="false">IF(I$55&gt;0,I$56/I$55,0)</f>
        <v>3.79763898034035</v>
      </c>
      <c r="J57" s="21" t="n">
        <f aca="false">IF(J$55&gt;0,J$56/J$55,0)</f>
        <v>9.88768937958528</v>
      </c>
      <c r="K57" s="21" t="n">
        <f aca="false">IF(K$55&gt;0,K$56/K$55,0)</f>
        <v>1.08175045090448</v>
      </c>
      <c r="L57" s="21" t="n">
        <f aca="false">IF(L$55&gt;0,L$56/L$55,0)</f>
        <v>-0.010163521441074</v>
      </c>
      <c r="M57" s="21" t="n">
        <f aca="false">IF(M$55&gt;0,M$56/M$55,0)</f>
        <v>3.39655921155512</v>
      </c>
      <c r="N57" s="21" t="n">
        <f aca="false">IF(N$55&gt;0,N$56/N$55,0)</f>
        <v>-0.783698774044509</v>
      </c>
      <c r="O57" s="21" t="n">
        <f aca="false">IF(O$55&gt;0,O$56/O$55,0)</f>
        <v>-0.0770656234623774</v>
      </c>
    </row>
    <row r="58" customFormat="false" ht="15" hidden="false" customHeight="false" outlineLevel="0" collapsed="false">
      <c r="A58" s="4" t="s">
        <v>198</v>
      </c>
      <c r="B58" s="4" t="s">
        <v>199</v>
      </c>
      <c r="C58" s="22" t="n">
        <f aca="false">(INDEX(Monthly!$C$5:$Z$5,1,C$48)+INDEX(Monthly!$C$14:$Z$14,1,C$48))/(INDEX(Monthly!$C$4:$Z$4,1,C$48)+INDEX(Monthly!$C$18:$Z$18,1,C$48))/Inputs!$C$8-1</f>
        <v>0.0140794054644096</v>
      </c>
      <c r="D58" s="22" t="n">
        <f aca="false">(INDEX(Monthly!$C$5:$Z$5,1,D$48)+INDEX(Monthly!$C$28:$Z$28,1,D$48))/(INDEX(Monthly!$C$4:$Z$4,1,D$48)+INDEX(Monthly!$C$32:$Z$32,1,D$48))/Inputs!$C$8-1</f>
        <v>0.045519115304399</v>
      </c>
      <c r="E58" s="22" t="n">
        <f aca="false">(INDEX(Monthly!$C$5:$Z$5,1,E$48)+INDEX(Monthly!$C$42:$Z$42,1,E$48))/(INDEX(Monthly!$C$4:$Z$4,1,E$48)+INDEX(Monthly!$C$46:$Z$46,1,E$48))/Inputs!$C$8-1</f>
        <v>0.00266500342391263</v>
      </c>
      <c r="F58" s="22" t="n">
        <f aca="false">(INDEX(Monthly!$C$5:$Z$5,1,F$48)+INDEX(Monthly!$C$56:$Z$56,1,F$48))/(INDEX(Monthly!$C$4:$Z$4,1,F$48)+INDEX(Monthly!$C$60:$Z$60,1,F$48))/Inputs!$C$8-1</f>
        <v>0.00381928320992175</v>
      </c>
      <c r="G58" s="22" t="n">
        <f aca="false">(INDEX(Monthly!$C$5:$Z$5,1,G$48)+INDEX(Monthly!$C$70:$Z$70,1,G$48))/(INDEX(Monthly!$C$4:$Z$4,1,G$48)+INDEX(Monthly!$C$74:$Z$74,1,G$48))/Inputs!$C$8-1</f>
        <v>0.00414336405929094</v>
      </c>
      <c r="H58" s="22" t="n">
        <f aca="false">(INDEX(Monthly!$C$5:$Z$5,1,H$48)+INDEX(Monthly!$C$84:$Z$84,1,H$48))/(INDEX(Monthly!$C$4:$Z$4,1,H$48)+INDEX(Monthly!$C$88:$Z$88,1,H$48))/Inputs!$C$8-1</f>
        <v>0.00130097398539686</v>
      </c>
      <c r="I58" s="22" t="n">
        <f aca="false">(INDEX(Monthly!$C$5:$Z$5,1,I$48)+INDEX(Monthly!$C$98:$Z$98,1,I$48))/(INDEX(Monthly!$C$4:$Z$4,1,I$48)+INDEX(Monthly!$C$102:$Z$102,1,I$48))/Inputs!$C$8-1</f>
        <v>0.00264450830931495</v>
      </c>
      <c r="J58" s="22" t="n">
        <f aca="false">(INDEX(Monthly!$C$5:$Z$5,1,J$48)+INDEX(Monthly!$C$112:$Z$112,1,J$48))/(INDEX(Monthly!$C$4:$Z$4,1,J$48)+INDEX(Monthly!$C$116:$Z$116,1,J$48))/Inputs!$C$8-1</f>
        <v>0.0387801322064303</v>
      </c>
      <c r="K58" s="22" t="n">
        <f aca="false">(INDEX(Monthly!$C$5:$Z$5,1,K$48)+INDEX(Monthly!$C$126:$Z$126,1,K$48))/(INDEX(Monthly!$C$4:$Z$4,1,K$48)+INDEX(Monthly!$C$130:$Z$130,1,K$48))/Inputs!$C$8-1</f>
        <v>0.0297655959320351</v>
      </c>
      <c r="L58" s="22" t="n">
        <f aca="false">(INDEX(Monthly!$C$5:$Z$5,1,L$48)+INDEX(Monthly!$C$140:$Z$140,1,L$48))/(INDEX(Monthly!$C$4:$Z$4,1,L$48)+INDEX(Monthly!$C$144:$Z$144,1,L$48))/Inputs!$C$8-1</f>
        <v>0.00853419017545098</v>
      </c>
      <c r="M58" s="22" t="n">
        <f aca="false">(INDEX(Monthly!$C$5:$Z$5,1,M$48)+INDEX(Monthly!$C$154:$Z$154,1,M$48))/(INDEX(Monthly!$C$4:$Z$4,1,M$48)+INDEX(Monthly!$C$158:$Z$158,1,M$48))/Inputs!$C$8-1</f>
        <v>0.0808810562761764</v>
      </c>
      <c r="N58" s="22" t="n">
        <f aca="false">(INDEX(Monthly!$C$5:$Z$5,1,N$48)+INDEX(Monthly!$C$168:$Z$168,1,N$48))/(INDEX(Monthly!$C$4:$Z$4,1,N$48)+INDEX(Monthly!$C$172:$Z$172,1,N$48))/Inputs!$C$8-1</f>
        <v>0.00114043578504597</v>
      </c>
      <c r="O58" s="22" t="n">
        <f aca="false">(INDEX(Monthly!$C$5:$Z$5,1,O$48)+INDEX(Monthly!$C$182:$Z$182,1,O$48))/(INDEX(Monthly!$C$4:$Z$4,1,O$48)+INDEX(Monthly!$C$186:$Z$186,1,O$48))/Inputs!$C$8-1</f>
        <v>0.00434526650248546</v>
      </c>
    </row>
    <row r="59" customFormat="false" ht="15" hidden="false" customHeight="false" outlineLevel="0" collapsed="false">
      <c r="A59" s="4" t="s">
        <v>200</v>
      </c>
      <c r="B59" s="4" t="s">
        <v>201</v>
      </c>
      <c r="C59" s="22" t="n">
        <f aca="false">(Monthly!Z$5+Monthly!Z14)/(Monthly!Z$4+Monthly!Z18)/Inputs!$C$8-1</f>
        <v>0.0143994675076851</v>
      </c>
      <c r="D59" s="22" t="n">
        <f aca="false">(Monthly!Z$5+Monthly!Z28)/(Monthly!Z$4+Monthly!Z32)/Inputs!$C$8-1</f>
        <v>0.045519115304399</v>
      </c>
      <c r="E59" s="22" t="n">
        <f aca="false">(Monthly!Z$5+Monthly!Z42)/(Monthly!Z$4+Monthly!Z46)/Inputs!$C$8-1</f>
        <v>0.00260936270452761</v>
      </c>
      <c r="F59" s="22" t="n">
        <f aca="false">(Monthly!Z$5+Monthly!Z56)/(Monthly!Z$4+Monthly!Z60)/Inputs!$C$8-1</f>
        <v>0.00389103669302648</v>
      </c>
      <c r="G59" s="22" t="n">
        <f aca="false">(Monthly!Z$5+Monthly!Z70)/(Monthly!Z$4+Monthly!Z74)/Inputs!$C$8-1</f>
        <v>0.00442197614149698</v>
      </c>
      <c r="H59" s="22" t="n">
        <f aca="false">(Monthly!Z$5+Monthly!Z84)/(Monthly!Z$4+Monthly!Z88)/Inputs!$C$8-1</f>
        <v>0.000590576868805481</v>
      </c>
      <c r="I59" s="22" t="n">
        <f aca="false">(Monthly!Z$5+Monthly!Z98)/(Monthly!Z$4+Monthly!Z102)/Inputs!$C$8-1</f>
        <v>0.00268536833521571</v>
      </c>
      <c r="J59" s="22" t="n">
        <f aca="false">(Monthly!Z$5+Monthly!Z112)/(Monthly!Z$4+Monthly!Z116)/Inputs!$C$8-1</f>
        <v>0.0387801322064303</v>
      </c>
      <c r="K59" s="22" t="n">
        <f aca="false">(Monthly!Z$5+Monthly!Z126)/(Monthly!Z$4+Monthly!Z130)/Inputs!$C$8-1</f>
        <v>0.0296552576300506</v>
      </c>
      <c r="L59" s="22" t="n">
        <f aca="false">(Monthly!Z$5+Monthly!Z140)/(Monthly!Z$4+Monthly!Z144)/Inputs!$C$8-1</f>
        <v>0.00875385486192104</v>
      </c>
      <c r="M59" s="22" t="n">
        <f aca="false">(Monthly!Z$5+Monthly!Z154)/(Monthly!Z$4+Monthly!Z158)/Inputs!$C$8-1</f>
        <v>0.0808810562761761</v>
      </c>
      <c r="N59" s="22" t="n">
        <f aca="false">(Monthly!Z$5+Monthly!Z168)/(Monthly!Z$4+Monthly!Z172)/Inputs!$C$8-1</f>
        <v>0.00114360985217066</v>
      </c>
      <c r="O59" s="22" t="n">
        <f aca="false">(Monthly!Z$5+Monthly!Z182)/(Monthly!Z$4+Monthly!Z186)/Inputs!$C$8-1</f>
        <v>0.00432019327013733</v>
      </c>
    </row>
    <row r="60" customFormat="false" ht="15" hidden="false" customHeight="false" outlineLevel="0" collapsed="false">
      <c r="A60" s="4" t="s">
        <v>202</v>
      </c>
      <c r="B60" s="4" t="s">
        <v>203</v>
      </c>
      <c r="C60" s="20" t="n">
        <f aca="false">Monthly!Z18+Monthly!Z19</f>
        <v>1064.6633220604</v>
      </c>
      <c r="D60" s="20" t="n">
        <f aca="false">Monthly!Z32+Monthly!Z33</f>
        <v>-13989.3233583857</v>
      </c>
      <c r="E60" s="20" t="n">
        <f aca="false">Monthly!Z46+Monthly!Z47</f>
        <v>792.478516502928</v>
      </c>
      <c r="F60" s="20" t="n">
        <f aca="false">Monthly!Z60+Monthly!Z61</f>
        <v>373.846420170585</v>
      </c>
      <c r="G60" s="20" t="n">
        <f aca="false">Monthly!Z74+Monthly!Z75</f>
        <v>1128.26492245622</v>
      </c>
      <c r="H60" s="20" t="n">
        <f aca="false">Monthly!Z88+Monthly!Z89</f>
        <v>0</v>
      </c>
      <c r="I60" s="20" t="n">
        <f aca="false">Monthly!Z102+Monthly!Z103</f>
        <v>1056.820079841</v>
      </c>
      <c r="J60" s="20" t="n">
        <f aca="false">Monthly!Z116+Monthly!Z117</f>
        <v>-11587.3159773511</v>
      </c>
      <c r="K60" s="20" t="n">
        <f aca="false">Monthly!Z130+Monthly!Z131</f>
        <v>28471.1596736886</v>
      </c>
      <c r="L60" s="20" t="n">
        <f aca="false">Monthly!Z144+Monthly!Z145</f>
        <v>8081.63041168608</v>
      </c>
      <c r="M60" s="20" t="n">
        <f aca="false">Monthly!Z158+Monthly!Z159</f>
        <v>-29585.0095898039</v>
      </c>
      <c r="N60" s="20" t="n">
        <f aca="false">Monthly!Z172+Monthly!Z173</f>
        <v>231.404388192688</v>
      </c>
      <c r="O60" s="20" t="n">
        <f aca="false">Monthly!Z186+Monthly!Z187</f>
        <v>1732.81872390582</v>
      </c>
    </row>
    <row r="61" customFormat="false" ht="15" hidden="false" customHeight="false" outlineLevel="0" collapsed="false">
      <c r="A61" s="4" t="s">
        <v>204</v>
      </c>
      <c r="B61" s="4" t="s">
        <v>205</v>
      </c>
      <c r="C61" s="23" t="n">
        <f aca="false">IF(Inputs!$C$12&gt;0,C$60/Inputs!$C$12*100,0)</f>
        <v>0.00291688581386411</v>
      </c>
      <c r="D61" s="23" t="n">
        <f aca="false">IF(Inputs!$C$12&gt;0,D$60/Inputs!$C$12*100,0)</f>
        <v>-0.0383269133106458</v>
      </c>
      <c r="E61" s="23" t="n">
        <f aca="false">IF(Inputs!$C$12&gt;0,E$60/Inputs!$C$12*100,0)</f>
        <v>0.00217117401781624</v>
      </c>
      <c r="F61" s="23" t="n">
        <f aca="false">IF(Inputs!$C$12&gt;0,F$60/Inputs!$C$12*100,0)</f>
        <v>0.00102423676759064</v>
      </c>
      <c r="G61" s="23" t="n">
        <f aca="false">IF(Inputs!$C$12&gt;0,G$60/Inputs!$C$12*100,0)</f>
        <v>0.00309113677385265</v>
      </c>
      <c r="H61" s="23" t="n">
        <f aca="false">IF(Inputs!$C$12&gt;0,H$60/Inputs!$C$12*100,0)</f>
        <v>0</v>
      </c>
      <c r="I61" s="23" t="n">
        <f aca="false">IF(Inputs!$C$12&gt;0,I$60/Inputs!$C$12*100,0)</f>
        <v>0.00289539747901643</v>
      </c>
      <c r="J61" s="23" t="n">
        <f aca="false">IF(Inputs!$C$12&gt;0,J$60/Inputs!$C$12*100,0)</f>
        <v>-0.031746071170825</v>
      </c>
      <c r="K61" s="23" t="n">
        <f aca="false">IF(Inputs!$C$12&gt;0,K$60/Inputs!$C$12*100,0)</f>
        <v>0.078003177188188</v>
      </c>
      <c r="L61" s="23" t="n">
        <f aca="false">IF(Inputs!$C$12&gt;0,L$60/Inputs!$C$12*100,0)</f>
        <v>0.0221414531827016</v>
      </c>
      <c r="M61" s="23" t="n">
        <f aca="false">IF(Inputs!$C$12&gt;0,M$60/Inputs!$C$12*100,0)</f>
        <v>-0.0810548207939834</v>
      </c>
      <c r="N61" s="23" t="n">
        <f aca="false">IF(Inputs!$C$12&gt;0,N$60/Inputs!$C$12*100,0)</f>
        <v>0.000633984625185446</v>
      </c>
      <c r="O61" s="23" t="n">
        <f aca="false">IF(Inputs!$C$12&gt;0,O$60/Inputs!$C$12*100,0)</f>
        <v>0.00474744855864609</v>
      </c>
    </row>
    <row r="62" customFormat="false" ht="15" hidden="false" customHeight="false" outlineLevel="0" collapsed="false">
      <c r="A62" s="4" t="s">
        <v>206</v>
      </c>
      <c r="B62" s="4" t="s">
        <v>207</v>
      </c>
      <c r="C62" s="8" t="n">
        <f aca="false">C$56*C$35</f>
        <v>10911561948.6053</v>
      </c>
      <c r="D62" s="8" t="n">
        <f aca="false">D$56*D$35</f>
        <v>34282599250.1477</v>
      </c>
      <c r="E62" s="8" t="n">
        <f aca="false">E$56*E$35</f>
        <v>1540757160.1462</v>
      </c>
      <c r="F62" s="8" t="n">
        <f aca="false">F$56*F$35</f>
        <v>2768015624.41574</v>
      </c>
      <c r="G62" s="8" t="n">
        <f aca="false">G$56*G$35</f>
        <v>716862479.644736</v>
      </c>
      <c r="H62" s="8" t="n">
        <f aca="false">H$56*H$35</f>
        <v>842184866.192192</v>
      </c>
      <c r="I62" s="8" t="n">
        <f aca="false">I$56*I$35</f>
        <v>1351236406.53931</v>
      </c>
      <c r="J62" s="8" t="n">
        <f aca="false">J$56*J$35</f>
        <v>10869959704.6979</v>
      </c>
      <c r="K62" s="8" t="n">
        <f aca="false">K$56*K$35</f>
        <v>8121241510.16542</v>
      </c>
      <c r="L62" s="8" t="n">
        <f aca="false">L$56*L$35</f>
        <v>-42928436.3575497</v>
      </c>
      <c r="M62" s="8" t="n">
        <f aca="false">M$56*M$35</f>
        <v>20432205218.7487</v>
      </c>
      <c r="N62" s="8" t="n">
        <f aca="false">N$56*N$35</f>
        <v>-1717502399.92199</v>
      </c>
      <c r="O62" s="8" t="n">
        <f aca="false">O$56*O$35</f>
        <v>-178427263.639998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26" min="3" style="0" width="15"/>
  </cols>
  <sheetData>
    <row r="1" customFormat="false" ht="17.35" hidden="false" customHeight="false" outlineLevel="0" collapsed="false">
      <c r="A1" s="1" t="s">
        <v>208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5" t="s">
        <v>209</v>
      </c>
      <c r="B3" s="5"/>
      <c r="C3" s="5" t="n">
        <v>1</v>
      </c>
      <c r="D3" s="5" t="n">
        <v>2</v>
      </c>
      <c r="E3" s="5" t="n">
        <v>3</v>
      </c>
      <c r="F3" s="5" t="n">
        <v>4</v>
      </c>
      <c r="G3" s="5" t="n">
        <v>5</v>
      </c>
      <c r="H3" s="5" t="n">
        <v>6</v>
      </c>
      <c r="I3" s="5" t="n">
        <v>7</v>
      </c>
      <c r="J3" s="5" t="n">
        <v>8</v>
      </c>
      <c r="K3" s="5" t="n">
        <v>9</v>
      </c>
      <c r="L3" s="5" t="n">
        <v>10</v>
      </c>
      <c r="M3" s="5" t="n">
        <v>11</v>
      </c>
      <c r="N3" s="5" t="n">
        <v>12</v>
      </c>
      <c r="O3" s="5" t="n">
        <v>13</v>
      </c>
      <c r="P3" s="5" t="n">
        <v>14</v>
      </c>
      <c r="Q3" s="5" t="n">
        <v>15</v>
      </c>
      <c r="R3" s="5" t="n">
        <v>16</v>
      </c>
      <c r="S3" s="5" t="n">
        <v>17</v>
      </c>
      <c r="T3" s="5" t="n">
        <v>18</v>
      </c>
      <c r="U3" s="5" t="n">
        <v>19</v>
      </c>
      <c r="V3" s="5" t="n">
        <v>20</v>
      </c>
      <c r="W3" s="5" t="n">
        <v>21</v>
      </c>
      <c r="X3" s="5" t="n">
        <v>22</v>
      </c>
      <c r="Y3" s="5" t="n">
        <v>23</v>
      </c>
      <c r="Z3" s="5" t="n">
        <v>24</v>
      </c>
    </row>
    <row r="4" customFormat="false" ht="15" hidden="false" customHeight="false" outlineLevel="0" collapsed="false">
      <c r="A4" s="4" t="s">
        <v>210</v>
      </c>
      <c r="B4" s="4"/>
      <c r="C4" s="8" t="n">
        <f aca="false">Inputs!$C$7*(1-Inputs!$C$9)^C$3</f>
        <v>3467200</v>
      </c>
      <c r="D4" s="8" t="n">
        <f aca="false">Inputs!$C$7*(1-Inputs!$C$9)^D$3</f>
        <v>3415192</v>
      </c>
      <c r="E4" s="8" t="n">
        <f aca="false">Inputs!$C$7*(1-Inputs!$C$9)^E$3</f>
        <v>3363964.12</v>
      </c>
      <c r="F4" s="8" t="n">
        <f aca="false">Inputs!$C$7*(1-Inputs!$C$9)^F$3</f>
        <v>3313504.6582</v>
      </c>
      <c r="G4" s="8" t="n">
        <f aca="false">Inputs!$C$7*(1-Inputs!$C$9)^G$3</f>
        <v>3263802.088327</v>
      </c>
      <c r="H4" s="8" t="n">
        <f aca="false">Inputs!$C$7*(1-Inputs!$C$9)^H$3</f>
        <v>3214845.05700209</v>
      </c>
      <c r="I4" s="8" t="n">
        <f aca="false">Inputs!$C$7*(1-Inputs!$C$9)^I$3</f>
        <v>3166622.38114706</v>
      </c>
      <c r="J4" s="8" t="n">
        <f aca="false">Inputs!$C$7*(1-Inputs!$C$9)^J$3</f>
        <v>3119123.04542986</v>
      </c>
      <c r="K4" s="8" t="n">
        <f aca="false">Inputs!$C$7*(1-Inputs!$C$9)^K$3</f>
        <v>3072336.19974841</v>
      </c>
      <c r="L4" s="8" t="n">
        <f aca="false">Inputs!$C$7*(1-Inputs!$C$9)^L$3</f>
        <v>3026251.15675218</v>
      </c>
      <c r="M4" s="8" t="n">
        <f aca="false">Inputs!$C$7*(1-Inputs!$C$9)^M$3</f>
        <v>2980857.3894009</v>
      </c>
      <c r="N4" s="8" t="n">
        <f aca="false">Inputs!$C$7*(1-Inputs!$C$9)^N$3</f>
        <v>2936144.52855989</v>
      </c>
      <c r="O4" s="8" t="n">
        <f aca="false">Inputs!$C$7*(1-Inputs!$C$9)^O$3</f>
        <v>2892102.36063149</v>
      </c>
      <c r="P4" s="8" t="n">
        <f aca="false">Inputs!$C$7*(1-Inputs!$C$9)^P$3</f>
        <v>2848720.82522202</v>
      </c>
      <c r="Q4" s="8" t="n">
        <f aca="false">Inputs!$C$7*(1-Inputs!$C$9)^Q$3</f>
        <v>2805990.01284369</v>
      </c>
      <c r="R4" s="8" t="n">
        <f aca="false">Inputs!$C$7*(1-Inputs!$C$9)^R$3</f>
        <v>2763900.16265103</v>
      </c>
      <c r="S4" s="8" t="n">
        <f aca="false">Inputs!$C$7*(1-Inputs!$C$9)^S$3</f>
        <v>2722441.66021127</v>
      </c>
      <c r="T4" s="8" t="n">
        <f aca="false">Inputs!$C$7*(1-Inputs!$C$9)^T$3</f>
        <v>2681605.0353081</v>
      </c>
      <c r="U4" s="8" t="n">
        <f aca="false">Inputs!$C$7*(1-Inputs!$C$9)^U$3</f>
        <v>2641380.95977847</v>
      </c>
      <c r="V4" s="8" t="n">
        <f aca="false">Inputs!$C$7*(1-Inputs!$C$9)^V$3</f>
        <v>2601760.2453818</v>
      </c>
      <c r="W4" s="8" t="n">
        <f aca="false">Inputs!$C$7*(1-Inputs!$C$9)^W$3</f>
        <v>2562733.84170107</v>
      </c>
      <c r="X4" s="8" t="n">
        <f aca="false">Inputs!$C$7*(1-Inputs!$C$9)^X$3</f>
        <v>2524292.83407555</v>
      </c>
      <c r="Y4" s="8" t="n">
        <f aca="false">Inputs!$C$7*(1-Inputs!$C$9)^Y$3</f>
        <v>2486428.44156442</v>
      </c>
      <c r="Z4" s="8" t="n">
        <f aca="false">Inputs!$C$7*(1-Inputs!$C$9)^Z$3</f>
        <v>2449132.01494095</v>
      </c>
    </row>
    <row r="5" customFormat="false" ht="15" hidden="false" customHeight="false" outlineLevel="0" collapsed="false">
      <c r="A5" s="4" t="s">
        <v>211</v>
      </c>
      <c r="B5" s="4"/>
      <c r="C5" s="8" t="n">
        <f aca="false">C4*Inputs!$C$8</f>
        <v>64143200000</v>
      </c>
      <c r="D5" s="8" t="n">
        <f aca="false">D4*Inputs!$C$8</f>
        <v>63181052000</v>
      </c>
      <c r="E5" s="8" t="n">
        <f aca="false">E4*Inputs!$C$8</f>
        <v>62233336220</v>
      </c>
      <c r="F5" s="8" t="n">
        <f aca="false">F4*Inputs!$C$8</f>
        <v>61299836176.7</v>
      </c>
      <c r="G5" s="8" t="n">
        <f aca="false">G4*Inputs!$C$8</f>
        <v>60380338634.0495</v>
      </c>
      <c r="H5" s="8" t="n">
        <f aca="false">H4*Inputs!$C$8</f>
        <v>59474633554.5388</v>
      </c>
      <c r="I5" s="8" t="n">
        <f aca="false">I4*Inputs!$C$8</f>
        <v>58582514051.2207</v>
      </c>
      <c r="J5" s="8" t="n">
        <f aca="false">J4*Inputs!$C$8</f>
        <v>57703776340.4524</v>
      </c>
      <c r="K5" s="8" t="n">
        <f aca="false">K4*Inputs!$C$8</f>
        <v>56838219695.3456</v>
      </c>
      <c r="L5" s="8" t="n">
        <f aca="false">L4*Inputs!$C$8</f>
        <v>55985646399.9154</v>
      </c>
      <c r="M5" s="8" t="n">
        <f aca="false">M4*Inputs!$C$8</f>
        <v>55145861703.9167</v>
      </c>
      <c r="N5" s="8" t="n">
        <f aca="false">N4*Inputs!$C$8</f>
        <v>54318673778.3579</v>
      </c>
      <c r="O5" s="8" t="n">
        <f aca="false">O4*Inputs!$C$8</f>
        <v>53503893671.6825</v>
      </c>
      <c r="P5" s="8" t="n">
        <f aca="false">P4*Inputs!$C$8</f>
        <v>52701335266.6073</v>
      </c>
      <c r="Q5" s="8" t="n">
        <f aca="false">Q4*Inputs!$C$8</f>
        <v>51910815237.6082</v>
      </c>
      <c r="R5" s="8" t="n">
        <f aca="false">R4*Inputs!$C$8</f>
        <v>51132153009.0441</v>
      </c>
      <c r="S5" s="8" t="n">
        <f aca="false">S4*Inputs!$C$8</f>
        <v>50365170713.9084</v>
      </c>
      <c r="T5" s="8" t="n">
        <f aca="false">T4*Inputs!$C$8</f>
        <v>49609693153.1998</v>
      </c>
      <c r="U5" s="8" t="n">
        <f aca="false">U4*Inputs!$C$8</f>
        <v>48865547755.9018</v>
      </c>
      <c r="V5" s="8" t="n">
        <f aca="false">V4*Inputs!$C$8</f>
        <v>48132564539.5633</v>
      </c>
      <c r="W5" s="8" t="n">
        <f aca="false">W4*Inputs!$C$8</f>
        <v>47410576071.4698</v>
      </c>
      <c r="X5" s="8" t="n">
        <f aca="false">X4*Inputs!$C$8</f>
        <v>46699417430.3978</v>
      </c>
      <c r="Y5" s="8" t="n">
        <f aca="false">Y4*Inputs!$C$8</f>
        <v>45998926168.9418</v>
      </c>
      <c r="Z5" s="8" t="n">
        <f aca="false">Z4*Inputs!$C$8</f>
        <v>45308942276.4077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false" outlineLevel="0" collapsed="false">
      <c r="A7" s="17" t="s">
        <v>212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customFormat="false" ht="15" hidden="false" customHeight="false" outlineLevel="0" collapsed="false">
      <c r="A8" s="4" t="s">
        <v>213</v>
      </c>
      <c r="B8" s="4" t="s">
        <v>214</v>
      </c>
      <c r="C8" s="24" t="n">
        <f aca="false">IF(C$3&lt;Initiatives!$C$33,0,MIN((C$3-Initiatives!$C$33+1)/Initiatives!$C$34,1))</f>
        <v>0</v>
      </c>
      <c r="D8" s="24" t="n">
        <f aca="false">IF(D$3&lt;Initiatives!$C$33,0,MIN((D$3-Initiatives!$C$33+1)/Initiatives!$C$34,1))</f>
        <v>0.25</v>
      </c>
      <c r="E8" s="24" t="n">
        <f aca="false">IF(E$3&lt;Initiatives!$C$33,0,MIN((E$3-Initiatives!$C$33+1)/Initiatives!$C$34,1))</f>
        <v>0.5</v>
      </c>
      <c r="F8" s="24" t="n">
        <f aca="false">IF(F$3&lt;Initiatives!$C$33,0,MIN((F$3-Initiatives!$C$33+1)/Initiatives!$C$34,1))</f>
        <v>0.75</v>
      </c>
      <c r="G8" s="24" t="n">
        <f aca="false">IF(G$3&lt;Initiatives!$C$33,0,MIN((G$3-Initiatives!$C$33+1)/Initiatives!$C$34,1))</f>
        <v>1</v>
      </c>
      <c r="H8" s="24" t="n">
        <f aca="false">IF(H$3&lt;Initiatives!$C$33,0,MIN((H$3-Initiatives!$C$33+1)/Initiatives!$C$34,1))</f>
        <v>1</v>
      </c>
      <c r="I8" s="24" t="n">
        <f aca="false">IF(I$3&lt;Initiatives!$C$33,0,MIN((I$3-Initiatives!$C$33+1)/Initiatives!$C$34,1))</f>
        <v>1</v>
      </c>
      <c r="J8" s="24" t="n">
        <f aca="false">IF(J$3&lt;Initiatives!$C$33,0,MIN((J$3-Initiatives!$C$33+1)/Initiatives!$C$34,1))</f>
        <v>1</v>
      </c>
      <c r="K8" s="24" t="n">
        <f aca="false">IF(K$3&lt;Initiatives!$C$33,0,MIN((K$3-Initiatives!$C$33+1)/Initiatives!$C$34,1))</f>
        <v>1</v>
      </c>
      <c r="L8" s="24" t="n">
        <f aca="false">IF(L$3&lt;Initiatives!$C$33,0,MIN((L$3-Initiatives!$C$33+1)/Initiatives!$C$34,1))</f>
        <v>1</v>
      </c>
      <c r="M8" s="24" t="n">
        <f aca="false">IF(M$3&lt;Initiatives!$C$33,0,MIN((M$3-Initiatives!$C$33+1)/Initiatives!$C$34,1))</f>
        <v>1</v>
      </c>
      <c r="N8" s="24" t="n">
        <f aca="false">IF(N$3&lt;Initiatives!$C$33,0,MIN((N$3-Initiatives!$C$33+1)/Initiatives!$C$34,1))</f>
        <v>1</v>
      </c>
      <c r="O8" s="24" t="n">
        <f aca="false">IF(O$3&lt;Initiatives!$C$33,0,MIN((O$3-Initiatives!$C$33+1)/Initiatives!$C$34,1))</f>
        <v>1</v>
      </c>
      <c r="P8" s="24" t="n">
        <f aca="false">IF(P$3&lt;Initiatives!$C$33,0,MIN((P$3-Initiatives!$C$33+1)/Initiatives!$C$34,1))</f>
        <v>1</v>
      </c>
      <c r="Q8" s="24" t="n">
        <f aca="false">IF(Q$3&lt;Initiatives!$C$33,0,MIN((Q$3-Initiatives!$C$33+1)/Initiatives!$C$34,1))</f>
        <v>1</v>
      </c>
      <c r="R8" s="24" t="n">
        <f aca="false">IF(R$3&lt;Initiatives!$C$33,0,MIN((R$3-Initiatives!$C$33+1)/Initiatives!$C$34,1))</f>
        <v>1</v>
      </c>
      <c r="S8" s="24" t="n">
        <f aca="false">IF(S$3&lt;Initiatives!$C$33,0,MIN((S$3-Initiatives!$C$33+1)/Initiatives!$C$34,1))</f>
        <v>1</v>
      </c>
      <c r="T8" s="24" t="n">
        <f aca="false">IF(T$3&lt;Initiatives!$C$33,0,MIN((T$3-Initiatives!$C$33+1)/Initiatives!$C$34,1))</f>
        <v>1</v>
      </c>
      <c r="U8" s="24" t="n">
        <f aca="false">IF(U$3&lt;Initiatives!$C$33,0,MIN((U$3-Initiatives!$C$33+1)/Initiatives!$C$34,1))</f>
        <v>1</v>
      </c>
      <c r="V8" s="24" t="n">
        <f aca="false">IF(V$3&lt;Initiatives!$C$33,0,MIN((V$3-Initiatives!$C$33+1)/Initiatives!$C$34,1))</f>
        <v>1</v>
      </c>
      <c r="W8" s="24" t="n">
        <f aca="false">IF(W$3&lt;Initiatives!$C$33,0,MIN((W$3-Initiatives!$C$33+1)/Initiatives!$C$34,1))</f>
        <v>1</v>
      </c>
      <c r="X8" s="24" t="n">
        <f aca="false">IF(X$3&lt;Initiatives!$C$33,0,MIN((X$3-Initiatives!$C$33+1)/Initiatives!$C$34,1))</f>
        <v>1</v>
      </c>
      <c r="Y8" s="24" t="n">
        <f aca="false">IF(Y$3&lt;Initiatives!$C$33,0,MIN((Y$3-Initiatives!$C$33+1)/Initiatives!$C$34,1))</f>
        <v>1</v>
      </c>
      <c r="Z8" s="24" t="n">
        <f aca="false">IF(Z$3&lt;Initiatives!$C$33,0,MIN((Z$3-Initiatives!$C$33+1)/Initiatives!$C$34,1))</f>
        <v>1</v>
      </c>
    </row>
    <row r="9" customFormat="false" ht="15" hidden="false" customHeight="false" outlineLevel="0" collapsed="false">
      <c r="A9" s="4" t="s">
        <v>215</v>
      </c>
      <c r="B9" s="4" t="s">
        <v>216</v>
      </c>
      <c r="C9" s="8" t="n">
        <f aca="false">Initiatives!$C$40*C8</f>
        <v>0</v>
      </c>
      <c r="D9" s="8" t="n">
        <f aca="false">Initiatives!$C$40*D8</f>
        <v>33031.68</v>
      </c>
      <c r="E9" s="8" t="n">
        <f aca="false">Initiatives!$C$40*E8</f>
        <v>66063.36</v>
      </c>
      <c r="F9" s="8" t="n">
        <f aca="false">Initiatives!$C$40*F8</f>
        <v>99095.04</v>
      </c>
      <c r="G9" s="8" t="n">
        <f aca="false">Initiatives!$C$40*G8</f>
        <v>132126.72</v>
      </c>
      <c r="H9" s="8" t="n">
        <f aca="false">Initiatives!$C$40*H8</f>
        <v>132126.72</v>
      </c>
      <c r="I9" s="8" t="n">
        <f aca="false">Initiatives!$C$40*I8</f>
        <v>132126.72</v>
      </c>
      <c r="J9" s="8" t="n">
        <f aca="false">Initiatives!$C$40*J8</f>
        <v>132126.72</v>
      </c>
      <c r="K9" s="8" t="n">
        <f aca="false">Initiatives!$C$40*K8</f>
        <v>132126.72</v>
      </c>
      <c r="L9" s="8" t="n">
        <f aca="false">Initiatives!$C$40*L8</f>
        <v>132126.72</v>
      </c>
      <c r="M9" s="8" t="n">
        <f aca="false">Initiatives!$C$40*M8</f>
        <v>132126.72</v>
      </c>
      <c r="N9" s="8" t="n">
        <f aca="false">Initiatives!$C$40*N8</f>
        <v>132126.72</v>
      </c>
      <c r="O9" s="8" t="n">
        <f aca="false">Initiatives!$C$40*O8</f>
        <v>132126.72</v>
      </c>
      <c r="P9" s="8" t="n">
        <f aca="false">Initiatives!$C$40*P8</f>
        <v>132126.72</v>
      </c>
      <c r="Q9" s="8" t="n">
        <f aca="false">Initiatives!$C$40*Q8</f>
        <v>132126.72</v>
      </c>
      <c r="R9" s="8" t="n">
        <f aca="false">Initiatives!$C$40*R8</f>
        <v>132126.72</v>
      </c>
      <c r="S9" s="8" t="n">
        <f aca="false">Initiatives!$C$40*S8</f>
        <v>132126.72</v>
      </c>
      <c r="T9" s="8" t="n">
        <f aca="false">Initiatives!$C$40*T8</f>
        <v>132126.72</v>
      </c>
      <c r="U9" s="8" t="n">
        <f aca="false">Initiatives!$C$40*U8</f>
        <v>132126.72</v>
      </c>
      <c r="V9" s="8" t="n">
        <f aca="false">Initiatives!$C$40*V8</f>
        <v>132126.72</v>
      </c>
      <c r="W9" s="8" t="n">
        <f aca="false">Initiatives!$C$40*W8</f>
        <v>132126.72</v>
      </c>
      <c r="X9" s="8" t="n">
        <f aca="false">Initiatives!$C$40*X8</f>
        <v>132126.72</v>
      </c>
      <c r="Y9" s="8" t="n">
        <f aca="false">Initiatives!$C$40*Y8</f>
        <v>132126.72</v>
      </c>
      <c r="Z9" s="8" t="n">
        <f aca="false">Initiatives!$C$40*Z8</f>
        <v>132126.72</v>
      </c>
    </row>
    <row r="10" customFormat="false" ht="15" hidden="false" customHeight="false" outlineLevel="0" collapsed="false">
      <c r="A10" s="4" t="s">
        <v>217</v>
      </c>
      <c r="B10" s="4" t="s">
        <v>218</v>
      </c>
      <c r="C10" s="8" t="n">
        <f aca="false">MAX(C9-N(B9),0)</f>
        <v>0</v>
      </c>
      <c r="D10" s="8" t="n">
        <f aca="false">MAX(D9-N(C9),0)</f>
        <v>33031.68</v>
      </c>
      <c r="E10" s="8" t="n">
        <f aca="false">MAX(E9-N(D9),0)</f>
        <v>33031.68</v>
      </c>
      <c r="F10" s="8" t="n">
        <f aca="false">MAX(F9-N(E9),0)</f>
        <v>33031.68</v>
      </c>
      <c r="G10" s="8" t="n">
        <f aca="false">MAX(G9-N(F9),0)</f>
        <v>33031.68</v>
      </c>
      <c r="H10" s="8" t="n">
        <f aca="false">MAX(H9-N(G9),0)</f>
        <v>0</v>
      </c>
      <c r="I10" s="8" t="n">
        <f aca="false">MAX(I9-N(H9),0)</f>
        <v>0</v>
      </c>
      <c r="J10" s="8" t="n">
        <f aca="false">MAX(J9-N(I9),0)</f>
        <v>0</v>
      </c>
      <c r="K10" s="8" t="n">
        <f aca="false">MAX(K9-N(J9),0)</f>
        <v>0</v>
      </c>
      <c r="L10" s="8" t="n">
        <f aca="false">MAX(L9-N(K9),0)</f>
        <v>0</v>
      </c>
      <c r="M10" s="8" t="n">
        <f aca="false">MAX(M9-N(L9),0)</f>
        <v>0</v>
      </c>
      <c r="N10" s="8" t="n">
        <f aca="false">MAX(N9-N(M9),0)</f>
        <v>0</v>
      </c>
      <c r="O10" s="8" t="n">
        <f aca="false">MAX(O9-N(N9),0)</f>
        <v>0</v>
      </c>
      <c r="P10" s="8" t="n">
        <f aca="false">MAX(P9-N(O9),0)</f>
        <v>0</v>
      </c>
      <c r="Q10" s="8" t="n">
        <f aca="false">MAX(Q9-N(P9),0)</f>
        <v>0</v>
      </c>
      <c r="R10" s="8" t="n">
        <f aca="false">MAX(R9-N(Q9),0)</f>
        <v>0</v>
      </c>
      <c r="S10" s="8" t="n">
        <f aca="false">MAX(S9-N(R9),0)</f>
        <v>0</v>
      </c>
      <c r="T10" s="8" t="n">
        <f aca="false">MAX(T9-N(S9),0)</f>
        <v>0</v>
      </c>
      <c r="U10" s="8" t="n">
        <f aca="false">MAX(U9-N(T9),0)</f>
        <v>0</v>
      </c>
      <c r="V10" s="8" t="n">
        <f aca="false">MAX(V9-N(U9),0)</f>
        <v>0</v>
      </c>
      <c r="W10" s="8" t="n">
        <f aca="false">MAX(W9-N(V9),0)</f>
        <v>0</v>
      </c>
      <c r="X10" s="8" t="n">
        <f aca="false">MAX(X9-N(W9),0)</f>
        <v>0</v>
      </c>
      <c r="Y10" s="8" t="n">
        <f aca="false">MAX(Y9-N(X9),0)</f>
        <v>0</v>
      </c>
      <c r="Z10" s="8" t="n">
        <f aca="false">MAX(Z9-N(Y9),0)</f>
        <v>0</v>
      </c>
    </row>
    <row r="11" customFormat="false" ht="15" hidden="false" customHeight="false" outlineLevel="0" collapsed="false">
      <c r="A11" s="4" t="s">
        <v>219</v>
      </c>
      <c r="B11" s="4" t="s">
        <v>220</v>
      </c>
      <c r="C11" s="8" t="n">
        <f aca="false">IF(Initiatives!$C$6="adoption",N(B11)*(1-Inputs!$C$9)+N(B12)*Inputs!$C$9*Initiatives!$C$16,IF(Initiatives!$C$6="relative",N(B11)*(1-Inputs!$C$9)+C$4*Inputs!$C$9*Initiatives!$C$23*C8,0))</f>
        <v>0</v>
      </c>
      <c r="D11" s="8" t="n">
        <f aca="false">IF(Initiatives!$C$6="adoption",N(C11)*(1-Inputs!$C$9)+N(C12)*Inputs!$C$9*Initiatives!$C$16,IF(Initiatives!$C$6="relative",N(C11)*(1-Inputs!$C$9)+D$4*Inputs!$C$9*Initiatives!$C$23*D8,0))</f>
        <v>0</v>
      </c>
      <c r="E11" s="8" t="n">
        <f aca="false">IF(Initiatives!$C$6="adoption",N(D11)*(1-Inputs!$C$9)+N(D12)*Inputs!$C$9*Initiatives!$C$16,IF(Initiatives!$C$6="relative",N(D11)*(1-Inputs!$C$9)+E$4*Inputs!$C$9*Initiatives!$C$23*E8,0))</f>
        <v>49.54752</v>
      </c>
      <c r="F11" s="8" t="n">
        <f aca="false">IF(Initiatives!$C$6="adoption",N(E11)*(1-Inputs!$C$9)+N(E12)*Inputs!$C$9*Initiatives!$C$16,IF(Initiatives!$C$6="relative",N(E11)*(1-Inputs!$C$9)+F$4*Inputs!$C$9*Initiatives!$C$23*F8,0))</f>
        <v>147.23045568</v>
      </c>
      <c r="G11" s="8" t="n">
        <f aca="false">IF(Initiatives!$C$6="adoption",N(F11)*(1-Inputs!$C$9)+N(F12)*Inputs!$C$9*Initiatives!$C$16,IF(Initiatives!$C$6="relative",N(F11)*(1-Inputs!$C$9)+G$4*Inputs!$C$9*Initiatives!$C$23*G8,0))</f>
        <v>291.66691432032</v>
      </c>
      <c r="H11" s="8" t="n">
        <f aca="false">IF(Initiatives!$C$6="adoption",N(G11)*(1-Inputs!$C$9)+N(G12)*Inputs!$C$9*Initiatives!$C$16,IF(Initiatives!$C$6="relative",N(G11)*(1-Inputs!$C$9)+H$4*Inputs!$C$9*Initiatives!$C$23*H8,0))</f>
        <v>481.504639722116</v>
      </c>
      <c r="I11" s="8" t="n">
        <f aca="false">IF(Initiatives!$C$6="adoption",N(H11)*(1-Inputs!$C$9)+N(H12)*Inputs!$C$9*Initiatives!$C$16,IF(Initiatives!$C$6="relative",N(H11)*(1-Inputs!$C$9)+I$4*Inputs!$C$9*Initiatives!$C$23*I8,0))</f>
        <v>665.872927399811</v>
      </c>
      <c r="J11" s="8" t="n">
        <f aca="false">IF(Initiatives!$C$6="adoption",N(I11)*(1-Inputs!$C$9)+N(I12)*Inputs!$C$9*Initiatives!$C$16,IF(Initiatives!$C$6="relative",N(I11)*(1-Inputs!$C$9)+J$4*Inputs!$C$9*Initiatives!$C$23*J8,0))</f>
        <v>844.889214189147</v>
      </c>
      <c r="K11" s="8" t="n">
        <f aca="false">IF(Initiatives!$C$6="adoption",N(J11)*(1-Inputs!$C$9)+N(J12)*Inputs!$C$9*Initiatives!$C$16,IF(Initiatives!$C$6="relative",N(J11)*(1-Inputs!$C$9)+K$4*Inputs!$C$9*Initiatives!$C$23*K8,0))</f>
        <v>1018.66869753719</v>
      </c>
      <c r="L11" s="8" t="n">
        <f aca="false">IF(Initiatives!$C$6="adoption",N(K11)*(1-Inputs!$C$9)+N(K12)*Inputs!$C$9*Initiatives!$C$16,IF(Initiatives!$C$6="relative",N(K11)*(1-Inputs!$C$9)+L$4*Inputs!$C$9*Initiatives!$C$23*L8,0))</f>
        <v>1187.32437554394</v>
      </c>
      <c r="M11" s="8" t="n">
        <f aca="false">IF(Initiatives!$C$6="adoption",N(L11)*(1-Inputs!$C$9)+N(L12)*Inputs!$C$9*Initiatives!$C$16,IF(Initiatives!$C$6="relative",N(L11)*(1-Inputs!$C$9)+M$4*Inputs!$C$9*Initiatives!$C$23*M8,0))</f>
        <v>1350.96708631625</v>
      </c>
      <c r="N11" s="8" t="n">
        <f aca="false">IF(Initiatives!$C$6="adoption",N(M11)*(1-Inputs!$C$9)+N(M12)*Inputs!$C$9*Initiatives!$C$16,IF(Initiatives!$C$6="relative",N(M11)*(1-Inputs!$C$9)+N$4*Inputs!$C$9*Initiatives!$C$23*N8,0))</f>
        <v>1509.70554664549</v>
      </c>
      <c r="O11" s="8" t="n">
        <f aca="false">IF(Initiatives!$C$6="adoption",N(N11)*(1-Inputs!$C$9)+N(N12)*Inputs!$C$9*Initiatives!$C$16,IF(Initiatives!$C$6="relative",N(N11)*(1-Inputs!$C$9)+O$4*Inputs!$C$9*Initiatives!$C$23*O8,0))</f>
        <v>1663.64639002038</v>
      </c>
      <c r="P11" s="8" t="n">
        <f aca="false">IF(Initiatives!$C$6="adoption",N(O11)*(1-Inputs!$C$9)+N(O12)*Inputs!$C$9*Initiatives!$C$16,IF(Initiatives!$C$6="relative",N(O11)*(1-Inputs!$C$9)+P$4*Inputs!$C$9*Initiatives!$C$23*P8,0))</f>
        <v>1812.89420398588</v>
      </c>
      <c r="Q11" s="8" t="n">
        <f aca="false">IF(Initiatives!$C$6="adoption",N(P11)*(1-Inputs!$C$9)+N(P12)*Inputs!$C$9*Initiatives!$C$16,IF(Initiatives!$C$6="relative",N(P11)*(1-Inputs!$C$9)+Q$4*Inputs!$C$9*Initiatives!$C$23*Q8,0))</f>
        <v>1957.55156685939</v>
      </c>
      <c r="R11" s="8" t="n">
        <f aca="false">IF(Initiatives!$C$6="adoption",N(Q11)*(1-Inputs!$C$9)+N(Q12)*Inputs!$C$9*Initiatives!$C$16,IF(Initiatives!$C$6="relative",N(Q11)*(1-Inputs!$C$9)+R$4*Inputs!$C$9*Initiatives!$C$23*R8,0))</f>
        <v>2097.7190838147</v>
      </c>
      <c r="S11" s="8" t="n">
        <f aca="false">IF(Initiatives!$C$6="adoption",N(R11)*(1-Inputs!$C$9)+N(R12)*Inputs!$C$9*Initiatives!$C$16,IF(Initiatives!$C$6="relative",N(R11)*(1-Inputs!$C$9)+S$4*Inputs!$C$9*Initiatives!$C$23*S8,0))</f>
        <v>2233.49542234449</v>
      </c>
      <c r="T11" s="8" t="n">
        <f aca="false">IF(Initiatives!$C$6="adoption",N(S11)*(1-Inputs!$C$9)+N(S12)*Inputs!$C$9*Initiatives!$C$16,IF(Initiatives!$C$6="relative",N(S11)*(1-Inputs!$C$9)+T$4*Inputs!$C$9*Initiatives!$C$23*T8,0))</f>
        <v>2364.97734711171</v>
      </c>
      <c r="U11" s="8" t="n">
        <f aca="false">IF(Initiatives!$C$6="adoption",N(T11)*(1-Inputs!$C$9)+N(T12)*Inputs!$C$9*Initiatives!$C$16,IF(Initiatives!$C$6="relative",N(T11)*(1-Inputs!$C$9)+U$4*Inputs!$C$9*Initiatives!$C$23*U8,0))</f>
        <v>2492.25975420004</v>
      </c>
      <c r="V11" s="8" t="n">
        <f aca="false">IF(Initiatives!$C$6="adoption",N(U11)*(1-Inputs!$C$9)+N(U12)*Inputs!$C$9*Initiatives!$C$16,IF(Initiatives!$C$6="relative",N(U11)*(1-Inputs!$C$9)+V$4*Inputs!$C$9*Initiatives!$C$23*V8,0))</f>
        <v>2615.43570477356</v>
      </c>
      <c r="W11" s="8" t="n">
        <f aca="false">IF(Initiatives!$C$6="adoption",N(V11)*(1-Inputs!$C$9)+N(V12)*Inputs!$C$9*Initiatives!$C$16,IF(Initiatives!$C$6="relative",N(V11)*(1-Inputs!$C$9)+W$4*Inputs!$C$9*Initiatives!$C$23*W8,0))</f>
        <v>2734.59645815551</v>
      </c>
      <c r="X11" s="8" t="n">
        <f aca="false">IF(Initiatives!$C$6="adoption",N(W11)*(1-Inputs!$C$9)+N(W12)*Inputs!$C$9*Initiatives!$C$16,IF(Initiatives!$C$6="relative",N(W11)*(1-Inputs!$C$9)+X$4*Inputs!$C$9*Initiatives!$C$23*X8,0))</f>
        <v>2849.83150433586</v>
      </c>
      <c r="Y11" s="8" t="n">
        <f aca="false">IF(Initiatives!$C$6="adoption",N(X11)*(1-Inputs!$C$9)+N(X12)*Inputs!$C$9*Initiatives!$C$16,IF(Initiatives!$C$6="relative",N(X11)*(1-Inputs!$C$9)+Y$4*Inputs!$C$9*Initiatives!$C$23*Y8,0))</f>
        <v>2961.2285959173</v>
      </c>
      <c r="Z11" s="8" t="n">
        <f aca="false">IF(Initiatives!$C$6="adoption",N(Y11)*(1-Inputs!$C$9)+N(Y12)*Inputs!$C$9*Initiatives!$C$16,IF(Initiatives!$C$6="relative",N(Y11)*(1-Inputs!$C$9)+Z$4*Inputs!$C$9*Initiatives!$C$23*Z8,0))</f>
        <v>3068.87377950903</v>
      </c>
    </row>
    <row r="12" customFormat="false" ht="15" hidden="false" customHeight="false" outlineLevel="0" collapsed="false">
      <c r="A12" s="4" t="s">
        <v>221</v>
      </c>
      <c r="B12" s="4" t="s">
        <v>222</v>
      </c>
      <c r="C12" s="8" t="n">
        <f aca="false">N(B12)*(1-Initiatives!$C$45)*(1-Inputs!$C$9*(1-Initiatives!$C$16))+C10</f>
        <v>0</v>
      </c>
      <c r="D12" s="8" t="n">
        <f aca="false">N(C12)*(1-Initiatives!$C$45)*(1-Inputs!$C$9*(1-Initiatives!$C$16))+D10</f>
        <v>33031.68</v>
      </c>
      <c r="E12" s="8" t="n">
        <f aca="false">N(D12)*(1-Initiatives!$C$45)*(1-Inputs!$C$9*(1-Initiatives!$C$16))+E10</f>
        <v>65617.43232</v>
      </c>
      <c r="F12" s="8" t="n">
        <f aca="false">N(E12)*(1-Initiatives!$C$45)*(1-Inputs!$C$9*(1-Initiatives!$C$16))+F10</f>
        <v>97763.27698368</v>
      </c>
      <c r="G12" s="8" t="n">
        <f aca="false">N(F12)*(1-Initiatives!$C$45)*(1-Inputs!$C$9*(1-Initiatives!$C$16))+G10</f>
        <v>129475.1527444</v>
      </c>
      <c r="H12" s="8" t="n">
        <f aca="false">N(G12)*(1-Initiatives!$C$45)*(1-Inputs!$C$9*(1-Initiatives!$C$16))+H10</f>
        <v>127727.238182351</v>
      </c>
      <c r="I12" s="8" t="n">
        <f aca="false">N(H12)*(1-Initiatives!$C$45)*(1-Inputs!$C$9*(1-Initiatives!$C$16))+I10</f>
        <v>126002.920466889</v>
      </c>
      <c r="J12" s="8" t="n">
        <f aca="false">N(I12)*(1-Initiatives!$C$45)*(1-Inputs!$C$9*(1-Initiatives!$C$16))+J10</f>
        <v>124301.881040586</v>
      </c>
      <c r="K12" s="8" t="n">
        <f aca="false">N(J12)*(1-Initiatives!$C$45)*(1-Inputs!$C$9*(1-Initiatives!$C$16))+K10</f>
        <v>122623.805646538</v>
      </c>
      <c r="L12" s="8" t="n">
        <f aca="false">N(K12)*(1-Initiatives!$C$45)*(1-Inputs!$C$9*(1-Initiatives!$C$16))+L10</f>
        <v>120968.38427031</v>
      </c>
      <c r="M12" s="8" t="n">
        <f aca="false">N(L12)*(1-Initiatives!$C$45)*(1-Inputs!$C$9*(1-Initiatives!$C$16))+M10</f>
        <v>119335.311082661</v>
      </c>
      <c r="N12" s="8" t="n">
        <f aca="false">N(M12)*(1-Initiatives!$C$45)*(1-Inputs!$C$9*(1-Initiatives!$C$16))+N10</f>
        <v>117724.284383045</v>
      </c>
      <c r="O12" s="8" t="n">
        <f aca="false">N(N12)*(1-Initiatives!$C$45)*(1-Inputs!$C$9*(1-Initiatives!$C$16))+O10</f>
        <v>116135.006543874</v>
      </c>
      <c r="P12" s="8" t="n">
        <f aca="false">N(O12)*(1-Initiatives!$C$45)*(1-Inputs!$C$9*(1-Initiatives!$C$16))+P10</f>
        <v>114567.183955532</v>
      </c>
      <c r="Q12" s="8" t="n">
        <f aca="false">N(P12)*(1-Initiatives!$C$45)*(1-Inputs!$C$9*(1-Initiatives!$C$16))+Q10</f>
        <v>113020.526972132</v>
      </c>
      <c r="R12" s="8" t="n">
        <f aca="false">N(Q12)*(1-Initiatives!$C$45)*(1-Inputs!$C$9*(1-Initiatives!$C$16))+R10</f>
        <v>111494.749858008</v>
      </c>
      <c r="S12" s="8" t="n">
        <f aca="false">N(R12)*(1-Initiatives!$C$45)*(1-Inputs!$C$9*(1-Initiatives!$C$16))+S10</f>
        <v>109989.570734925</v>
      </c>
      <c r="T12" s="8" t="n">
        <f aca="false">N(S12)*(1-Initiatives!$C$45)*(1-Inputs!$C$9*(1-Initiatives!$C$16))+T10</f>
        <v>108504.711530004</v>
      </c>
      <c r="U12" s="8" t="n">
        <f aca="false">N(T12)*(1-Initiatives!$C$45)*(1-Inputs!$C$9*(1-Initiatives!$C$16))+U10</f>
        <v>107039.897924348</v>
      </c>
      <c r="V12" s="8" t="n">
        <f aca="false">N(U12)*(1-Initiatives!$C$45)*(1-Inputs!$C$9*(1-Initiatives!$C$16))+V10</f>
        <v>105594.85930237</v>
      </c>
      <c r="W12" s="8" t="n">
        <f aca="false">N(V12)*(1-Initiatives!$C$45)*(1-Inputs!$C$9*(1-Initiatives!$C$16))+W10</f>
        <v>104169.328701788</v>
      </c>
      <c r="X12" s="8" t="n">
        <f aca="false">N(W12)*(1-Initiatives!$C$45)*(1-Inputs!$C$9*(1-Initiatives!$C$16))+X10</f>
        <v>102763.042764314</v>
      </c>
      <c r="Y12" s="8" t="n">
        <f aca="false">N(X12)*(1-Initiatives!$C$45)*(1-Inputs!$C$9*(1-Initiatives!$C$16))+Y10</f>
        <v>101375.741686995</v>
      </c>
      <c r="Z12" s="8" t="n">
        <f aca="false">N(Y12)*(1-Initiatives!$C$45)*(1-Inputs!$C$9*(1-Initiatives!$C$16))+Z10</f>
        <v>100007.169174221</v>
      </c>
    </row>
    <row r="13" customFormat="false" ht="15" hidden="false" customHeight="false" outlineLevel="0" collapsed="false">
      <c r="A13" s="4" t="s">
        <v>223</v>
      </c>
      <c r="B13" s="4" t="s">
        <v>224</v>
      </c>
      <c r="C13" s="8" t="n">
        <f aca="false">N(B13)*(1-Inputs!$C$9)+IF(AND(C$3&gt;=Initiatives!$C$33,C$3&lt;Initiatives!$C$33+Initiatives!$C$47),Initiatives!$C$43/Initiatives!$C$47,0)</f>
        <v>0</v>
      </c>
      <c r="D13" s="8" t="n">
        <f aca="false">N(C13)*(1-Inputs!$C$9)+IF(AND(D$3&gt;=Initiatives!$C$33,D$3&lt;Initiatives!$C$33+Initiatives!$C$47),Initiatives!$C$43/Initiatives!$C$47,0)</f>
        <v>917.546666666667</v>
      </c>
      <c r="E13" s="8" t="n">
        <f aca="false">N(D13)*(1-Inputs!$C$9)+IF(AND(E$3&gt;=Initiatives!$C$33,E$3&lt;Initiatives!$C$33+Initiatives!$C$47),Initiatives!$C$43/Initiatives!$C$47,0)</f>
        <v>1821.33013333333</v>
      </c>
      <c r="F13" s="8" t="n">
        <f aca="false">N(E13)*(1-Inputs!$C$9)+IF(AND(F$3&gt;=Initiatives!$C$33,F$3&lt;Initiatives!$C$33+Initiatives!$C$47),Initiatives!$C$43/Initiatives!$C$47,0)</f>
        <v>2711.556848</v>
      </c>
      <c r="G13" s="8" t="n">
        <f aca="false">N(F13)*(1-Inputs!$C$9)+IF(AND(G$3&gt;=Initiatives!$C$33,G$3&lt;Initiatives!$C$33+Initiatives!$C$47),Initiatives!$C$43/Initiatives!$C$47,0)</f>
        <v>2670.88349528</v>
      </c>
      <c r="H13" s="8" t="n">
        <f aca="false">N(G13)*(1-Inputs!$C$9)+IF(AND(H$3&gt;=Initiatives!$C$33,H$3&lt;Initiatives!$C$33+Initiatives!$C$47),Initiatives!$C$43/Initiatives!$C$47,0)</f>
        <v>2630.8202428508</v>
      </c>
      <c r="I13" s="8" t="n">
        <f aca="false">N(H13)*(1-Inputs!$C$9)+IF(AND(I$3&gt;=Initiatives!$C$33,I$3&lt;Initiatives!$C$33+Initiatives!$C$47),Initiatives!$C$43/Initiatives!$C$47,0)</f>
        <v>2591.35793920804</v>
      </c>
      <c r="J13" s="8" t="n">
        <f aca="false">N(I13)*(1-Inputs!$C$9)+IF(AND(J$3&gt;=Initiatives!$C$33,J$3&lt;Initiatives!$C$33+Initiatives!$C$47),Initiatives!$C$43/Initiatives!$C$47,0)</f>
        <v>2552.48757011992</v>
      </c>
      <c r="K13" s="8" t="n">
        <f aca="false">N(J13)*(1-Inputs!$C$9)+IF(AND(K$3&gt;=Initiatives!$C$33,K$3&lt;Initiatives!$C$33+Initiatives!$C$47),Initiatives!$C$43/Initiatives!$C$47,0)</f>
        <v>2514.20025656812</v>
      </c>
      <c r="L13" s="8" t="n">
        <f aca="false">N(K13)*(1-Inputs!$C$9)+IF(AND(L$3&gt;=Initiatives!$C$33,L$3&lt;Initiatives!$C$33+Initiatives!$C$47),Initiatives!$C$43/Initiatives!$C$47,0)</f>
        <v>2476.4872527196</v>
      </c>
      <c r="M13" s="8" t="n">
        <f aca="false">N(L13)*(1-Inputs!$C$9)+IF(AND(M$3&gt;=Initiatives!$C$33,M$3&lt;Initiatives!$C$33+Initiatives!$C$47),Initiatives!$C$43/Initiatives!$C$47,0)</f>
        <v>2439.3399439288</v>
      </c>
      <c r="N13" s="8" t="n">
        <f aca="false">N(M13)*(1-Inputs!$C$9)+IF(AND(N$3&gt;=Initiatives!$C$33,N$3&lt;Initiatives!$C$33+Initiatives!$C$47),Initiatives!$C$43/Initiatives!$C$47,0)</f>
        <v>2402.74984476987</v>
      </c>
      <c r="O13" s="8" t="n">
        <f aca="false">N(N13)*(1-Inputs!$C$9)+IF(AND(O$3&gt;=Initiatives!$C$33,O$3&lt;Initiatives!$C$33+Initiatives!$C$47),Initiatives!$C$43/Initiatives!$C$47,0)</f>
        <v>2366.70859709832</v>
      </c>
      <c r="P13" s="8" t="n">
        <f aca="false">N(O13)*(1-Inputs!$C$9)+IF(AND(P$3&gt;=Initiatives!$C$33,P$3&lt;Initiatives!$C$33+Initiatives!$C$47),Initiatives!$C$43/Initiatives!$C$47,0)</f>
        <v>2331.20796814185</v>
      </c>
      <c r="Q13" s="8" t="n">
        <f aca="false">N(P13)*(1-Inputs!$C$9)+IF(AND(Q$3&gt;=Initiatives!$C$33,Q$3&lt;Initiatives!$C$33+Initiatives!$C$47),Initiatives!$C$43/Initiatives!$C$47,0)</f>
        <v>2296.23984861972</v>
      </c>
      <c r="R13" s="8" t="n">
        <f aca="false">N(Q13)*(1-Inputs!$C$9)+IF(AND(R$3&gt;=Initiatives!$C$33,R$3&lt;Initiatives!$C$33+Initiatives!$C$47),Initiatives!$C$43/Initiatives!$C$47,0)</f>
        <v>2261.79625089042</v>
      </c>
      <c r="S13" s="8" t="n">
        <f aca="false">N(R13)*(1-Inputs!$C$9)+IF(AND(S$3&gt;=Initiatives!$C$33,S$3&lt;Initiatives!$C$33+Initiatives!$C$47),Initiatives!$C$43/Initiatives!$C$47,0)</f>
        <v>2227.86930712707</v>
      </c>
      <c r="T13" s="8" t="n">
        <f aca="false">N(S13)*(1-Inputs!$C$9)+IF(AND(T$3&gt;=Initiatives!$C$33,T$3&lt;Initiatives!$C$33+Initiatives!$C$47),Initiatives!$C$43/Initiatives!$C$47,0)</f>
        <v>2194.45126752016</v>
      </c>
      <c r="U13" s="8" t="n">
        <f aca="false">N(T13)*(1-Inputs!$C$9)+IF(AND(U$3&gt;=Initiatives!$C$33,U$3&lt;Initiatives!$C$33+Initiatives!$C$47),Initiatives!$C$43/Initiatives!$C$47,0)</f>
        <v>2161.53449850736</v>
      </c>
      <c r="V13" s="8" t="n">
        <f aca="false">N(U13)*(1-Inputs!$C$9)+IF(AND(V$3&gt;=Initiatives!$C$33,V$3&lt;Initiatives!$C$33+Initiatives!$C$47),Initiatives!$C$43/Initiatives!$C$47,0)</f>
        <v>2129.11148102975</v>
      </c>
      <c r="W13" s="8" t="n">
        <f aca="false">N(V13)*(1-Inputs!$C$9)+IF(AND(W$3&gt;=Initiatives!$C$33,W$3&lt;Initiatives!$C$33+Initiatives!$C$47),Initiatives!$C$43/Initiatives!$C$47,0)</f>
        <v>2097.1748088143</v>
      </c>
      <c r="X13" s="8" t="n">
        <f aca="false">N(W13)*(1-Inputs!$C$9)+IF(AND(X$3&gt;=Initiatives!$C$33,X$3&lt;Initiatives!$C$33+Initiatives!$C$47),Initiatives!$C$43/Initiatives!$C$47,0)</f>
        <v>2065.71718668209</v>
      </c>
      <c r="Y13" s="8" t="n">
        <f aca="false">N(X13)*(1-Inputs!$C$9)+IF(AND(Y$3&gt;=Initiatives!$C$33,Y$3&lt;Initiatives!$C$33+Initiatives!$C$47),Initiatives!$C$43/Initiatives!$C$47,0)</f>
        <v>2034.73142888186</v>
      </c>
      <c r="Z13" s="8" t="n">
        <f aca="false">N(Y13)*(1-Inputs!$C$9)+IF(AND(Z$3&gt;=Initiatives!$C$33,Z$3&lt;Initiatives!$C$33+Initiatives!$C$47),Initiatives!$C$43/Initiatives!$C$47,0)</f>
        <v>2004.21045744863</v>
      </c>
    </row>
    <row r="14" customFormat="false" ht="15" hidden="false" customHeight="false" outlineLevel="0" collapsed="false">
      <c r="A14" s="4" t="s">
        <v>225</v>
      </c>
      <c r="B14" s="4" t="s">
        <v>226</v>
      </c>
      <c r="C14" s="8" t="n">
        <f aca="false">IF(Initiatives!$C$6="adoption",C12*Initiatives!$C$14+C11*Initiatives!$C$9-C13*Initiatives!$C$9,IF(Initiatives!$C$6="reprice",IF(C$3&gt;=Initiatives!$C$33,(Initiatives!$C$41*Initiatives!$C$44+Initiatives!$C$42*Initiatives!$C$20)*(1-Inputs!$C$9)^(C$3-Initiatives!$C$33),0)-C13*Initiatives!$C$9,C$5*Initiatives!$C$22*C8+C11*Inputs!$C$8))</f>
        <v>0</v>
      </c>
      <c r="D14" s="8" t="n">
        <f aca="false">IF(Initiatives!$C$6="adoption",D12*Initiatives!$C$14+D11*Initiatives!$C$9-D13*Initiatives!$C$9,IF(Initiatives!$C$6="reprice",IF(D$3&gt;=Initiatives!$C$33,(Initiatives!$C$41*Initiatives!$C$44+Initiatives!$C$42*Initiatives!$C$20)*(1-Inputs!$C$9)^(D$3-Initiatives!$C$33),0)-D13*Initiatives!$C$9,D$5*Initiatives!$C$22*D8+D11*Inputs!$C$8))</f>
        <v>195437440</v>
      </c>
      <c r="E14" s="8" t="n">
        <f aca="false">IF(Initiatives!$C$6="adoption",E12*Initiatives!$C$14+E11*Initiatives!$C$9-E13*Initiatives!$C$9,IF(Initiatives!$C$6="reprice",IF(E$3&gt;=Initiatives!$C$33,(Initiatives!$C$41*Initiatives!$C$44+Initiatives!$C$42*Initiatives!$C$20)*(1-Inputs!$C$9)^(E$3-Initiatives!$C$33),0)-E13*Initiatives!$C$9,E$5*Initiatives!$C$22*E8+E11*Inputs!$C$8))</f>
        <v>389305875.2</v>
      </c>
      <c r="F14" s="8" t="n">
        <f aca="false">IF(Initiatives!$C$6="adoption",F12*Initiatives!$C$14+F11*Initiatives!$C$9-F13*Initiatives!$C$9,IF(Initiatives!$C$6="reprice",IF(F$3&gt;=Initiatives!$C$33,(Initiatives!$C$41*Initiatives!$C$44+Initiatives!$C$42*Initiatives!$C$20)*(1-Inputs!$C$9)^(F$3-Initiatives!$C$33),0)-F13*Initiatives!$C$9,F$5*Initiatives!$C$22*F8+F11*Inputs!$C$8))</f>
        <v>581610446.1552</v>
      </c>
      <c r="G14" s="8" t="n">
        <f aca="false">IF(Initiatives!$C$6="adoption",G12*Initiatives!$C$14+G11*Initiatives!$C$9-G13*Initiatives!$C$9,IF(Initiatives!$C$6="reprice",IF(G$3&gt;=Initiatives!$C$33,(Initiatives!$C$41*Initiatives!$C$44+Initiatives!$C$42*Initiatives!$C$20)*(1-Inputs!$C$9)^(G$3-Initiatives!$C$33),0)-G13*Initiatives!$C$9,G$5*Initiatives!$C$22*G8+G11*Inputs!$C$8))</f>
        <v>791624944.638449</v>
      </c>
      <c r="H14" s="8" t="n">
        <f aca="false">IF(Initiatives!$C$6="adoption",H12*Initiatives!$C$14+H11*Initiatives!$C$9-H13*Initiatives!$C$9,IF(Initiatives!$C$6="reprice",IF(H$3&gt;=Initiatives!$C$33,(Initiatives!$C$41*Initiatives!$C$44+Initiatives!$C$42*Initiatives!$C$20)*(1-Inputs!$C$9)^(H$3-Initiatives!$C$33),0)-H13*Initiatives!$C$9,H$5*Initiatives!$C$22*H8+H11*Inputs!$C$8))</f>
        <v>785091420.519579</v>
      </c>
      <c r="I14" s="8" t="n">
        <f aca="false">IF(Initiatives!$C$6="adoption",I12*Initiatives!$C$14+I11*Initiatives!$C$9-I13*Initiatives!$C$9,IF(Initiatives!$C$6="reprice",IF(I$3&gt;=Initiatives!$C$33,(Initiatives!$C$41*Initiatives!$C$44+Initiatives!$C$42*Initiatives!$C$20)*(1-Inputs!$C$9)^(I$3-Initiatives!$C$33),0)-I13*Initiatives!$C$9,I$5*Initiatives!$C$22*I8+I11*Inputs!$C$8))</f>
        <v>778583797.786807</v>
      </c>
      <c r="J14" s="8" t="n">
        <f aca="false">IF(Initiatives!$C$6="adoption",J12*Initiatives!$C$14+J11*Initiatives!$C$9-J13*Initiatives!$C$9,IF(Initiatives!$C$6="reprice",IF(J$3&gt;=Initiatives!$C$33,(Initiatives!$C$41*Initiatives!$C$44+Initiatives!$C$42*Initiatives!$C$20)*(1-Inputs!$C$9)^(J$3-Initiatives!$C$33),0)-J13*Initiatives!$C$9,J$5*Initiatives!$C$22*J8+J11*Inputs!$C$8))</f>
        <v>772102661.289264</v>
      </c>
      <c r="K14" s="8" t="n">
        <f aca="false">IF(Initiatives!$C$6="adoption",K12*Initiatives!$C$14+K11*Initiatives!$C$9-K13*Initiatives!$C$9,IF(Initiatives!$C$6="reprice",IF(K$3&gt;=Initiatives!$C$33,(Initiatives!$C$41*Initiatives!$C$44+Initiatives!$C$42*Initiatives!$C$20)*(1-Inputs!$C$9)^(K$3-Initiatives!$C$33),0)-K13*Initiatives!$C$9,K$5*Initiatives!$C$22*K8+K11*Inputs!$C$8))</f>
        <v>765648573.962849</v>
      </c>
      <c r="L14" s="8" t="n">
        <f aca="false">IF(Initiatives!$C$6="adoption",L12*Initiatives!$C$14+L11*Initiatives!$C$9-L13*Initiatives!$C$9,IF(Initiatives!$C$6="reprice",IF(L$3&gt;=Initiatives!$C$33,(Initiatives!$C$41*Initiatives!$C$44+Initiatives!$C$42*Initiatives!$C$20)*(1-Inputs!$C$9)^(L$3-Initiatives!$C$33),0)-L13*Initiatives!$C$9,L$5*Initiatives!$C$22*L8+L11*Inputs!$C$8))</f>
        <v>759222077.336327</v>
      </c>
      <c r="M14" s="8" t="n">
        <f aca="false">IF(Initiatives!$C$6="adoption",M12*Initiatives!$C$14+M11*Initiatives!$C$9-M13*Initiatives!$C$9,IF(Initiatives!$C$6="reprice",IF(M$3&gt;=Initiatives!$C$33,(Initiatives!$C$41*Initiatives!$C$44+Initiatives!$C$42*Initiatives!$C$20)*(1-Inputs!$C$9)^(M$3-Initiatives!$C$33),0)-M13*Initiatives!$C$9,M$5*Initiatives!$C$22*M8+M11*Inputs!$C$8))</f>
        <v>752823692.027432</v>
      </c>
      <c r="N14" s="8" t="n">
        <f aca="false">IF(Initiatives!$C$6="adoption",N12*Initiatives!$C$14+N11*Initiatives!$C$9-N13*Initiatives!$C$9,IF(Initiatives!$C$6="reprice",IF(N$3&gt;=Initiatives!$C$33,(Initiatives!$C$41*Initiatives!$C$44+Initiatives!$C$42*Initiatives!$C$20)*(1-Inputs!$C$9)^(N$3-Initiatives!$C$33),0)-N13*Initiatives!$C$9,N$5*Initiatives!$C$22*N8+N11*Inputs!$C$8))</f>
        <v>746453918.22918</v>
      </c>
      <c r="O14" s="8" t="n">
        <f aca="false">IF(Initiatives!$C$6="adoption",O12*Initiatives!$C$14+O11*Initiatives!$C$9-O13*Initiatives!$C$9,IF(Initiatives!$C$6="reprice",IF(O$3&gt;=Initiatives!$C$33,(Initiatives!$C$41*Initiatives!$C$44+Initiatives!$C$42*Initiatives!$C$20)*(1-Inputs!$C$9)^(O$3-Initiatives!$C$33),0)-O13*Initiatives!$C$9,O$5*Initiatives!$C$22*O8+O11*Inputs!$C$8))</f>
        <v>740113236.186543</v>
      </c>
      <c r="P14" s="8" t="n">
        <f aca="false">IF(Initiatives!$C$6="adoption",P12*Initiatives!$C$14+P11*Initiatives!$C$9-P13*Initiatives!$C$9,IF(Initiatives!$C$6="reprice",IF(P$3&gt;=Initiatives!$C$33,(Initiatives!$C$41*Initiatives!$C$44+Initiatives!$C$42*Initiatives!$C$20)*(1-Inputs!$C$9)^(P$3-Initiatives!$C$33),0)-P13*Initiatives!$C$9,P$5*Initiatives!$C$22*P8+P11*Inputs!$C$8))</f>
        <v>733802106.66368</v>
      </c>
      <c r="Q14" s="8" t="n">
        <f aca="false">IF(Initiatives!$C$6="adoption",Q12*Initiatives!$C$14+Q11*Initiatives!$C$9-Q13*Initiatives!$C$9,IF(Initiatives!$C$6="reprice",IF(Q$3&gt;=Initiatives!$C$33,(Initiatives!$C$41*Initiatives!$C$44+Initiatives!$C$42*Initiatives!$C$20)*(1-Inputs!$C$9)^(Q$3-Initiatives!$C$33),0)-Q13*Initiatives!$C$9,Q$5*Initiatives!$C$22*Q8+Q11*Inputs!$C$8))</f>
        <v>727520971.40189</v>
      </c>
      <c r="R14" s="8" t="n">
        <f aca="false">IF(Initiatives!$C$6="adoption",R12*Initiatives!$C$14+R11*Initiatives!$C$9-R13*Initiatives!$C$9,IF(Initiatives!$C$6="reprice",IF(R$3&gt;=Initiatives!$C$33,(Initiatives!$C$41*Initiatives!$C$44+Initiatives!$C$42*Initiatives!$C$20)*(1-Inputs!$C$9)^(R$3-Initiatives!$C$33),0)-R13*Initiatives!$C$9,R$5*Initiatives!$C$22*R8+R11*Inputs!$C$8))</f>
        <v>721270253.568463</v>
      </c>
      <c r="S14" s="8" t="n">
        <f aca="false">IF(Initiatives!$C$6="adoption",S12*Initiatives!$C$14+S11*Initiatives!$C$9-S13*Initiatives!$C$9,IF(Initiatives!$C$6="reprice",IF(S$3&gt;=Initiatives!$C$33,(Initiatives!$C$41*Initiatives!$C$44+Initiatives!$C$42*Initiatives!$C$20)*(1-Inputs!$C$9)^(S$3-Initiatives!$C$33),0)-S13*Initiatives!$C$9,S$5*Initiatives!$C$22*S8+S11*Inputs!$C$8))</f>
        <v>715050358.196578</v>
      </c>
      <c r="T14" s="8" t="n">
        <f aca="false">IF(Initiatives!$C$6="adoption",T12*Initiatives!$C$14+T11*Initiatives!$C$9-T13*Initiatives!$C$9,IF(Initiatives!$C$6="reprice",IF(T$3&gt;=Initiatives!$C$33,(Initiatives!$C$41*Initiatives!$C$44+Initiatives!$C$42*Initiatives!$C$20)*(1-Inputs!$C$9)^(T$3-Initiatives!$C$33),0)-T13*Initiatives!$C$9,T$5*Initiatives!$C$22*T8+T11*Inputs!$C$8))</f>
        <v>708861672.616445</v>
      </c>
      <c r="U14" s="8" t="n">
        <f aca="false">IF(Initiatives!$C$6="adoption",U12*Initiatives!$C$14+U11*Initiatives!$C$9-U13*Initiatives!$C$9,IF(Initiatives!$C$6="reprice",IF(U$3&gt;=Initiatives!$C$33,(Initiatives!$C$41*Initiatives!$C$44+Initiatives!$C$42*Initiatives!$C$20)*(1-Inputs!$C$9)^(U$3-Initiatives!$C$33),0)-U13*Initiatives!$C$9,U$5*Initiatives!$C$22*U8+U11*Inputs!$C$8))</f>
        <v>702704566.877811</v>
      </c>
      <c r="V14" s="8" t="n">
        <f aca="false">IF(Initiatives!$C$6="adoption",V12*Initiatives!$C$14+V11*Initiatives!$C$9-V13*Initiatives!$C$9,IF(Initiatives!$C$6="reprice",IF(V$3&gt;=Initiatives!$C$33,(Initiatives!$C$41*Initiatives!$C$44+Initiatives!$C$42*Initiatives!$C$20)*(1-Inputs!$C$9)^(V$3-Initiatives!$C$33),0)-V13*Initiatives!$C$9,V$5*Initiatives!$C$22*V8+V11*Inputs!$C$8))</f>
        <v>696579394.164024</v>
      </c>
      <c r="W14" s="8" t="n">
        <f aca="false">IF(Initiatives!$C$6="adoption",W12*Initiatives!$C$14+W11*Initiatives!$C$9-W13*Initiatives!$C$9,IF(Initiatives!$C$6="reprice",IF(W$3&gt;=Initiatives!$C$33,(Initiatives!$C$41*Initiatives!$C$44+Initiatives!$C$42*Initiatives!$C$20)*(1-Inputs!$C$9)^(W$3-Initiatives!$C$33),0)-W13*Initiatives!$C$9,W$5*Initiatives!$C$22*W8+W11*Inputs!$C$8))</f>
        <v>690486491.197786</v>
      </c>
      <c r="X14" s="8" t="n">
        <f aca="false">IF(Initiatives!$C$6="adoption",X12*Initiatives!$C$14+X11*Initiatives!$C$9-X13*Initiatives!$C$9,IF(Initiatives!$C$6="reprice",IF(X$3&gt;=Initiatives!$C$33,(Initiatives!$C$41*Initiatives!$C$44+Initiatives!$C$42*Initiatives!$C$20)*(1-Inputs!$C$9)^(X$3-Initiatives!$C$33),0)-X13*Initiatives!$C$9,X$5*Initiatives!$C$22*X8+X11*Inputs!$C$8))</f>
        <v>684426178.638768</v>
      </c>
      <c r="Y14" s="8" t="n">
        <f aca="false">IF(Initiatives!$C$6="adoption",Y12*Initiatives!$C$14+Y11*Initiatives!$C$9-Y13*Initiatives!$C$9,IF(Initiatives!$C$6="reprice",IF(Y$3&gt;=Initiatives!$C$33,(Initiatives!$C$41*Initiatives!$C$44+Initiatives!$C$42*Initiatives!$C$20)*(1-Inputs!$C$9)^(Y$3-Initiatives!$C$33),0)-Y13*Initiatives!$C$9,Y$5*Initiatives!$C$22*Y8+Y11*Inputs!$C$8))</f>
        <v>678398761.473215</v>
      </c>
      <c r="Z14" s="8" t="n">
        <f aca="false">IF(Initiatives!$C$6="adoption",Z12*Initiatives!$C$14+Z11*Initiatives!$C$9-Z13*Initiatives!$C$9,IF(Initiatives!$C$6="reprice",IF(Z$3&gt;=Initiatives!$C$33,(Initiatives!$C$41*Initiatives!$C$44+Initiatives!$C$42*Initiatives!$C$20)*(1-Inputs!$C$9)^(Z$3-Initiatives!$C$33),0)-Z13*Initiatives!$C$9,Z$5*Initiatives!$C$22*Z8+Z11*Inputs!$C$8))</f>
        <v>672404529.395705</v>
      </c>
    </row>
    <row r="15" customFormat="false" ht="15" hidden="false" customHeight="false" outlineLevel="0" collapsed="false">
      <c r="A15" s="4" t="s">
        <v>227</v>
      </c>
      <c r="B15" s="4" t="s">
        <v>228</v>
      </c>
      <c r="C15" s="8" t="n">
        <f aca="false">C12*Initiatives!$C$24*Initiatives!$C$25</f>
        <v>0</v>
      </c>
      <c r="D15" s="8" t="n">
        <f aca="false">D12*Initiatives!$C$24*Initiatives!$C$25</f>
        <v>0</v>
      </c>
      <c r="E15" s="8" t="n">
        <f aca="false">E12*Initiatives!$C$24*Initiatives!$C$25</f>
        <v>0</v>
      </c>
      <c r="F15" s="8" t="n">
        <f aca="false">F12*Initiatives!$C$24*Initiatives!$C$25</f>
        <v>0</v>
      </c>
      <c r="G15" s="8" t="n">
        <f aca="false">G12*Initiatives!$C$24*Initiatives!$C$25</f>
        <v>0</v>
      </c>
      <c r="H15" s="8" t="n">
        <f aca="false">H12*Initiatives!$C$24*Initiatives!$C$25</f>
        <v>0</v>
      </c>
      <c r="I15" s="8" t="n">
        <f aca="false">I12*Initiatives!$C$24*Initiatives!$C$25</f>
        <v>0</v>
      </c>
      <c r="J15" s="8" t="n">
        <f aca="false">J12*Initiatives!$C$24*Initiatives!$C$25</f>
        <v>0</v>
      </c>
      <c r="K15" s="8" t="n">
        <f aca="false">K12*Initiatives!$C$24*Initiatives!$C$25</f>
        <v>0</v>
      </c>
      <c r="L15" s="8" t="n">
        <f aca="false">L12*Initiatives!$C$24*Initiatives!$C$25</f>
        <v>0</v>
      </c>
      <c r="M15" s="8" t="n">
        <f aca="false">M12*Initiatives!$C$24*Initiatives!$C$25</f>
        <v>0</v>
      </c>
      <c r="N15" s="8" t="n">
        <f aca="false">N12*Initiatives!$C$24*Initiatives!$C$25</f>
        <v>0</v>
      </c>
      <c r="O15" s="8" t="n">
        <f aca="false">O12*Initiatives!$C$24*Initiatives!$C$25</f>
        <v>0</v>
      </c>
      <c r="P15" s="8" t="n">
        <f aca="false">P12*Initiatives!$C$24*Initiatives!$C$25</f>
        <v>0</v>
      </c>
      <c r="Q15" s="8" t="n">
        <f aca="false">Q12*Initiatives!$C$24*Initiatives!$C$25</f>
        <v>0</v>
      </c>
      <c r="R15" s="8" t="n">
        <f aca="false">R12*Initiatives!$C$24*Initiatives!$C$25</f>
        <v>0</v>
      </c>
      <c r="S15" s="8" t="n">
        <f aca="false">S12*Initiatives!$C$24*Initiatives!$C$25</f>
        <v>0</v>
      </c>
      <c r="T15" s="8" t="n">
        <f aca="false">T12*Initiatives!$C$24*Initiatives!$C$25</f>
        <v>0</v>
      </c>
      <c r="U15" s="8" t="n">
        <f aca="false">U12*Initiatives!$C$24*Initiatives!$C$25</f>
        <v>0</v>
      </c>
      <c r="V15" s="8" t="n">
        <f aca="false">V12*Initiatives!$C$24*Initiatives!$C$25</f>
        <v>0</v>
      </c>
      <c r="W15" s="8" t="n">
        <f aca="false">W12*Initiatives!$C$24*Initiatives!$C$25</f>
        <v>0</v>
      </c>
      <c r="X15" s="8" t="n">
        <f aca="false">X12*Initiatives!$C$24*Initiatives!$C$25</f>
        <v>0</v>
      </c>
      <c r="Y15" s="8" t="n">
        <f aca="false">Y12*Initiatives!$C$24*Initiatives!$C$25</f>
        <v>0</v>
      </c>
      <c r="Z15" s="8" t="n">
        <f aca="false">Z12*Initiatives!$C$24*Initiatives!$C$25</f>
        <v>0</v>
      </c>
    </row>
    <row r="16" customFormat="false" ht="15" hidden="false" customHeight="false" outlineLevel="0" collapsed="false">
      <c r="A16" s="4" t="s">
        <v>229</v>
      </c>
      <c r="B16" s="4" t="s">
        <v>230</v>
      </c>
      <c r="C16" s="8" t="n">
        <f aca="false">IF(C$3&lt;=Initiatives!$C$46,Initiatives!$C$29/Initiatives!$C$46,0)+IF(C$3&gt;=Initiatives!$C$33,Initiatives!$C$30,0)+IF(C$3=Initiatives!$C$33,Initiatives!$C$39*Initiatives!$C$26,0)+C10*Initiatives!$C$27+C12*Initiatives!$C$28+IF(AND(Initiatives!$C$6="reprice",C$3&gt;=Initiatives!$C$33),Initiatives!$C$41*Initiatives!$C$21*(1-Inputs!$C$9)^(C$3-Initiatives!$C$33)-Initiatives!$C$31,0)</f>
        <v>400000000</v>
      </c>
      <c r="D16" s="8" t="n">
        <f aca="false">IF(D$3&lt;=Initiatives!$C$46,Initiatives!$C$29/Initiatives!$C$46,0)+IF(D$3&gt;=Initiatives!$C$33,Initiatives!$C$30,0)+IF(D$3=Initiatives!$C$33,Initiatives!$C$39*Initiatives!$C$26,0)+D10*Initiatives!$C$27+D12*Initiatives!$C$28+IF(AND(Initiatives!$C$6="reprice",D$3&gt;=Initiatives!$C$33),Initiatives!$C$41*Initiatives!$C$21*(1-Inputs!$C$9)^(D$3-Initiatives!$C$33)-Initiatives!$C$31,0)</f>
        <v>302511360</v>
      </c>
      <c r="E16" s="8" t="n">
        <f aca="false">IF(E$3&lt;=Initiatives!$C$46,Initiatives!$C$29/Initiatives!$C$46,0)+IF(E$3&gt;=Initiatives!$C$33,Initiatives!$C$30,0)+IF(E$3=Initiatives!$C$33,Initiatives!$C$39*Initiatives!$C$26,0)+E10*Initiatives!$C$27+E12*Initiatives!$C$28+IF(AND(Initiatives!$C$6="reprice",E$3&gt;=Initiatives!$C$33),Initiatives!$C$41*Initiatives!$C$21*(1-Inputs!$C$9)^(E$3-Initiatives!$C$33)-Initiatives!$C$31,0)</f>
        <v>96063360</v>
      </c>
      <c r="F16" s="8" t="n">
        <f aca="false">IF(F$3&lt;=Initiatives!$C$46,Initiatives!$C$29/Initiatives!$C$46,0)+IF(F$3&gt;=Initiatives!$C$33,Initiatives!$C$30,0)+IF(F$3=Initiatives!$C$33,Initiatives!$C$39*Initiatives!$C$26,0)+F10*Initiatives!$C$27+F12*Initiatives!$C$28+IF(AND(Initiatives!$C$6="reprice",F$3&gt;=Initiatives!$C$33),Initiatives!$C$41*Initiatives!$C$21*(1-Inputs!$C$9)^(F$3-Initiatives!$C$33)-Initiatives!$C$31,0)</f>
        <v>96063360</v>
      </c>
      <c r="G16" s="8" t="n">
        <f aca="false">IF(G$3&lt;=Initiatives!$C$46,Initiatives!$C$29/Initiatives!$C$46,0)+IF(G$3&gt;=Initiatives!$C$33,Initiatives!$C$30,0)+IF(G$3=Initiatives!$C$33,Initiatives!$C$39*Initiatives!$C$26,0)+G10*Initiatives!$C$27+G12*Initiatives!$C$28+IF(AND(Initiatives!$C$6="reprice",G$3&gt;=Initiatives!$C$33),Initiatives!$C$41*Initiatives!$C$21*(1-Inputs!$C$9)^(G$3-Initiatives!$C$33)-Initiatives!$C$31,0)</f>
        <v>96063360</v>
      </c>
      <c r="H16" s="8" t="n">
        <f aca="false">IF(H$3&lt;=Initiatives!$C$46,Initiatives!$C$29/Initiatives!$C$46,0)+IF(H$3&gt;=Initiatives!$C$33,Initiatives!$C$30,0)+IF(H$3=Initiatives!$C$33,Initiatives!$C$39*Initiatives!$C$26,0)+H10*Initiatives!$C$27+H12*Initiatives!$C$28+IF(AND(Initiatives!$C$6="reprice",H$3&gt;=Initiatives!$C$33),Initiatives!$C$41*Initiatives!$C$21*(1-Inputs!$C$9)^(H$3-Initiatives!$C$33)-Initiatives!$C$31,0)</f>
        <v>30000000</v>
      </c>
      <c r="I16" s="8" t="n">
        <f aca="false">IF(I$3&lt;=Initiatives!$C$46,Initiatives!$C$29/Initiatives!$C$46,0)+IF(I$3&gt;=Initiatives!$C$33,Initiatives!$C$30,0)+IF(I$3=Initiatives!$C$33,Initiatives!$C$39*Initiatives!$C$26,0)+I10*Initiatives!$C$27+I12*Initiatives!$C$28+IF(AND(Initiatives!$C$6="reprice",I$3&gt;=Initiatives!$C$33),Initiatives!$C$41*Initiatives!$C$21*(1-Inputs!$C$9)^(I$3-Initiatives!$C$33)-Initiatives!$C$31,0)</f>
        <v>30000000</v>
      </c>
      <c r="J16" s="8" t="n">
        <f aca="false">IF(J$3&lt;=Initiatives!$C$46,Initiatives!$C$29/Initiatives!$C$46,0)+IF(J$3&gt;=Initiatives!$C$33,Initiatives!$C$30,0)+IF(J$3=Initiatives!$C$33,Initiatives!$C$39*Initiatives!$C$26,0)+J10*Initiatives!$C$27+J12*Initiatives!$C$28+IF(AND(Initiatives!$C$6="reprice",J$3&gt;=Initiatives!$C$33),Initiatives!$C$41*Initiatives!$C$21*(1-Inputs!$C$9)^(J$3-Initiatives!$C$33)-Initiatives!$C$31,0)</f>
        <v>30000000</v>
      </c>
      <c r="K16" s="8" t="n">
        <f aca="false">IF(K$3&lt;=Initiatives!$C$46,Initiatives!$C$29/Initiatives!$C$46,0)+IF(K$3&gt;=Initiatives!$C$33,Initiatives!$C$30,0)+IF(K$3=Initiatives!$C$33,Initiatives!$C$39*Initiatives!$C$26,0)+K10*Initiatives!$C$27+K12*Initiatives!$C$28+IF(AND(Initiatives!$C$6="reprice",K$3&gt;=Initiatives!$C$33),Initiatives!$C$41*Initiatives!$C$21*(1-Inputs!$C$9)^(K$3-Initiatives!$C$33)-Initiatives!$C$31,0)</f>
        <v>30000000</v>
      </c>
      <c r="L16" s="8" t="n">
        <f aca="false">IF(L$3&lt;=Initiatives!$C$46,Initiatives!$C$29/Initiatives!$C$46,0)+IF(L$3&gt;=Initiatives!$C$33,Initiatives!$C$30,0)+IF(L$3=Initiatives!$C$33,Initiatives!$C$39*Initiatives!$C$26,0)+L10*Initiatives!$C$27+L12*Initiatives!$C$28+IF(AND(Initiatives!$C$6="reprice",L$3&gt;=Initiatives!$C$33),Initiatives!$C$41*Initiatives!$C$21*(1-Inputs!$C$9)^(L$3-Initiatives!$C$33)-Initiatives!$C$31,0)</f>
        <v>30000000</v>
      </c>
      <c r="M16" s="8" t="n">
        <f aca="false">IF(M$3&lt;=Initiatives!$C$46,Initiatives!$C$29/Initiatives!$C$46,0)+IF(M$3&gt;=Initiatives!$C$33,Initiatives!$C$30,0)+IF(M$3=Initiatives!$C$33,Initiatives!$C$39*Initiatives!$C$26,0)+M10*Initiatives!$C$27+M12*Initiatives!$C$28+IF(AND(Initiatives!$C$6="reprice",M$3&gt;=Initiatives!$C$33),Initiatives!$C$41*Initiatives!$C$21*(1-Inputs!$C$9)^(M$3-Initiatives!$C$33)-Initiatives!$C$31,0)</f>
        <v>30000000</v>
      </c>
      <c r="N16" s="8" t="n">
        <f aca="false">IF(N$3&lt;=Initiatives!$C$46,Initiatives!$C$29/Initiatives!$C$46,0)+IF(N$3&gt;=Initiatives!$C$33,Initiatives!$C$30,0)+IF(N$3=Initiatives!$C$33,Initiatives!$C$39*Initiatives!$C$26,0)+N10*Initiatives!$C$27+N12*Initiatives!$C$28+IF(AND(Initiatives!$C$6="reprice",N$3&gt;=Initiatives!$C$33),Initiatives!$C$41*Initiatives!$C$21*(1-Inputs!$C$9)^(N$3-Initiatives!$C$33)-Initiatives!$C$31,0)</f>
        <v>30000000</v>
      </c>
      <c r="O16" s="8" t="n">
        <f aca="false">IF(O$3&lt;=Initiatives!$C$46,Initiatives!$C$29/Initiatives!$C$46,0)+IF(O$3&gt;=Initiatives!$C$33,Initiatives!$C$30,0)+IF(O$3=Initiatives!$C$33,Initiatives!$C$39*Initiatives!$C$26,0)+O10*Initiatives!$C$27+O12*Initiatives!$C$28+IF(AND(Initiatives!$C$6="reprice",O$3&gt;=Initiatives!$C$33),Initiatives!$C$41*Initiatives!$C$21*(1-Inputs!$C$9)^(O$3-Initiatives!$C$33)-Initiatives!$C$31,0)</f>
        <v>30000000</v>
      </c>
      <c r="P16" s="8" t="n">
        <f aca="false">IF(P$3&lt;=Initiatives!$C$46,Initiatives!$C$29/Initiatives!$C$46,0)+IF(P$3&gt;=Initiatives!$C$33,Initiatives!$C$30,0)+IF(P$3=Initiatives!$C$33,Initiatives!$C$39*Initiatives!$C$26,0)+P10*Initiatives!$C$27+P12*Initiatives!$C$28+IF(AND(Initiatives!$C$6="reprice",P$3&gt;=Initiatives!$C$33),Initiatives!$C$41*Initiatives!$C$21*(1-Inputs!$C$9)^(P$3-Initiatives!$C$33)-Initiatives!$C$31,0)</f>
        <v>30000000</v>
      </c>
      <c r="Q16" s="8" t="n">
        <f aca="false">IF(Q$3&lt;=Initiatives!$C$46,Initiatives!$C$29/Initiatives!$C$46,0)+IF(Q$3&gt;=Initiatives!$C$33,Initiatives!$C$30,0)+IF(Q$3=Initiatives!$C$33,Initiatives!$C$39*Initiatives!$C$26,0)+Q10*Initiatives!$C$27+Q12*Initiatives!$C$28+IF(AND(Initiatives!$C$6="reprice",Q$3&gt;=Initiatives!$C$33),Initiatives!$C$41*Initiatives!$C$21*(1-Inputs!$C$9)^(Q$3-Initiatives!$C$33)-Initiatives!$C$31,0)</f>
        <v>30000000</v>
      </c>
      <c r="R16" s="8" t="n">
        <f aca="false">IF(R$3&lt;=Initiatives!$C$46,Initiatives!$C$29/Initiatives!$C$46,0)+IF(R$3&gt;=Initiatives!$C$33,Initiatives!$C$30,0)+IF(R$3=Initiatives!$C$33,Initiatives!$C$39*Initiatives!$C$26,0)+R10*Initiatives!$C$27+R12*Initiatives!$C$28+IF(AND(Initiatives!$C$6="reprice",R$3&gt;=Initiatives!$C$33),Initiatives!$C$41*Initiatives!$C$21*(1-Inputs!$C$9)^(R$3-Initiatives!$C$33)-Initiatives!$C$31,0)</f>
        <v>30000000</v>
      </c>
      <c r="S16" s="8" t="n">
        <f aca="false">IF(S$3&lt;=Initiatives!$C$46,Initiatives!$C$29/Initiatives!$C$46,0)+IF(S$3&gt;=Initiatives!$C$33,Initiatives!$C$30,0)+IF(S$3=Initiatives!$C$33,Initiatives!$C$39*Initiatives!$C$26,0)+S10*Initiatives!$C$27+S12*Initiatives!$C$28+IF(AND(Initiatives!$C$6="reprice",S$3&gt;=Initiatives!$C$33),Initiatives!$C$41*Initiatives!$C$21*(1-Inputs!$C$9)^(S$3-Initiatives!$C$33)-Initiatives!$C$31,0)</f>
        <v>30000000</v>
      </c>
      <c r="T16" s="8" t="n">
        <f aca="false">IF(T$3&lt;=Initiatives!$C$46,Initiatives!$C$29/Initiatives!$C$46,0)+IF(T$3&gt;=Initiatives!$C$33,Initiatives!$C$30,0)+IF(T$3=Initiatives!$C$33,Initiatives!$C$39*Initiatives!$C$26,0)+T10*Initiatives!$C$27+T12*Initiatives!$C$28+IF(AND(Initiatives!$C$6="reprice",T$3&gt;=Initiatives!$C$33),Initiatives!$C$41*Initiatives!$C$21*(1-Inputs!$C$9)^(T$3-Initiatives!$C$33)-Initiatives!$C$31,0)</f>
        <v>30000000</v>
      </c>
      <c r="U16" s="8" t="n">
        <f aca="false">IF(U$3&lt;=Initiatives!$C$46,Initiatives!$C$29/Initiatives!$C$46,0)+IF(U$3&gt;=Initiatives!$C$33,Initiatives!$C$30,0)+IF(U$3=Initiatives!$C$33,Initiatives!$C$39*Initiatives!$C$26,0)+U10*Initiatives!$C$27+U12*Initiatives!$C$28+IF(AND(Initiatives!$C$6="reprice",U$3&gt;=Initiatives!$C$33),Initiatives!$C$41*Initiatives!$C$21*(1-Inputs!$C$9)^(U$3-Initiatives!$C$33)-Initiatives!$C$31,0)</f>
        <v>30000000</v>
      </c>
      <c r="V16" s="8" t="n">
        <f aca="false">IF(V$3&lt;=Initiatives!$C$46,Initiatives!$C$29/Initiatives!$C$46,0)+IF(V$3&gt;=Initiatives!$C$33,Initiatives!$C$30,0)+IF(V$3=Initiatives!$C$33,Initiatives!$C$39*Initiatives!$C$26,0)+V10*Initiatives!$C$27+V12*Initiatives!$C$28+IF(AND(Initiatives!$C$6="reprice",V$3&gt;=Initiatives!$C$33),Initiatives!$C$41*Initiatives!$C$21*(1-Inputs!$C$9)^(V$3-Initiatives!$C$33)-Initiatives!$C$31,0)</f>
        <v>30000000</v>
      </c>
      <c r="W16" s="8" t="n">
        <f aca="false">IF(W$3&lt;=Initiatives!$C$46,Initiatives!$C$29/Initiatives!$C$46,0)+IF(W$3&gt;=Initiatives!$C$33,Initiatives!$C$30,0)+IF(W$3=Initiatives!$C$33,Initiatives!$C$39*Initiatives!$C$26,0)+W10*Initiatives!$C$27+W12*Initiatives!$C$28+IF(AND(Initiatives!$C$6="reprice",W$3&gt;=Initiatives!$C$33),Initiatives!$C$41*Initiatives!$C$21*(1-Inputs!$C$9)^(W$3-Initiatives!$C$33)-Initiatives!$C$31,0)</f>
        <v>30000000</v>
      </c>
      <c r="X16" s="8" t="n">
        <f aca="false">IF(X$3&lt;=Initiatives!$C$46,Initiatives!$C$29/Initiatives!$C$46,0)+IF(X$3&gt;=Initiatives!$C$33,Initiatives!$C$30,0)+IF(X$3=Initiatives!$C$33,Initiatives!$C$39*Initiatives!$C$26,0)+X10*Initiatives!$C$27+X12*Initiatives!$C$28+IF(AND(Initiatives!$C$6="reprice",X$3&gt;=Initiatives!$C$33),Initiatives!$C$41*Initiatives!$C$21*(1-Inputs!$C$9)^(X$3-Initiatives!$C$33)-Initiatives!$C$31,0)</f>
        <v>30000000</v>
      </c>
      <c r="Y16" s="8" t="n">
        <f aca="false">IF(Y$3&lt;=Initiatives!$C$46,Initiatives!$C$29/Initiatives!$C$46,0)+IF(Y$3&gt;=Initiatives!$C$33,Initiatives!$C$30,0)+IF(Y$3=Initiatives!$C$33,Initiatives!$C$39*Initiatives!$C$26,0)+Y10*Initiatives!$C$27+Y12*Initiatives!$C$28+IF(AND(Initiatives!$C$6="reprice",Y$3&gt;=Initiatives!$C$33),Initiatives!$C$41*Initiatives!$C$21*(1-Inputs!$C$9)^(Y$3-Initiatives!$C$33)-Initiatives!$C$31,0)</f>
        <v>30000000</v>
      </c>
      <c r="Z16" s="8" t="n">
        <f aca="false">IF(Z$3&lt;=Initiatives!$C$46,Initiatives!$C$29/Initiatives!$C$46,0)+IF(Z$3&gt;=Initiatives!$C$33,Initiatives!$C$30,0)+IF(Z$3=Initiatives!$C$33,Initiatives!$C$39*Initiatives!$C$26,0)+Z10*Initiatives!$C$27+Z12*Initiatives!$C$28+IF(AND(Initiatives!$C$6="reprice",Z$3&gt;=Initiatives!$C$33),Initiatives!$C$41*Initiatives!$C$21*(1-Inputs!$C$9)^(Z$3-Initiatives!$C$33)-Initiatives!$C$31,0)</f>
        <v>30000000</v>
      </c>
    </row>
    <row r="17" customFormat="false" ht="15" hidden="false" customHeight="false" outlineLevel="0" collapsed="false">
      <c r="A17" s="4" t="s">
        <v>231</v>
      </c>
      <c r="B17" s="4" t="s">
        <v>232</v>
      </c>
      <c r="C17" s="8" t="n">
        <f aca="false">(C14+C15)*Initiatives!$C$32-C16</f>
        <v>-400000000</v>
      </c>
      <c r="D17" s="8" t="n">
        <f aca="false">(D14+D15)*Initiatives!$C$32-D16</f>
        <v>-136389536</v>
      </c>
      <c r="E17" s="8" t="n">
        <f aca="false">(E14+E15)*Initiatives!$C$32-E16</f>
        <v>234846633.92</v>
      </c>
      <c r="F17" s="8" t="n">
        <f aca="false">(F14+F15)*Initiatives!$C$32-F16</f>
        <v>398305519.23192</v>
      </c>
      <c r="G17" s="8" t="n">
        <f aca="false">(G14+G15)*Initiatives!$C$32-G16</f>
        <v>576817842.942682</v>
      </c>
      <c r="H17" s="8" t="n">
        <f aca="false">(H14+H15)*Initiatives!$C$32-H16</f>
        <v>637327707.441642</v>
      </c>
      <c r="I17" s="8" t="n">
        <f aca="false">(I14+I15)*Initiatives!$C$32-I16</f>
        <v>631796228.118786</v>
      </c>
      <c r="J17" s="8" t="n">
        <f aca="false">(J14+J15)*Initiatives!$C$32-J16</f>
        <v>626287262.095875</v>
      </c>
      <c r="K17" s="8" t="n">
        <f aca="false">(K14+K15)*Initiatives!$C$32-K16</f>
        <v>620801287.868422</v>
      </c>
      <c r="L17" s="8" t="n">
        <f aca="false">(L14+L15)*Initiatives!$C$32-L16</f>
        <v>615338765.735878</v>
      </c>
      <c r="M17" s="8" t="n">
        <f aca="false">(M14+M15)*Initiatives!$C$32-M16</f>
        <v>609900138.223317</v>
      </c>
      <c r="N17" s="8" t="n">
        <f aca="false">(N14+N15)*Initiatives!$C$32-N16</f>
        <v>604485830.494803</v>
      </c>
      <c r="O17" s="8" t="n">
        <f aca="false">(O14+O15)*Initiatives!$C$32-O16</f>
        <v>599096250.758562</v>
      </c>
      <c r="P17" s="8" t="n">
        <f aca="false">(P14+P15)*Initiatives!$C$32-P16</f>
        <v>593731790.664128</v>
      </c>
      <c r="Q17" s="8" t="n">
        <f aca="false">(Q14+Q15)*Initiatives!$C$32-Q16</f>
        <v>588392825.691607</v>
      </c>
      <c r="R17" s="8" t="n">
        <f aca="false">(R14+R15)*Initiatives!$C$32-R16</f>
        <v>583079715.533193</v>
      </c>
      <c r="S17" s="8" t="n">
        <f aca="false">(S14+S15)*Initiatives!$C$32-S16</f>
        <v>577792804.467092</v>
      </c>
      <c r="T17" s="8" t="n">
        <f aca="false">(T14+T15)*Initiatives!$C$32-T16</f>
        <v>572532421.723979</v>
      </c>
      <c r="U17" s="8" t="n">
        <f aca="false">(U14+U15)*Initiatives!$C$32-U16</f>
        <v>567298881.84614</v>
      </c>
      <c r="V17" s="8" t="n">
        <f aca="false">(V14+V15)*Initiatives!$C$32-V16</f>
        <v>562092485.03942</v>
      </c>
      <c r="W17" s="8" t="n">
        <f aca="false">(W14+W15)*Initiatives!$C$32-W16</f>
        <v>556913517.518118</v>
      </c>
      <c r="X17" s="8" t="n">
        <f aca="false">(X14+X15)*Initiatives!$C$32-X16</f>
        <v>551762251.842953</v>
      </c>
      <c r="Y17" s="8" t="n">
        <f aca="false">(Y14+Y15)*Initiatives!$C$32-Y16</f>
        <v>546638947.252232</v>
      </c>
      <c r="Z17" s="8" t="n">
        <f aca="false">(Z14+Z15)*Initiatives!$C$32-Z16</f>
        <v>541543849.986349</v>
      </c>
    </row>
    <row r="18" customFormat="false" ht="15" hidden="false" customHeight="false" outlineLevel="0" collapsed="false">
      <c r="A18" s="4" t="s">
        <v>233</v>
      </c>
      <c r="B18" s="4" t="s">
        <v>234</v>
      </c>
      <c r="C18" s="8" t="n">
        <f aca="false">C11-C13</f>
        <v>0</v>
      </c>
      <c r="D18" s="8" t="n">
        <f aca="false">D11-D13</f>
        <v>-917.546666666667</v>
      </c>
      <c r="E18" s="8" t="n">
        <f aca="false">E11-E13</f>
        <v>-1771.78261333333</v>
      </c>
      <c r="F18" s="8" t="n">
        <f aca="false">F11-F13</f>
        <v>-2564.32639232</v>
      </c>
      <c r="G18" s="8" t="n">
        <f aca="false">G11-G13</f>
        <v>-2379.21658095968</v>
      </c>
      <c r="H18" s="8" t="n">
        <f aca="false">H11-H13</f>
        <v>-2149.31560312868</v>
      </c>
      <c r="I18" s="8" t="n">
        <f aca="false">I11-I13</f>
        <v>-1925.48501180823</v>
      </c>
      <c r="J18" s="8" t="n">
        <f aca="false">J11-J13</f>
        <v>-1707.59835593077</v>
      </c>
      <c r="K18" s="8" t="n">
        <f aca="false">K11-K13</f>
        <v>-1495.53155903093</v>
      </c>
      <c r="L18" s="8" t="n">
        <f aca="false">L11-L13</f>
        <v>-1289.16287717566</v>
      </c>
      <c r="M18" s="8" t="n">
        <f aca="false">M11-M13</f>
        <v>-1088.37285761256</v>
      </c>
      <c r="N18" s="8" t="n">
        <f aca="false">N11-N13</f>
        <v>-893.044298124378</v>
      </c>
      <c r="O18" s="8" t="n">
        <f aca="false">O11-O13</f>
        <v>-703.062207077945</v>
      </c>
      <c r="P18" s="8" t="n">
        <f aca="false">P11-P13</f>
        <v>-518.313764155965</v>
      </c>
      <c r="Q18" s="8" t="n">
        <f aca="false">Q11-Q13</f>
        <v>-338.688281760328</v>
      </c>
      <c r="R18" s="8" t="n">
        <f aca="false">R11-R13</f>
        <v>-164.077167075725</v>
      </c>
      <c r="S18" s="8" t="n">
        <f aca="false">S11-S13</f>
        <v>5.62611521742292</v>
      </c>
      <c r="T18" s="8" t="n">
        <f aca="false">T11-T13</f>
        <v>170.526079591549</v>
      </c>
      <c r="U18" s="8" t="n">
        <f aca="false">U11-U13</f>
        <v>330.725255692681</v>
      </c>
      <c r="V18" s="8" t="n">
        <f aca="false">V11-V13</f>
        <v>486.324223743814</v>
      </c>
      <c r="W18" s="8" t="n">
        <f aca="false">W11-W13</f>
        <v>637.421649341211</v>
      </c>
      <c r="X18" s="8" t="n">
        <f aca="false">X11-X13</f>
        <v>784.114317653775</v>
      </c>
      <c r="Y18" s="8" t="n">
        <f aca="false">Y11-Y13</f>
        <v>926.497167035439</v>
      </c>
      <c r="Z18" s="8" t="n">
        <f aca="false">Z11-Z13</f>
        <v>1064.6633220604</v>
      </c>
    </row>
    <row r="19" customFormat="false" ht="15" hidden="false" customHeight="false" outlineLevel="0" collapsed="false">
      <c r="A19" s="4" t="s">
        <v>235</v>
      </c>
      <c r="B19" s="4" t="s">
        <v>236</v>
      </c>
      <c r="C19" s="8" t="n">
        <f aca="false">C12*Initiatives!$C$24</f>
        <v>0</v>
      </c>
      <c r="D19" s="8" t="n">
        <f aca="false">D12*Initiatives!$C$24</f>
        <v>0</v>
      </c>
      <c r="E19" s="8" t="n">
        <f aca="false">E12*Initiatives!$C$24</f>
        <v>0</v>
      </c>
      <c r="F19" s="8" t="n">
        <f aca="false">F12*Initiatives!$C$24</f>
        <v>0</v>
      </c>
      <c r="G19" s="8" t="n">
        <f aca="false">G12*Initiatives!$C$24</f>
        <v>0</v>
      </c>
      <c r="H19" s="8" t="n">
        <f aca="false">H12*Initiatives!$C$24</f>
        <v>0</v>
      </c>
      <c r="I19" s="8" t="n">
        <f aca="false">I12*Initiatives!$C$24</f>
        <v>0</v>
      </c>
      <c r="J19" s="8" t="n">
        <f aca="false">J12*Initiatives!$C$24</f>
        <v>0</v>
      </c>
      <c r="K19" s="8" t="n">
        <f aca="false">K12*Initiatives!$C$24</f>
        <v>0</v>
      </c>
      <c r="L19" s="8" t="n">
        <f aca="false">L12*Initiatives!$C$24</f>
        <v>0</v>
      </c>
      <c r="M19" s="8" t="n">
        <f aca="false">M12*Initiatives!$C$24</f>
        <v>0</v>
      </c>
      <c r="N19" s="8" t="n">
        <f aca="false">N12*Initiatives!$C$24</f>
        <v>0</v>
      </c>
      <c r="O19" s="8" t="n">
        <f aca="false">O12*Initiatives!$C$24</f>
        <v>0</v>
      </c>
      <c r="P19" s="8" t="n">
        <f aca="false">P12*Initiatives!$C$24</f>
        <v>0</v>
      </c>
      <c r="Q19" s="8" t="n">
        <f aca="false">Q12*Initiatives!$C$24</f>
        <v>0</v>
      </c>
      <c r="R19" s="8" t="n">
        <f aca="false">R12*Initiatives!$C$24</f>
        <v>0</v>
      </c>
      <c r="S19" s="8" t="n">
        <f aca="false">S12*Initiatives!$C$24</f>
        <v>0</v>
      </c>
      <c r="T19" s="8" t="n">
        <f aca="false">T12*Initiatives!$C$24</f>
        <v>0</v>
      </c>
      <c r="U19" s="8" t="n">
        <f aca="false">U12*Initiatives!$C$24</f>
        <v>0</v>
      </c>
      <c r="V19" s="8" t="n">
        <f aca="false">V12*Initiatives!$C$24</f>
        <v>0</v>
      </c>
      <c r="W19" s="8" t="n">
        <f aca="false">W12*Initiatives!$C$24</f>
        <v>0</v>
      </c>
      <c r="X19" s="8" t="n">
        <f aca="false">X12*Initiatives!$C$24</f>
        <v>0</v>
      </c>
      <c r="Y19" s="8" t="n">
        <f aca="false">Y12*Initiatives!$C$24</f>
        <v>0</v>
      </c>
      <c r="Z19" s="8" t="n">
        <f aca="false">Z12*Initiatives!$C$24</f>
        <v>0</v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false" outlineLevel="0" collapsed="false">
      <c r="A21" s="17" t="s">
        <v>237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customFormat="false" ht="15" hidden="false" customHeight="false" outlineLevel="0" collapsed="false">
      <c r="A22" s="4" t="s">
        <v>213</v>
      </c>
      <c r="B22" s="4" t="s">
        <v>214</v>
      </c>
      <c r="C22" s="24" t="n">
        <f aca="false">IF(C$3&lt;Initiatives!$D$33,0,MIN((C$3-Initiatives!$D$33+1)/Initiatives!$D$34,1))</f>
        <v>0</v>
      </c>
      <c r="D22" s="24" t="n">
        <f aca="false">IF(D$3&lt;Initiatives!$D$33,0,MIN((D$3-Initiatives!$D$33+1)/Initiatives!$D$34,1))</f>
        <v>1</v>
      </c>
      <c r="E22" s="24" t="n">
        <f aca="false">IF(E$3&lt;Initiatives!$D$33,0,MIN((E$3-Initiatives!$D$33+1)/Initiatives!$D$34,1))</f>
        <v>1</v>
      </c>
      <c r="F22" s="24" t="n">
        <f aca="false">IF(F$3&lt;Initiatives!$D$33,0,MIN((F$3-Initiatives!$D$33+1)/Initiatives!$D$34,1))</f>
        <v>1</v>
      </c>
      <c r="G22" s="24" t="n">
        <f aca="false">IF(G$3&lt;Initiatives!$D$33,0,MIN((G$3-Initiatives!$D$33+1)/Initiatives!$D$34,1))</f>
        <v>1</v>
      </c>
      <c r="H22" s="24" t="n">
        <f aca="false">IF(H$3&lt;Initiatives!$D$33,0,MIN((H$3-Initiatives!$D$33+1)/Initiatives!$D$34,1))</f>
        <v>1</v>
      </c>
      <c r="I22" s="24" t="n">
        <f aca="false">IF(I$3&lt;Initiatives!$D$33,0,MIN((I$3-Initiatives!$D$33+1)/Initiatives!$D$34,1))</f>
        <v>1</v>
      </c>
      <c r="J22" s="24" t="n">
        <f aca="false">IF(J$3&lt;Initiatives!$D$33,0,MIN((J$3-Initiatives!$D$33+1)/Initiatives!$D$34,1))</f>
        <v>1</v>
      </c>
      <c r="K22" s="24" t="n">
        <f aca="false">IF(K$3&lt;Initiatives!$D$33,0,MIN((K$3-Initiatives!$D$33+1)/Initiatives!$D$34,1))</f>
        <v>1</v>
      </c>
      <c r="L22" s="24" t="n">
        <f aca="false">IF(L$3&lt;Initiatives!$D$33,0,MIN((L$3-Initiatives!$D$33+1)/Initiatives!$D$34,1))</f>
        <v>1</v>
      </c>
      <c r="M22" s="24" t="n">
        <f aca="false">IF(M$3&lt;Initiatives!$D$33,0,MIN((M$3-Initiatives!$D$33+1)/Initiatives!$D$34,1))</f>
        <v>1</v>
      </c>
      <c r="N22" s="24" t="n">
        <f aca="false">IF(N$3&lt;Initiatives!$D$33,0,MIN((N$3-Initiatives!$D$33+1)/Initiatives!$D$34,1))</f>
        <v>1</v>
      </c>
      <c r="O22" s="24" t="n">
        <f aca="false">IF(O$3&lt;Initiatives!$D$33,0,MIN((O$3-Initiatives!$D$33+1)/Initiatives!$D$34,1))</f>
        <v>1</v>
      </c>
      <c r="P22" s="24" t="n">
        <f aca="false">IF(P$3&lt;Initiatives!$D$33,0,MIN((P$3-Initiatives!$D$33+1)/Initiatives!$D$34,1))</f>
        <v>1</v>
      </c>
      <c r="Q22" s="24" t="n">
        <f aca="false">IF(Q$3&lt;Initiatives!$D$33,0,MIN((Q$3-Initiatives!$D$33+1)/Initiatives!$D$34,1))</f>
        <v>1</v>
      </c>
      <c r="R22" s="24" t="n">
        <f aca="false">IF(R$3&lt;Initiatives!$D$33,0,MIN((R$3-Initiatives!$D$33+1)/Initiatives!$D$34,1))</f>
        <v>1</v>
      </c>
      <c r="S22" s="24" t="n">
        <f aca="false">IF(S$3&lt;Initiatives!$D$33,0,MIN((S$3-Initiatives!$D$33+1)/Initiatives!$D$34,1))</f>
        <v>1</v>
      </c>
      <c r="T22" s="24" t="n">
        <f aca="false">IF(T$3&lt;Initiatives!$D$33,0,MIN((T$3-Initiatives!$D$33+1)/Initiatives!$D$34,1))</f>
        <v>1</v>
      </c>
      <c r="U22" s="24" t="n">
        <f aca="false">IF(U$3&lt;Initiatives!$D$33,0,MIN((U$3-Initiatives!$D$33+1)/Initiatives!$D$34,1))</f>
        <v>1</v>
      </c>
      <c r="V22" s="24" t="n">
        <f aca="false">IF(V$3&lt;Initiatives!$D$33,0,MIN((V$3-Initiatives!$D$33+1)/Initiatives!$D$34,1))</f>
        <v>1</v>
      </c>
      <c r="W22" s="24" t="n">
        <f aca="false">IF(W$3&lt;Initiatives!$D$33,0,MIN((W$3-Initiatives!$D$33+1)/Initiatives!$D$34,1))</f>
        <v>1</v>
      </c>
      <c r="X22" s="24" t="n">
        <f aca="false">IF(X$3&lt;Initiatives!$D$33,0,MIN((X$3-Initiatives!$D$33+1)/Initiatives!$D$34,1))</f>
        <v>1</v>
      </c>
      <c r="Y22" s="24" t="n">
        <f aca="false">IF(Y$3&lt;Initiatives!$D$33,0,MIN((Y$3-Initiatives!$D$33+1)/Initiatives!$D$34,1))</f>
        <v>1</v>
      </c>
      <c r="Z22" s="24" t="n">
        <f aca="false">IF(Z$3&lt;Initiatives!$D$33,0,MIN((Z$3-Initiatives!$D$33+1)/Initiatives!$D$34,1))</f>
        <v>1</v>
      </c>
    </row>
    <row r="23" customFormat="false" ht="15" hidden="false" customHeight="false" outlineLevel="0" collapsed="false">
      <c r="A23" s="4" t="s">
        <v>215</v>
      </c>
      <c r="B23" s="4" t="s">
        <v>216</v>
      </c>
      <c r="C23" s="8" t="n">
        <f aca="false">Initiatives!$D$40*C22</f>
        <v>0</v>
      </c>
      <c r="D23" s="8" t="n">
        <f aca="false">Initiatives!$D$40*D22</f>
        <v>0</v>
      </c>
      <c r="E23" s="8" t="n">
        <f aca="false">Initiatives!$D$40*E22</f>
        <v>0</v>
      </c>
      <c r="F23" s="8" t="n">
        <f aca="false">Initiatives!$D$40*F22</f>
        <v>0</v>
      </c>
      <c r="G23" s="8" t="n">
        <f aca="false">Initiatives!$D$40*G22</f>
        <v>0</v>
      </c>
      <c r="H23" s="8" t="n">
        <f aca="false">Initiatives!$D$40*H22</f>
        <v>0</v>
      </c>
      <c r="I23" s="8" t="n">
        <f aca="false">Initiatives!$D$40*I22</f>
        <v>0</v>
      </c>
      <c r="J23" s="8" t="n">
        <f aca="false">Initiatives!$D$40*J22</f>
        <v>0</v>
      </c>
      <c r="K23" s="8" t="n">
        <f aca="false">Initiatives!$D$40*K22</f>
        <v>0</v>
      </c>
      <c r="L23" s="8" t="n">
        <f aca="false">Initiatives!$D$40*L22</f>
        <v>0</v>
      </c>
      <c r="M23" s="8" t="n">
        <f aca="false">Initiatives!$D$40*M22</f>
        <v>0</v>
      </c>
      <c r="N23" s="8" t="n">
        <f aca="false">Initiatives!$D$40*N22</f>
        <v>0</v>
      </c>
      <c r="O23" s="8" t="n">
        <f aca="false">Initiatives!$D$40*O22</f>
        <v>0</v>
      </c>
      <c r="P23" s="8" t="n">
        <f aca="false">Initiatives!$D$40*P22</f>
        <v>0</v>
      </c>
      <c r="Q23" s="8" t="n">
        <f aca="false">Initiatives!$D$40*Q22</f>
        <v>0</v>
      </c>
      <c r="R23" s="8" t="n">
        <f aca="false">Initiatives!$D$40*R22</f>
        <v>0</v>
      </c>
      <c r="S23" s="8" t="n">
        <f aca="false">Initiatives!$D$40*S22</f>
        <v>0</v>
      </c>
      <c r="T23" s="8" t="n">
        <f aca="false">Initiatives!$D$40*T22</f>
        <v>0</v>
      </c>
      <c r="U23" s="8" t="n">
        <f aca="false">Initiatives!$D$40*U22</f>
        <v>0</v>
      </c>
      <c r="V23" s="8" t="n">
        <f aca="false">Initiatives!$D$40*V22</f>
        <v>0</v>
      </c>
      <c r="W23" s="8" t="n">
        <f aca="false">Initiatives!$D$40*W22</f>
        <v>0</v>
      </c>
      <c r="X23" s="8" t="n">
        <f aca="false">Initiatives!$D$40*X22</f>
        <v>0</v>
      </c>
      <c r="Y23" s="8" t="n">
        <f aca="false">Initiatives!$D$40*Y22</f>
        <v>0</v>
      </c>
      <c r="Z23" s="8" t="n">
        <f aca="false">Initiatives!$D$40*Z22</f>
        <v>0</v>
      </c>
    </row>
    <row r="24" customFormat="false" ht="15" hidden="false" customHeight="false" outlineLevel="0" collapsed="false">
      <c r="A24" s="4" t="s">
        <v>217</v>
      </c>
      <c r="B24" s="4" t="s">
        <v>218</v>
      </c>
      <c r="C24" s="8" t="n">
        <f aca="false">MAX(C23-N(B23),0)</f>
        <v>0</v>
      </c>
      <c r="D24" s="8" t="n">
        <f aca="false">MAX(D23-N(C23),0)</f>
        <v>0</v>
      </c>
      <c r="E24" s="8" t="n">
        <f aca="false">MAX(E23-N(D23),0)</f>
        <v>0</v>
      </c>
      <c r="F24" s="8" t="n">
        <f aca="false">MAX(F23-N(E23),0)</f>
        <v>0</v>
      </c>
      <c r="G24" s="8" t="n">
        <f aca="false">MAX(G23-N(F23),0)</f>
        <v>0</v>
      </c>
      <c r="H24" s="8" t="n">
        <f aca="false">MAX(H23-N(G23),0)</f>
        <v>0</v>
      </c>
      <c r="I24" s="8" t="n">
        <f aca="false">MAX(I23-N(H23),0)</f>
        <v>0</v>
      </c>
      <c r="J24" s="8" t="n">
        <f aca="false">MAX(J23-N(I23),0)</f>
        <v>0</v>
      </c>
      <c r="K24" s="8" t="n">
        <f aca="false">MAX(K23-N(J23),0)</f>
        <v>0</v>
      </c>
      <c r="L24" s="8" t="n">
        <f aca="false">MAX(L23-N(K23),0)</f>
        <v>0</v>
      </c>
      <c r="M24" s="8" t="n">
        <f aca="false">MAX(M23-N(L23),0)</f>
        <v>0</v>
      </c>
      <c r="N24" s="8" t="n">
        <f aca="false">MAX(N23-N(M23),0)</f>
        <v>0</v>
      </c>
      <c r="O24" s="8" t="n">
        <f aca="false">MAX(O23-N(N23),0)</f>
        <v>0</v>
      </c>
      <c r="P24" s="8" t="n">
        <f aca="false">MAX(P23-N(O23),0)</f>
        <v>0</v>
      </c>
      <c r="Q24" s="8" t="n">
        <f aca="false">MAX(Q23-N(P23),0)</f>
        <v>0</v>
      </c>
      <c r="R24" s="8" t="n">
        <f aca="false">MAX(R23-N(Q23),0)</f>
        <v>0</v>
      </c>
      <c r="S24" s="8" t="n">
        <f aca="false">MAX(S23-N(R23),0)</f>
        <v>0</v>
      </c>
      <c r="T24" s="8" t="n">
        <f aca="false">MAX(T23-N(S23),0)</f>
        <v>0</v>
      </c>
      <c r="U24" s="8" t="n">
        <f aca="false">MAX(U23-N(T23),0)</f>
        <v>0</v>
      </c>
      <c r="V24" s="8" t="n">
        <f aca="false">MAX(V23-N(U23),0)</f>
        <v>0</v>
      </c>
      <c r="W24" s="8" t="n">
        <f aca="false">MAX(W23-N(V23),0)</f>
        <v>0</v>
      </c>
      <c r="X24" s="8" t="n">
        <f aca="false">MAX(X23-N(W23),0)</f>
        <v>0</v>
      </c>
      <c r="Y24" s="8" t="n">
        <f aca="false">MAX(Y23-N(X23),0)</f>
        <v>0</v>
      </c>
      <c r="Z24" s="8" t="n">
        <f aca="false">MAX(Z23-N(Y23),0)</f>
        <v>0</v>
      </c>
    </row>
    <row r="25" customFormat="false" ht="15" hidden="false" customHeight="false" outlineLevel="0" collapsed="false">
      <c r="A25" s="4" t="s">
        <v>219</v>
      </c>
      <c r="B25" s="4" t="s">
        <v>220</v>
      </c>
      <c r="C25" s="8" t="n">
        <f aca="false">IF(Initiatives!$D$6="adoption",N(B25)*(1-Inputs!$C$9)+N(B26)*Inputs!$C$9*Initiatives!$D$16,IF(Initiatives!$D$6="relative",N(B25)*(1-Inputs!$C$9)+C$4*Inputs!$C$9*Initiatives!$D$23*C22,0))</f>
        <v>0</v>
      </c>
      <c r="D25" s="8" t="n">
        <f aca="false">IF(Initiatives!$D$6="adoption",N(C25)*(1-Inputs!$C$9)+N(C26)*Inputs!$C$9*Initiatives!$D$16,IF(Initiatives!$D$6="relative",N(C25)*(1-Inputs!$C$9)+D$4*Inputs!$C$9*Initiatives!$D$23*D22,0))</f>
        <v>0</v>
      </c>
      <c r="E25" s="8" t="n">
        <f aca="false">IF(Initiatives!$D$6="adoption",N(D25)*(1-Inputs!$C$9)+N(D26)*Inputs!$C$9*Initiatives!$D$16,IF(Initiatives!$D$6="relative",N(D25)*(1-Inputs!$C$9)+E$4*Inputs!$C$9*Initiatives!$D$23*E22,0))</f>
        <v>0</v>
      </c>
      <c r="F25" s="8" t="n">
        <f aca="false">IF(Initiatives!$D$6="adoption",N(E25)*(1-Inputs!$C$9)+N(E26)*Inputs!$C$9*Initiatives!$D$16,IF(Initiatives!$D$6="relative",N(E25)*(1-Inputs!$C$9)+F$4*Inputs!$C$9*Initiatives!$D$23*F22,0))</f>
        <v>0</v>
      </c>
      <c r="G25" s="8" t="n">
        <f aca="false">IF(Initiatives!$D$6="adoption",N(F25)*(1-Inputs!$C$9)+N(F26)*Inputs!$C$9*Initiatives!$D$16,IF(Initiatives!$D$6="relative",N(F25)*(1-Inputs!$C$9)+G$4*Inputs!$C$9*Initiatives!$D$23*G22,0))</f>
        <v>0</v>
      </c>
      <c r="H25" s="8" t="n">
        <f aca="false">IF(Initiatives!$D$6="adoption",N(G25)*(1-Inputs!$C$9)+N(G26)*Inputs!$C$9*Initiatives!$D$16,IF(Initiatives!$D$6="relative",N(G25)*(1-Inputs!$C$9)+H$4*Inputs!$C$9*Initiatives!$D$23*H22,0))</f>
        <v>0</v>
      </c>
      <c r="I25" s="8" t="n">
        <f aca="false">IF(Initiatives!$D$6="adoption",N(H25)*(1-Inputs!$C$9)+N(H26)*Inputs!$C$9*Initiatives!$D$16,IF(Initiatives!$D$6="relative",N(H25)*(1-Inputs!$C$9)+I$4*Inputs!$C$9*Initiatives!$D$23*I22,0))</f>
        <v>0</v>
      </c>
      <c r="J25" s="8" t="n">
        <f aca="false">IF(Initiatives!$D$6="adoption",N(I25)*(1-Inputs!$C$9)+N(I26)*Inputs!$C$9*Initiatives!$D$16,IF(Initiatives!$D$6="relative",N(I25)*(1-Inputs!$C$9)+J$4*Inputs!$C$9*Initiatives!$D$23*J22,0))</f>
        <v>0</v>
      </c>
      <c r="K25" s="8" t="n">
        <f aca="false">IF(Initiatives!$D$6="adoption",N(J25)*(1-Inputs!$C$9)+N(J26)*Inputs!$C$9*Initiatives!$D$16,IF(Initiatives!$D$6="relative",N(J25)*(1-Inputs!$C$9)+K$4*Inputs!$C$9*Initiatives!$D$23*K22,0))</f>
        <v>0</v>
      </c>
      <c r="L25" s="8" t="n">
        <f aca="false">IF(Initiatives!$D$6="adoption",N(K25)*(1-Inputs!$C$9)+N(K26)*Inputs!$C$9*Initiatives!$D$16,IF(Initiatives!$D$6="relative",N(K25)*(1-Inputs!$C$9)+L$4*Inputs!$C$9*Initiatives!$D$23*L22,0))</f>
        <v>0</v>
      </c>
      <c r="M25" s="8" t="n">
        <f aca="false">IF(Initiatives!$D$6="adoption",N(L25)*(1-Inputs!$C$9)+N(L26)*Inputs!$C$9*Initiatives!$D$16,IF(Initiatives!$D$6="relative",N(L25)*(1-Inputs!$C$9)+M$4*Inputs!$C$9*Initiatives!$D$23*M22,0))</f>
        <v>0</v>
      </c>
      <c r="N25" s="8" t="n">
        <f aca="false">IF(Initiatives!$D$6="adoption",N(M25)*(1-Inputs!$C$9)+N(M26)*Inputs!$C$9*Initiatives!$D$16,IF(Initiatives!$D$6="relative",N(M25)*(1-Inputs!$C$9)+N$4*Inputs!$C$9*Initiatives!$D$23*N22,0))</f>
        <v>0</v>
      </c>
      <c r="O25" s="8" t="n">
        <f aca="false">IF(Initiatives!$D$6="adoption",N(N25)*(1-Inputs!$C$9)+N(N26)*Inputs!$C$9*Initiatives!$D$16,IF(Initiatives!$D$6="relative",N(N25)*(1-Inputs!$C$9)+O$4*Inputs!$C$9*Initiatives!$D$23*O22,0))</f>
        <v>0</v>
      </c>
      <c r="P25" s="8" t="n">
        <f aca="false">IF(Initiatives!$D$6="adoption",N(O25)*(1-Inputs!$C$9)+N(O26)*Inputs!$C$9*Initiatives!$D$16,IF(Initiatives!$D$6="relative",N(O25)*(1-Inputs!$C$9)+P$4*Inputs!$C$9*Initiatives!$D$23*P22,0))</f>
        <v>0</v>
      </c>
      <c r="Q25" s="8" t="n">
        <f aca="false">IF(Initiatives!$D$6="adoption",N(P25)*(1-Inputs!$C$9)+N(P26)*Inputs!$C$9*Initiatives!$D$16,IF(Initiatives!$D$6="relative",N(P25)*(1-Inputs!$C$9)+Q$4*Inputs!$C$9*Initiatives!$D$23*Q22,0))</f>
        <v>0</v>
      </c>
      <c r="R25" s="8" t="n">
        <f aca="false">IF(Initiatives!$D$6="adoption",N(Q25)*(1-Inputs!$C$9)+N(Q26)*Inputs!$C$9*Initiatives!$D$16,IF(Initiatives!$D$6="relative",N(Q25)*(1-Inputs!$C$9)+R$4*Inputs!$C$9*Initiatives!$D$23*R22,0))</f>
        <v>0</v>
      </c>
      <c r="S25" s="8" t="n">
        <f aca="false">IF(Initiatives!$D$6="adoption",N(R25)*(1-Inputs!$C$9)+N(R26)*Inputs!$C$9*Initiatives!$D$16,IF(Initiatives!$D$6="relative",N(R25)*(1-Inputs!$C$9)+S$4*Inputs!$C$9*Initiatives!$D$23*S22,0))</f>
        <v>0</v>
      </c>
      <c r="T25" s="8" t="n">
        <f aca="false">IF(Initiatives!$D$6="adoption",N(S25)*(1-Inputs!$C$9)+N(S26)*Inputs!$C$9*Initiatives!$D$16,IF(Initiatives!$D$6="relative",N(S25)*(1-Inputs!$C$9)+T$4*Inputs!$C$9*Initiatives!$D$23*T22,0))</f>
        <v>0</v>
      </c>
      <c r="U25" s="8" t="n">
        <f aca="false">IF(Initiatives!$D$6="adoption",N(T25)*(1-Inputs!$C$9)+N(T26)*Inputs!$C$9*Initiatives!$D$16,IF(Initiatives!$D$6="relative",N(T25)*(1-Inputs!$C$9)+U$4*Inputs!$C$9*Initiatives!$D$23*U22,0))</f>
        <v>0</v>
      </c>
      <c r="V25" s="8" t="n">
        <f aca="false">IF(Initiatives!$D$6="adoption",N(U25)*(1-Inputs!$C$9)+N(U26)*Inputs!$C$9*Initiatives!$D$16,IF(Initiatives!$D$6="relative",N(U25)*(1-Inputs!$C$9)+V$4*Inputs!$C$9*Initiatives!$D$23*V22,0))</f>
        <v>0</v>
      </c>
      <c r="W25" s="8" t="n">
        <f aca="false">IF(Initiatives!$D$6="adoption",N(V25)*(1-Inputs!$C$9)+N(V26)*Inputs!$C$9*Initiatives!$D$16,IF(Initiatives!$D$6="relative",N(V25)*(1-Inputs!$C$9)+W$4*Inputs!$C$9*Initiatives!$D$23*W22,0))</f>
        <v>0</v>
      </c>
      <c r="X25" s="8" t="n">
        <f aca="false">IF(Initiatives!$D$6="adoption",N(W25)*(1-Inputs!$C$9)+N(W26)*Inputs!$C$9*Initiatives!$D$16,IF(Initiatives!$D$6="relative",N(W25)*(1-Inputs!$C$9)+X$4*Inputs!$C$9*Initiatives!$D$23*X22,0))</f>
        <v>0</v>
      </c>
      <c r="Y25" s="8" t="n">
        <f aca="false">IF(Initiatives!$D$6="adoption",N(X25)*(1-Inputs!$C$9)+N(X26)*Inputs!$C$9*Initiatives!$D$16,IF(Initiatives!$D$6="relative",N(X25)*(1-Inputs!$C$9)+Y$4*Inputs!$C$9*Initiatives!$D$23*Y22,0))</f>
        <v>0</v>
      </c>
      <c r="Z25" s="8" t="n">
        <f aca="false">IF(Initiatives!$D$6="adoption",N(Y25)*(1-Inputs!$C$9)+N(Y26)*Inputs!$C$9*Initiatives!$D$16,IF(Initiatives!$D$6="relative",N(Y25)*(1-Inputs!$C$9)+Z$4*Inputs!$C$9*Initiatives!$D$23*Z22,0))</f>
        <v>0</v>
      </c>
    </row>
    <row r="26" customFormat="false" ht="15" hidden="false" customHeight="false" outlineLevel="0" collapsed="false">
      <c r="A26" s="4" t="s">
        <v>221</v>
      </c>
      <c r="B26" s="4" t="s">
        <v>222</v>
      </c>
      <c r="C26" s="8" t="n">
        <f aca="false">N(B26)*(1-Initiatives!$D$45)*(1-Inputs!$C$9*(1-Initiatives!$D$16))+C24</f>
        <v>0</v>
      </c>
      <c r="D26" s="8" t="n">
        <f aca="false">N(C26)*(1-Initiatives!$D$45)*(1-Inputs!$C$9*(1-Initiatives!$D$16))+D24</f>
        <v>0</v>
      </c>
      <c r="E26" s="8" t="n">
        <f aca="false">N(D26)*(1-Initiatives!$D$45)*(1-Inputs!$C$9*(1-Initiatives!$D$16))+E24</f>
        <v>0</v>
      </c>
      <c r="F26" s="8" t="n">
        <f aca="false">N(E26)*(1-Initiatives!$D$45)*(1-Inputs!$C$9*(1-Initiatives!$D$16))+F24</f>
        <v>0</v>
      </c>
      <c r="G26" s="8" t="n">
        <f aca="false">N(F26)*(1-Initiatives!$D$45)*(1-Inputs!$C$9*(1-Initiatives!$D$16))+G24</f>
        <v>0</v>
      </c>
      <c r="H26" s="8" t="n">
        <f aca="false">N(G26)*(1-Initiatives!$D$45)*(1-Inputs!$C$9*(1-Initiatives!$D$16))+H24</f>
        <v>0</v>
      </c>
      <c r="I26" s="8" t="n">
        <f aca="false">N(H26)*(1-Initiatives!$D$45)*(1-Inputs!$C$9*(1-Initiatives!$D$16))+I24</f>
        <v>0</v>
      </c>
      <c r="J26" s="8" t="n">
        <f aca="false">N(I26)*(1-Initiatives!$D$45)*(1-Inputs!$C$9*(1-Initiatives!$D$16))+J24</f>
        <v>0</v>
      </c>
      <c r="K26" s="8" t="n">
        <f aca="false">N(J26)*(1-Initiatives!$D$45)*(1-Inputs!$C$9*(1-Initiatives!$D$16))+K24</f>
        <v>0</v>
      </c>
      <c r="L26" s="8" t="n">
        <f aca="false">N(K26)*(1-Initiatives!$D$45)*(1-Inputs!$C$9*(1-Initiatives!$D$16))+L24</f>
        <v>0</v>
      </c>
      <c r="M26" s="8" t="n">
        <f aca="false">N(L26)*(1-Initiatives!$D$45)*(1-Inputs!$C$9*(1-Initiatives!$D$16))+M24</f>
        <v>0</v>
      </c>
      <c r="N26" s="8" t="n">
        <f aca="false">N(M26)*(1-Initiatives!$D$45)*(1-Inputs!$C$9*(1-Initiatives!$D$16))+N24</f>
        <v>0</v>
      </c>
      <c r="O26" s="8" t="n">
        <f aca="false">N(N26)*(1-Initiatives!$D$45)*(1-Inputs!$C$9*(1-Initiatives!$D$16))+O24</f>
        <v>0</v>
      </c>
      <c r="P26" s="8" t="n">
        <f aca="false">N(O26)*(1-Initiatives!$D$45)*(1-Inputs!$C$9*(1-Initiatives!$D$16))+P24</f>
        <v>0</v>
      </c>
      <c r="Q26" s="8" t="n">
        <f aca="false">N(P26)*(1-Initiatives!$D$45)*(1-Inputs!$C$9*(1-Initiatives!$D$16))+Q24</f>
        <v>0</v>
      </c>
      <c r="R26" s="8" t="n">
        <f aca="false">N(Q26)*(1-Initiatives!$D$45)*(1-Inputs!$C$9*(1-Initiatives!$D$16))+R24</f>
        <v>0</v>
      </c>
      <c r="S26" s="8" t="n">
        <f aca="false">N(R26)*(1-Initiatives!$D$45)*(1-Inputs!$C$9*(1-Initiatives!$D$16))+S24</f>
        <v>0</v>
      </c>
      <c r="T26" s="8" t="n">
        <f aca="false">N(S26)*(1-Initiatives!$D$45)*(1-Inputs!$C$9*(1-Initiatives!$D$16))+T24</f>
        <v>0</v>
      </c>
      <c r="U26" s="8" t="n">
        <f aca="false">N(T26)*(1-Initiatives!$D$45)*(1-Inputs!$C$9*(1-Initiatives!$D$16))+U24</f>
        <v>0</v>
      </c>
      <c r="V26" s="8" t="n">
        <f aca="false">N(U26)*(1-Initiatives!$D$45)*(1-Inputs!$C$9*(1-Initiatives!$D$16))+V24</f>
        <v>0</v>
      </c>
      <c r="W26" s="8" t="n">
        <f aca="false">N(V26)*(1-Initiatives!$D$45)*(1-Inputs!$C$9*(1-Initiatives!$D$16))+W24</f>
        <v>0</v>
      </c>
      <c r="X26" s="8" t="n">
        <f aca="false">N(W26)*(1-Initiatives!$D$45)*(1-Inputs!$C$9*(1-Initiatives!$D$16))+X24</f>
        <v>0</v>
      </c>
      <c r="Y26" s="8" t="n">
        <f aca="false">N(X26)*(1-Initiatives!$D$45)*(1-Inputs!$C$9*(1-Initiatives!$D$16))+Y24</f>
        <v>0</v>
      </c>
      <c r="Z26" s="8" t="n">
        <f aca="false">N(Y26)*(1-Initiatives!$D$45)*(1-Inputs!$C$9*(1-Initiatives!$D$16))+Z24</f>
        <v>0</v>
      </c>
    </row>
    <row r="27" customFormat="false" ht="15" hidden="false" customHeight="false" outlineLevel="0" collapsed="false">
      <c r="A27" s="4" t="s">
        <v>223</v>
      </c>
      <c r="B27" s="4" t="s">
        <v>224</v>
      </c>
      <c r="C27" s="8" t="n">
        <f aca="false">N(B27)*(1-Inputs!$C$9)+IF(AND(C$3&gt;=Initiatives!$D$33,C$3&lt;Initiatives!$D$33+Initiatives!$D$47),Initiatives!$D$43/Initiatives!$D$47,0)</f>
        <v>0</v>
      </c>
      <c r="D27" s="8" t="n">
        <f aca="false">N(C27)*(1-Inputs!$C$9)+IF(AND(D$3&gt;=Initiatives!$D$33,D$3&lt;Initiatives!$D$33+Initiatives!$D$47),Initiatives!$D$43/Initiatives!$D$47,0)</f>
        <v>9680</v>
      </c>
      <c r="E27" s="8" t="n">
        <f aca="false">N(D27)*(1-Inputs!$C$9)+IF(AND(E$3&gt;=Initiatives!$D$33,E$3&lt;Initiatives!$D$33+Initiatives!$D$47),Initiatives!$D$43/Initiatives!$D$47,0)</f>
        <v>19214.8</v>
      </c>
      <c r="F27" s="8" t="n">
        <f aca="false">N(E27)*(1-Inputs!$C$9)+IF(AND(F$3&gt;=Initiatives!$D$33,F$3&lt;Initiatives!$D$33+Initiatives!$D$47),Initiatives!$D$43/Initiatives!$D$47,0)</f>
        <v>18926.578</v>
      </c>
      <c r="G27" s="8" t="n">
        <f aca="false">N(F27)*(1-Inputs!$C$9)+IF(AND(G$3&gt;=Initiatives!$D$33,G$3&lt;Initiatives!$D$33+Initiatives!$D$47),Initiatives!$D$43/Initiatives!$D$47,0)</f>
        <v>18642.67933</v>
      </c>
      <c r="H27" s="8" t="n">
        <f aca="false">N(G27)*(1-Inputs!$C$9)+IF(AND(H$3&gt;=Initiatives!$D$33,H$3&lt;Initiatives!$D$33+Initiatives!$D$47),Initiatives!$D$43/Initiatives!$D$47,0)</f>
        <v>18363.03914005</v>
      </c>
      <c r="I27" s="8" t="n">
        <f aca="false">N(H27)*(1-Inputs!$C$9)+IF(AND(I$3&gt;=Initiatives!$D$33,I$3&lt;Initiatives!$D$33+Initiatives!$D$47),Initiatives!$D$43/Initiatives!$D$47,0)</f>
        <v>18087.5935529493</v>
      </c>
      <c r="J27" s="8" t="n">
        <f aca="false">N(I27)*(1-Inputs!$C$9)+IF(AND(J$3&gt;=Initiatives!$D$33,J$3&lt;Initiatives!$D$33+Initiatives!$D$47),Initiatives!$D$43/Initiatives!$D$47,0)</f>
        <v>17816.279649655</v>
      </c>
      <c r="K27" s="8" t="n">
        <f aca="false">N(J27)*(1-Inputs!$C$9)+IF(AND(K$3&gt;=Initiatives!$D$33,K$3&lt;Initiatives!$D$33+Initiatives!$D$47),Initiatives!$D$43/Initiatives!$D$47,0)</f>
        <v>17549.0354549102</v>
      </c>
      <c r="L27" s="8" t="n">
        <f aca="false">N(K27)*(1-Inputs!$C$9)+IF(AND(L$3&gt;=Initiatives!$D$33,L$3&lt;Initiatives!$D$33+Initiatives!$D$47),Initiatives!$D$43/Initiatives!$D$47,0)</f>
        <v>17285.7999230865</v>
      </c>
      <c r="M27" s="8" t="n">
        <f aca="false">N(L27)*(1-Inputs!$C$9)+IF(AND(M$3&gt;=Initiatives!$D$33,M$3&lt;Initiatives!$D$33+Initiatives!$D$47),Initiatives!$D$43/Initiatives!$D$47,0)</f>
        <v>17026.5129242402</v>
      </c>
      <c r="N27" s="8" t="n">
        <f aca="false">N(M27)*(1-Inputs!$C$9)+IF(AND(N$3&gt;=Initiatives!$D$33,N$3&lt;Initiatives!$D$33+Initiatives!$D$47),Initiatives!$D$43/Initiatives!$D$47,0)</f>
        <v>16771.1152303766</v>
      </c>
      <c r="O27" s="8" t="n">
        <f aca="false">N(N27)*(1-Inputs!$C$9)+IF(AND(O$3&gt;=Initiatives!$D$33,O$3&lt;Initiatives!$D$33+Initiatives!$D$47),Initiatives!$D$43/Initiatives!$D$47,0)</f>
        <v>16519.548501921</v>
      </c>
      <c r="P27" s="8" t="n">
        <f aca="false">N(O27)*(1-Inputs!$C$9)+IF(AND(P$3&gt;=Initiatives!$D$33,P$3&lt;Initiatives!$D$33+Initiatives!$D$47),Initiatives!$D$43/Initiatives!$D$47,0)</f>
        <v>16271.7552743922</v>
      </c>
      <c r="Q27" s="8" t="n">
        <f aca="false">N(P27)*(1-Inputs!$C$9)+IF(AND(Q$3&gt;=Initiatives!$D$33,Q$3&lt;Initiatives!$D$33+Initiatives!$D$47),Initiatives!$D$43/Initiatives!$D$47,0)</f>
        <v>16027.6789452763</v>
      </c>
      <c r="R27" s="8" t="n">
        <f aca="false">N(Q27)*(1-Inputs!$C$9)+IF(AND(R$3&gt;=Initiatives!$D$33,R$3&lt;Initiatives!$D$33+Initiatives!$D$47),Initiatives!$D$43/Initiatives!$D$47,0)</f>
        <v>15787.2637610971</v>
      </c>
      <c r="S27" s="8" t="n">
        <f aca="false">N(R27)*(1-Inputs!$C$9)+IF(AND(S$3&gt;=Initiatives!$D$33,S$3&lt;Initiatives!$D$33+Initiatives!$D$47),Initiatives!$D$43/Initiatives!$D$47,0)</f>
        <v>15550.4548046807</v>
      </c>
      <c r="T27" s="8" t="n">
        <f aca="false">N(S27)*(1-Inputs!$C$9)+IF(AND(T$3&gt;=Initiatives!$D$33,T$3&lt;Initiatives!$D$33+Initiatives!$D$47),Initiatives!$D$43/Initiatives!$D$47,0)</f>
        <v>15317.1979826105</v>
      </c>
      <c r="U27" s="8" t="n">
        <f aca="false">N(T27)*(1-Inputs!$C$9)+IF(AND(U$3&gt;=Initiatives!$D$33,U$3&lt;Initiatives!$D$33+Initiatives!$D$47),Initiatives!$D$43/Initiatives!$D$47,0)</f>
        <v>15087.4400128713</v>
      </c>
      <c r="V27" s="8" t="n">
        <f aca="false">N(U27)*(1-Inputs!$C$9)+IF(AND(V$3&gt;=Initiatives!$D$33,V$3&lt;Initiatives!$D$33+Initiatives!$D$47),Initiatives!$D$43/Initiatives!$D$47,0)</f>
        <v>14861.1284126782</v>
      </c>
      <c r="W27" s="8" t="n">
        <f aca="false">N(V27)*(1-Inputs!$C$9)+IF(AND(W$3&gt;=Initiatives!$D$33,W$3&lt;Initiatives!$D$33+Initiatives!$D$47),Initiatives!$D$43/Initiatives!$D$47,0)</f>
        <v>14638.2114864881</v>
      </c>
      <c r="X27" s="8" t="n">
        <f aca="false">N(W27)*(1-Inputs!$C$9)+IF(AND(X$3&gt;=Initiatives!$D$33,X$3&lt;Initiatives!$D$33+Initiatives!$D$47),Initiatives!$D$43/Initiatives!$D$47,0)</f>
        <v>14418.6383141908</v>
      </c>
      <c r="Y27" s="8" t="n">
        <f aca="false">N(X27)*(1-Inputs!$C$9)+IF(AND(Y$3&gt;=Initiatives!$D$33,Y$3&lt;Initiatives!$D$33+Initiatives!$D$47),Initiatives!$D$43/Initiatives!$D$47,0)</f>
        <v>14202.3587394779</v>
      </c>
      <c r="Z27" s="8" t="n">
        <f aca="false">N(Y27)*(1-Inputs!$C$9)+IF(AND(Z$3&gt;=Initiatives!$D$33,Z$3&lt;Initiatives!$D$33+Initiatives!$D$47),Initiatives!$D$43/Initiatives!$D$47,0)</f>
        <v>13989.3233583857</v>
      </c>
    </row>
    <row r="28" customFormat="false" ht="15" hidden="false" customHeight="false" outlineLevel="0" collapsed="false">
      <c r="A28" s="4" t="s">
        <v>225</v>
      </c>
      <c r="B28" s="4" t="s">
        <v>226</v>
      </c>
      <c r="C28" s="8" t="n">
        <f aca="false">IF(Initiatives!$D$6="adoption",C26*Initiatives!$D$14+C25*Initiatives!$D$9-C27*Initiatives!$D$9,IF(Initiatives!$D$6="reprice",IF(C$3&gt;=Initiatives!$D$33,(Initiatives!$D$41*Initiatives!$D$44+Initiatives!$D$42*Initiatives!$D$20)*(1-Inputs!$C$9)^(C$3-Initiatives!$D$33),0)-C27*Initiatives!$D$9,C$5*Initiatives!$D$22*C22+C25*Inputs!$C$8))</f>
        <v>0</v>
      </c>
      <c r="D28" s="8" t="n">
        <f aca="false">IF(Initiatives!$D$6="adoption",D26*Initiatives!$D$14+D25*Initiatives!$D$9-D27*Initiatives!$D$9,IF(Initiatives!$D$6="reprice",IF(D$3&gt;=Initiatives!$D$33,(Initiatives!$D$41*Initiatives!$D$44+Initiatives!$D$42*Initiatives!$D$20)*(1-Inputs!$C$9)^(D$3-Initiatives!$D$33),0)-D27*Initiatives!$D$9,D$5*Initiatives!$D$22*D22+D25*Inputs!$C$8))</f>
        <v>2705006857.14286</v>
      </c>
      <c r="E28" s="8" t="n">
        <f aca="false">IF(Initiatives!$D$6="adoption",E26*Initiatives!$D$14+E25*Initiatives!$D$9-E27*Initiatives!$D$9,IF(Initiatives!$D$6="reprice",IF(E$3&gt;=Initiatives!$D$33,(Initiatives!$D$41*Initiatives!$D$44+Initiatives!$D$42*Initiatives!$D$20)*(1-Inputs!$C$9)^(E$3-Initiatives!$D$33),0)-E27*Initiatives!$D$9,E$5*Initiatives!$D$22*E22+E25*Inputs!$C$8))</f>
        <v>2461151754.28571</v>
      </c>
      <c r="F28" s="8" t="n">
        <f aca="false">IF(Initiatives!$D$6="adoption",F26*Initiatives!$D$14+F25*Initiatives!$D$9-F27*Initiatives!$D$9,IF(Initiatives!$D$6="reprice",IF(F$3&gt;=Initiatives!$D$33,(Initiatives!$D$41*Initiatives!$D$44+Initiatives!$D$42*Initiatives!$D$20)*(1-Inputs!$C$9)^(F$3-Initiatives!$D$33),0)-F27*Initiatives!$D$9,F$5*Initiatives!$D$22*F22+F25*Inputs!$C$8))</f>
        <v>2424234477.97143</v>
      </c>
      <c r="G28" s="8" t="n">
        <f aca="false">IF(Initiatives!$D$6="adoption",G26*Initiatives!$D$14+G25*Initiatives!$D$9-G27*Initiatives!$D$9,IF(Initiatives!$D$6="reprice",IF(G$3&gt;=Initiatives!$D$33,(Initiatives!$D$41*Initiatives!$D$44+Initiatives!$D$42*Initiatives!$D$20)*(1-Inputs!$C$9)^(G$3-Initiatives!$D$33),0)-G27*Initiatives!$D$9,G$5*Initiatives!$D$22*G22+G25*Inputs!$C$8))</f>
        <v>2387870960.80186</v>
      </c>
      <c r="H28" s="8" t="n">
        <f aca="false">IF(Initiatives!$D$6="adoption",H26*Initiatives!$D$14+H25*Initiatives!$D$9-H27*Initiatives!$D$9,IF(Initiatives!$D$6="reprice",IF(H$3&gt;=Initiatives!$D$33,(Initiatives!$D$41*Initiatives!$D$44+Initiatives!$D$42*Initiatives!$D$20)*(1-Inputs!$C$9)^(H$3-Initiatives!$D$33),0)-H27*Initiatives!$D$9,H$5*Initiatives!$D$22*H22+H25*Inputs!$C$8))</f>
        <v>2352052896.38983</v>
      </c>
      <c r="I28" s="8" t="n">
        <f aca="false">IF(Initiatives!$D$6="adoption",I26*Initiatives!$D$14+I25*Initiatives!$D$9-I27*Initiatives!$D$9,IF(Initiatives!$D$6="reprice",IF(I$3&gt;=Initiatives!$D$33,(Initiatives!$D$41*Initiatives!$D$44+Initiatives!$D$42*Initiatives!$D$20)*(1-Inputs!$C$9)^(I$3-Initiatives!$D$33),0)-I27*Initiatives!$D$9,I$5*Initiatives!$D$22*I22+I25*Inputs!$C$8))</f>
        <v>2316772102.94398</v>
      </c>
      <c r="J28" s="8" t="n">
        <f aca="false">IF(Initiatives!$D$6="adoption",J26*Initiatives!$D$14+J25*Initiatives!$D$9-J27*Initiatives!$D$9,IF(Initiatives!$D$6="reprice",IF(J$3&gt;=Initiatives!$D$33,(Initiatives!$D$41*Initiatives!$D$44+Initiatives!$D$42*Initiatives!$D$20)*(1-Inputs!$C$9)^(J$3-Initiatives!$D$33),0)-J27*Initiatives!$D$9,J$5*Initiatives!$D$22*J22+J25*Inputs!$C$8))</f>
        <v>2282020521.39982</v>
      </c>
      <c r="K28" s="8" t="n">
        <f aca="false">IF(Initiatives!$D$6="adoption",K26*Initiatives!$D$14+K25*Initiatives!$D$9-K27*Initiatives!$D$9,IF(Initiatives!$D$6="reprice",IF(K$3&gt;=Initiatives!$D$33,(Initiatives!$D$41*Initiatives!$D$44+Initiatives!$D$42*Initiatives!$D$20)*(1-Inputs!$C$9)^(K$3-Initiatives!$D$33),0)-K27*Initiatives!$D$9,K$5*Initiatives!$D$22*K22+K25*Inputs!$C$8))</f>
        <v>2247790213.57882</v>
      </c>
      <c r="L28" s="8" t="n">
        <f aca="false">IF(Initiatives!$D$6="adoption",L26*Initiatives!$D$14+L25*Initiatives!$D$9-L27*Initiatives!$D$9,IF(Initiatives!$D$6="reprice",IF(L$3&gt;=Initiatives!$D$33,(Initiatives!$D$41*Initiatives!$D$44+Initiatives!$D$42*Initiatives!$D$20)*(1-Inputs!$C$9)^(L$3-Initiatives!$D$33),0)-L27*Initiatives!$D$9,L$5*Initiatives!$D$22*L22+L25*Inputs!$C$8))</f>
        <v>2214073360.37514</v>
      </c>
      <c r="M28" s="8" t="n">
        <f aca="false">IF(Initiatives!$D$6="adoption",M26*Initiatives!$D$14+M25*Initiatives!$D$9-M27*Initiatives!$D$9,IF(Initiatives!$D$6="reprice",IF(M$3&gt;=Initiatives!$D$33,(Initiatives!$D$41*Initiatives!$D$44+Initiatives!$D$42*Initiatives!$D$20)*(1-Inputs!$C$9)^(M$3-Initiatives!$D$33),0)-M27*Initiatives!$D$9,M$5*Initiatives!$D$22*M22+M25*Inputs!$C$8))</f>
        <v>2180862259.96952</v>
      </c>
      <c r="N28" s="8" t="n">
        <f aca="false">IF(Initiatives!$D$6="adoption",N26*Initiatives!$D$14+N25*Initiatives!$D$9-N27*Initiatives!$D$9,IF(Initiatives!$D$6="reprice",IF(N$3&gt;=Initiatives!$D$33,(Initiatives!$D$41*Initiatives!$D$44+Initiatives!$D$42*Initiatives!$D$20)*(1-Inputs!$C$9)^(N$3-Initiatives!$D$33),0)-N27*Initiatives!$D$9,N$5*Initiatives!$D$22*N22+N25*Inputs!$C$8))</f>
        <v>2148149326.06997</v>
      </c>
      <c r="O28" s="8" t="n">
        <f aca="false">IF(Initiatives!$D$6="adoption",O26*Initiatives!$D$14+O25*Initiatives!$D$9-O27*Initiatives!$D$9,IF(Initiatives!$D$6="reprice",IF(O$3&gt;=Initiatives!$D$33,(Initiatives!$D$41*Initiatives!$D$44+Initiatives!$D$42*Initiatives!$D$20)*(1-Inputs!$C$9)^(O$3-Initiatives!$D$33),0)-O27*Initiatives!$D$9,O$5*Initiatives!$D$22*O22+O25*Inputs!$C$8))</f>
        <v>2115927086.17892</v>
      </c>
      <c r="P28" s="8" t="n">
        <f aca="false">IF(Initiatives!$D$6="adoption",P26*Initiatives!$D$14+P25*Initiatives!$D$9-P27*Initiatives!$D$9,IF(Initiatives!$D$6="reprice",IF(P$3&gt;=Initiatives!$D$33,(Initiatives!$D$41*Initiatives!$D$44+Initiatives!$D$42*Initiatives!$D$20)*(1-Inputs!$C$9)^(P$3-Initiatives!$D$33),0)-P27*Initiatives!$D$9,P$5*Initiatives!$D$22*P22+P25*Inputs!$C$8))</f>
        <v>2084188179.88624</v>
      </c>
      <c r="Q28" s="8" t="n">
        <f aca="false">IF(Initiatives!$D$6="adoption",Q26*Initiatives!$D$14+Q25*Initiatives!$D$9-Q27*Initiatives!$D$9,IF(Initiatives!$D$6="reprice",IF(Q$3&gt;=Initiatives!$D$33,(Initiatives!$D$41*Initiatives!$D$44+Initiatives!$D$42*Initiatives!$D$20)*(1-Inputs!$C$9)^(Q$3-Initiatives!$D$33),0)-Q27*Initiatives!$D$9,Q$5*Initiatives!$D$22*Q22+Q25*Inputs!$C$8))</f>
        <v>2052925357.18795</v>
      </c>
      <c r="R28" s="8" t="n">
        <f aca="false">IF(Initiatives!$D$6="adoption",R26*Initiatives!$D$14+R25*Initiatives!$D$9-R27*Initiatives!$D$9,IF(Initiatives!$D$6="reprice",IF(R$3&gt;=Initiatives!$D$33,(Initiatives!$D$41*Initiatives!$D$44+Initiatives!$D$42*Initiatives!$D$20)*(1-Inputs!$C$9)^(R$3-Initiatives!$D$33),0)-R27*Initiatives!$D$9,R$5*Initiatives!$D$22*R22+R25*Inputs!$C$8))</f>
        <v>2022131476.83013</v>
      </c>
      <c r="S28" s="8" t="n">
        <f aca="false">IF(Initiatives!$D$6="adoption",S26*Initiatives!$D$14+S25*Initiatives!$D$9-S27*Initiatives!$D$9,IF(Initiatives!$D$6="reprice",IF(S$3&gt;=Initiatives!$D$33,(Initiatives!$D$41*Initiatives!$D$44+Initiatives!$D$42*Initiatives!$D$20)*(1-Inputs!$C$9)^(S$3-Initiatives!$D$33),0)-S27*Initiatives!$D$9,S$5*Initiatives!$D$22*S22+S25*Inputs!$C$8))</f>
        <v>1991799504.67767</v>
      </c>
      <c r="T28" s="8" t="n">
        <f aca="false">IF(Initiatives!$D$6="adoption",T26*Initiatives!$D$14+T25*Initiatives!$D$9-T27*Initiatives!$D$9,IF(Initiatives!$D$6="reprice",IF(T$3&gt;=Initiatives!$D$33,(Initiatives!$D$41*Initiatives!$D$44+Initiatives!$D$42*Initiatives!$D$20)*(1-Inputs!$C$9)^(T$3-Initiatives!$D$33),0)-T27*Initiatives!$D$9,T$5*Initiatives!$D$22*T22+T25*Inputs!$C$8))</f>
        <v>1961922512.10751</v>
      </c>
      <c r="U28" s="8" t="n">
        <f aca="false">IF(Initiatives!$D$6="adoption",U26*Initiatives!$D$14+U25*Initiatives!$D$9-U27*Initiatives!$D$9,IF(Initiatives!$D$6="reprice",IF(U$3&gt;=Initiatives!$D$33,(Initiatives!$D$41*Initiatives!$D$44+Initiatives!$D$42*Initiatives!$D$20)*(1-Inputs!$C$9)^(U$3-Initiatives!$D$33),0)-U27*Initiatives!$D$9,U$5*Initiatives!$D$22*U22+U25*Inputs!$C$8))</f>
        <v>1932493674.4259</v>
      </c>
      <c r="V28" s="8" t="n">
        <f aca="false">IF(Initiatives!$D$6="adoption",V26*Initiatives!$D$14+V25*Initiatives!$D$9-V27*Initiatives!$D$9,IF(Initiatives!$D$6="reprice",IF(V$3&gt;=Initiatives!$D$33,(Initiatives!$D$41*Initiatives!$D$44+Initiatives!$D$42*Initiatives!$D$20)*(1-Inputs!$C$9)^(V$3-Initiatives!$D$33),0)-V27*Initiatives!$D$9,V$5*Initiatives!$D$22*V22+V25*Inputs!$C$8))</f>
        <v>1903506269.30951</v>
      </c>
      <c r="W28" s="8" t="n">
        <f aca="false">IF(Initiatives!$D$6="adoption",W26*Initiatives!$D$14+W25*Initiatives!$D$9-W27*Initiatives!$D$9,IF(Initiatives!$D$6="reprice",IF(W$3&gt;=Initiatives!$D$33,(Initiatives!$D$41*Initiatives!$D$44+Initiatives!$D$42*Initiatives!$D$20)*(1-Inputs!$C$9)^(W$3-Initiatives!$D$33),0)-W27*Initiatives!$D$9,W$5*Initiatives!$D$22*W22+W25*Inputs!$C$8))</f>
        <v>1874953675.26987</v>
      </c>
      <c r="X28" s="8" t="n">
        <f aca="false">IF(Initiatives!$D$6="adoption",X26*Initiatives!$D$14+X25*Initiatives!$D$9-X27*Initiatives!$D$9,IF(Initiatives!$D$6="reprice",IF(X$3&gt;=Initiatives!$D$33,(Initiatives!$D$41*Initiatives!$D$44+Initiatives!$D$42*Initiatives!$D$20)*(1-Inputs!$C$9)^(X$3-Initiatives!$D$33),0)-X27*Initiatives!$D$9,X$5*Initiatives!$D$22*X22+X25*Inputs!$C$8))</f>
        <v>1846829370.14082</v>
      </c>
      <c r="Y28" s="8" t="n">
        <f aca="false">IF(Initiatives!$D$6="adoption",Y26*Initiatives!$D$14+Y25*Initiatives!$D$9-Y27*Initiatives!$D$9,IF(Initiatives!$D$6="reprice",IF(Y$3&gt;=Initiatives!$D$33,(Initiatives!$D$41*Initiatives!$D$44+Initiatives!$D$42*Initiatives!$D$20)*(1-Inputs!$C$9)^(Y$3-Initiatives!$D$33),0)-Y27*Initiatives!$D$9,Y$5*Initiatives!$D$22*Y22+Y25*Inputs!$C$8))</f>
        <v>1819126929.5887</v>
      </c>
      <c r="Z28" s="8" t="n">
        <f aca="false">IF(Initiatives!$D$6="adoption",Z26*Initiatives!$D$14+Z25*Initiatives!$D$9-Z27*Initiatives!$D$9,IF(Initiatives!$D$6="reprice",IF(Z$3&gt;=Initiatives!$D$33,(Initiatives!$D$41*Initiatives!$D$44+Initiatives!$D$42*Initiatives!$D$20)*(1-Inputs!$C$9)^(Z$3-Initiatives!$D$33),0)-Z27*Initiatives!$D$9,Z$5*Initiatives!$D$22*Z22+Z25*Inputs!$C$8))</f>
        <v>1791840025.64487</v>
      </c>
    </row>
    <row r="29" customFormat="false" ht="15" hidden="false" customHeight="false" outlineLevel="0" collapsed="false">
      <c r="A29" s="4" t="s">
        <v>227</v>
      </c>
      <c r="B29" s="4" t="s">
        <v>228</v>
      </c>
      <c r="C29" s="8" t="n">
        <f aca="false">C26*Initiatives!$D$24*Initiatives!$D$25</f>
        <v>0</v>
      </c>
      <c r="D29" s="8" t="n">
        <f aca="false">D26*Initiatives!$D$24*Initiatives!$D$25</f>
        <v>0</v>
      </c>
      <c r="E29" s="8" t="n">
        <f aca="false">E26*Initiatives!$D$24*Initiatives!$D$25</f>
        <v>0</v>
      </c>
      <c r="F29" s="8" t="n">
        <f aca="false">F26*Initiatives!$D$24*Initiatives!$D$25</f>
        <v>0</v>
      </c>
      <c r="G29" s="8" t="n">
        <f aca="false">G26*Initiatives!$D$24*Initiatives!$D$25</f>
        <v>0</v>
      </c>
      <c r="H29" s="8" t="n">
        <f aca="false">H26*Initiatives!$D$24*Initiatives!$D$25</f>
        <v>0</v>
      </c>
      <c r="I29" s="8" t="n">
        <f aca="false">I26*Initiatives!$D$24*Initiatives!$D$25</f>
        <v>0</v>
      </c>
      <c r="J29" s="8" t="n">
        <f aca="false">J26*Initiatives!$D$24*Initiatives!$D$25</f>
        <v>0</v>
      </c>
      <c r="K29" s="8" t="n">
        <f aca="false">K26*Initiatives!$D$24*Initiatives!$D$25</f>
        <v>0</v>
      </c>
      <c r="L29" s="8" t="n">
        <f aca="false">L26*Initiatives!$D$24*Initiatives!$D$25</f>
        <v>0</v>
      </c>
      <c r="M29" s="8" t="n">
        <f aca="false">M26*Initiatives!$D$24*Initiatives!$D$25</f>
        <v>0</v>
      </c>
      <c r="N29" s="8" t="n">
        <f aca="false">N26*Initiatives!$D$24*Initiatives!$D$25</f>
        <v>0</v>
      </c>
      <c r="O29" s="8" t="n">
        <f aca="false">O26*Initiatives!$D$24*Initiatives!$D$25</f>
        <v>0</v>
      </c>
      <c r="P29" s="8" t="n">
        <f aca="false">P26*Initiatives!$D$24*Initiatives!$D$25</f>
        <v>0</v>
      </c>
      <c r="Q29" s="8" t="n">
        <f aca="false">Q26*Initiatives!$D$24*Initiatives!$D$25</f>
        <v>0</v>
      </c>
      <c r="R29" s="8" t="n">
        <f aca="false">R26*Initiatives!$D$24*Initiatives!$D$25</f>
        <v>0</v>
      </c>
      <c r="S29" s="8" t="n">
        <f aca="false">S26*Initiatives!$D$24*Initiatives!$D$25</f>
        <v>0</v>
      </c>
      <c r="T29" s="8" t="n">
        <f aca="false">T26*Initiatives!$D$24*Initiatives!$D$25</f>
        <v>0</v>
      </c>
      <c r="U29" s="8" t="n">
        <f aca="false">U26*Initiatives!$D$24*Initiatives!$D$25</f>
        <v>0</v>
      </c>
      <c r="V29" s="8" t="n">
        <f aca="false">V26*Initiatives!$D$24*Initiatives!$D$25</f>
        <v>0</v>
      </c>
      <c r="W29" s="8" t="n">
        <f aca="false">W26*Initiatives!$D$24*Initiatives!$D$25</f>
        <v>0</v>
      </c>
      <c r="X29" s="8" t="n">
        <f aca="false">X26*Initiatives!$D$24*Initiatives!$D$25</f>
        <v>0</v>
      </c>
      <c r="Y29" s="8" t="n">
        <f aca="false">Y26*Initiatives!$D$24*Initiatives!$D$25</f>
        <v>0</v>
      </c>
      <c r="Z29" s="8" t="n">
        <f aca="false">Z26*Initiatives!$D$24*Initiatives!$D$25</f>
        <v>0</v>
      </c>
    </row>
    <row r="30" customFormat="false" ht="15" hidden="false" customHeight="false" outlineLevel="0" collapsed="false">
      <c r="A30" s="4" t="s">
        <v>229</v>
      </c>
      <c r="B30" s="4" t="s">
        <v>230</v>
      </c>
      <c r="C30" s="8" t="n">
        <f aca="false">IF(C$3&lt;=Initiatives!$D$46,Initiatives!$D$29/Initiatives!$D$46,0)+IF(C$3&gt;=Initiatives!$D$33,Initiatives!$D$30,0)+IF(C$3=Initiatives!$D$33,Initiatives!$D$39*Initiatives!$D$26,0)+C24*Initiatives!$D$27+C26*Initiatives!$D$28+IF(AND(Initiatives!$D$6="reprice",C$3&gt;=Initiatives!$D$33),Initiatives!$D$41*Initiatives!$D$21*(1-Inputs!$C$9)^(C$3-Initiatives!$D$33)-Initiatives!$D$31,0)</f>
        <v>300000000</v>
      </c>
      <c r="D30" s="8" t="n">
        <f aca="false">IF(D$3&lt;=Initiatives!$D$46,Initiatives!$D$29/Initiatives!$D$46,0)+IF(D$3&gt;=Initiatives!$D$33,Initiatives!$D$30,0)+IF(D$3=Initiatives!$D$33,Initiatives!$D$39*Initiatives!$D$26,0)+D24*Initiatives!$D$27+D26*Initiatives!$D$28+IF(AND(Initiatives!$D$6="reprice",D$3&gt;=Initiatives!$D$33),Initiatives!$D$41*Initiatives!$D$21*(1-Inputs!$C$9)^(D$3-Initiatives!$D$33)-Initiatives!$D$31,0)</f>
        <v>374675200</v>
      </c>
      <c r="E30" s="8" t="n">
        <f aca="false">IF(E$3&lt;=Initiatives!$D$46,Initiatives!$D$29/Initiatives!$D$46,0)+IF(E$3&gt;=Initiatives!$D$33,Initiatives!$D$30,0)+IF(E$3=Initiatives!$D$33,Initiatives!$D$39*Initiatives!$D$26,0)+E24*Initiatives!$D$27+E26*Initiatives!$D$28+IF(AND(Initiatives!$D$6="reprice",E$3&gt;=Initiatives!$D$33),Initiatives!$D$41*Initiatives!$D$21*(1-Inputs!$C$9)^(E$3-Initiatives!$D$33)-Initiatives!$D$31,0)</f>
        <v>293076672</v>
      </c>
      <c r="F30" s="8" t="n">
        <f aca="false">IF(F$3&lt;=Initiatives!$D$46,Initiatives!$D$29/Initiatives!$D$46,0)+IF(F$3&gt;=Initiatives!$D$33,Initiatives!$D$30,0)+IF(F$3=Initiatives!$D$33,Initiatives!$D$39*Initiatives!$D$26,0)+F24*Initiatives!$D$27+F26*Initiatives!$D$28+IF(AND(Initiatives!$D$6="reprice",F$3&gt;=Initiatives!$D$33),Initiatives!$D$41*Initiatives!$D$21*(1-Inputs!$C$9)^(F$3-Initiatives!$D$33)-Initiatives!$D$31,0)</f>
        <v>288980521.92</v>
      </c>
      <c r="G30" s="8" t="n">
        <f aca="false">IF(G$3&lt;=Initiatives!$D$46,Initiatives!$D$29/Initiatives!$D$46,0)+IF(G$3&gt;=Initiatives!$D$33,Initiatives!$D$30,0)+IF(G$3=Initiatives!$D$33,Initiatives!$D$39*Initiatives!$D$26,0)+G24*Initiatives!$D$27+G26*Initiatives!$D$28+IF(AND(Initiatives!$D$6="reprice",G$3&gt;=Initiatives!$D$33),Initiatives!$D$41*Initiatives!$D$21*(1-Inputs!$C$9)^(G$3-Initiatives!$D$33)-Initiatives!$D$31,0)</f>
        <v>284945814.0912</v>
      </c>
      <c r="H30" s="8" t="n">
        <f aca="false">IF(H$3&lt;=Initiatives!$D$46,Initiatives!$D$29/Initiatives!$D$46,0)+IF(H$3&gt;=Initiatives!$D$33,Initiatives!$D$30,0)+IF(H$3=Initiatives!$D$33,Initiatives!$D$39*Initiatives!$D$26,0)+H24*Initiatives!$D$27+H26*Initiatives!$D$28+IF(AND(Initiatives!$D$6="reprice",H$3&gt;=Initiatives!$D$33),Initiatives!$D$41*Initiatives!$D$21*(1-Inputs!$C$9)^(H$3-Initiatives!$D$33)-Initiatives!$D$31,0)</f>
        <v>280971626.879832</v>
      </c>
      <c r="I30" s="8" t="n">
        <f aca="false">IF(I$3&lt;=Initiatives!$D$46,Initiatives!$D$29/Initiatives!$D$46,0)+IF(I$3&gt;=Initiatives!$D$33,Initiatives!$D$30,0)+IF(I$3=Initiatives!$D$33,Initiatives!$D$39*Initiatives!$D$26,0)+I24*Initiatives!$D$27+I26*Initiatives!$D$28+IF(AND(Initiatives!$D$6="reprice",I$3&gt;=Initiatives!$D$33),Initiatives!$D$41*Initiatives!$D$21*(1-Inputs!$C$9)^(I$3-Initiatives!$D$33)-Initiatives!$D$31,0)</f>
        <v>277057052.476635</v>
      </c>
      <c r="J30" s="8" t="n">
        <f aca="false">IF(J$3&lt;=Initiatives!$D$46,Initiatives!$D$29/Initiatives!$D$46,0)+IF(J$3&gt;=Initiatives!$D$33,Initiatives!$D$30,0)+IF(J$3=Initiatives!$D$33,Initiatives!$D$39*Initiatives!$D$26,0)+J24*Initiatives!$D$27+J26*Initiatives!$D$28+IF(AND(Initiatives!$D$6="reprice",J$3&gt;=Initiatives!$D$33),Initiatives!$D$41*Initiatives!$D$21*(1-Inputs!$C$9)^(J$3-Initiatives!$D$33)-Initiatives!$D$31,0)</f>
        <v>273201196.689485</v>
      </c>
      <c r="K30" s="8" t="n">
        <f aca="false">IF(K$3&lt;=Initiatives!$D$46,Initiatives!$D$29/Initiatives!$D$46,0)+IF(K$3&gt;=Initiatives!$D$33,Initiatives!$D$30,0)+IF(K$3=Initiatives!$D$33,Initiatives!$D$39*Initiatives!$D$26,0)+K24*Initiatives!$D$27+K26*Initiatives!$D$28+IF(AND(Initiatives!$D$6="reprice",K$3&gt;=Initiatives!$D$33),Initiatives!$D$41*Initiatives!$D$21*(1-Inputs!$C$9)^(K$3-Initiatives!$D$33)-Initiatives!$D$31,0)</f>
        <v>269403178.739143</v>
      </c>
      <c r="L30" s="8" t="n">
        <f aca="false">IF(L$3&lt;=Initiatives!$D$46,Initiatives!$D$29/Initiatives!$D$46,0)+IF(L$3&gt;=Initiatives!$D$33,Initiatives!$D$30,0)+IF(L$3=Initiatives!$D$33,Initiatives!$D$39*Initiatives!$D$26,0)+L24*Initiatives!$D$27+L26*Initiatives!$D$28+IF(AND(Initiatives!$D$6="reprice",L$3&gt;=Initiatives!$D$33),Initiatives!$D$41*Initiatives!$D$21*(1-Inputs!$C$9)^(L$3-Initiatives!$D$33)-Initiatives!$D$31,0)</f>
        <v>265662131.058056</v>
      </c>
      <c r="M30" s="8" t="n">
        <f aca="false">IF(M$3&lt;=Initiatives!$D$46,Initiatives!$D$29/Initiatives!$D$46,0)+IF(M$3&gt;=Initiatives!$D$33,Initiatives!$D$30,0)+IF(M$3=Initiatives!$D$33,Initiatives!$D$39*Initiatives!$D$26,0)+M24*Initiatives!$D$27+M26*Initiatives!$D$28+IF(AND(Initiatives!$D$6="reprice",M$3&gt;=Initiatives!$D$33),Initiatives!$D$41*Initiatives!$D$21*(1-Inputs!$C$9)^(M$3-Initiatives!$D$33)-Initiatives!$D$31,0)</f>
        <v>261977199.092185</v>
      </c>
      <c r="N30" s="8" t="n">
        <f aca="false">IF(N$3&lt;=Initiatives!$D$46,Initiatives!$D$29/Initiatives!$D$46,0)+IF(N$3&gt;=Initiatives!$D$33,Initiatives!$D$30,0)+IF(N$3=Initiatives!$D$33,Initiatives!$D$39*Initiatives!$D$26,0)+N24*Initiatives!$D$27+N26*Initiatives!$D$28+IF(AND(Initiatives!$D$6="reprice",N$3&gt;=Initiatives!$D$33),Initiatives!$D$41*Initiatives!$D$21*(1-Inputs!$C$9)^(N$3-Initiatives!$D$33)-Initiatives!$D$31,0)</f>
        <v>258347541.105802</v>
      </c>
      <c r="O30" s="8" t="n">
        <f aca="false">IF(O$3&lt;=Initiatives!$D$46,Initiatives!$D$29/Initiatives!$D$46,0)+IF(O$3&gt;=Initiatives!$D$33,Initiatives!$D$30,0)+IF(O$3=Initiatives!$D$33,Initiatives!$D$39*Initiatives!$D$26,0)+O24*Initiatives!$D$27+O26*Initiatives!$D$28+IF(AND(Initiatives!$D$6="reprice",O$3&gt;=Initiatives!$D$33),Initiatives!$D$41*Initiatives!$D$21*(1-Inputs!$C$9)^(O$3-Initiatives!$D$33)-Initiatives!$D$31,0)</f>
        <v>254772327.989215</v>
      </c>
      <c r="P30" s="8" t="n">
        <f aca="false">IF(P$3&lt;=Initiatives!$D$46,Initiatives!$D$29/Initiatives!$D$46,0)+IF(P$3&gt;=Initiatives!$D$33,Initiatives!$D$30,0)+IF(P$3=Initiatives!$D$33,Initiatives!$D$39*Initiatives!$D$26,0)+P24*Initiatives!$D$27+P26*Initiatives!$D$28+IF(AND(Initiatives!$D$6="reprice",P$3&gt;=Initiatives!$D$33),Initiatives!$D$41*Initiatives!$D$21*(1-Inputs!$C$9)^(P$3-Initiatives!$D$33)-Initiatives!$D$31,0)</f>
        <v>251250743.069377</v>
      </c>
      <c r="Q30" s="8" t="n">
        <f aca="false">IF(Q$3&lt;=Initiatives!$D$46,Initiatives!$D$29/Initiatives!$D$46,0)+IF(Q$3&gt;=Initiatives!$D$33,Initiatives!$D$30,0)+IF(Q$3=Initiatives!$D$33,Initiatives!$D$39*Initiatives!$D$26,0)+Q24*Initiatives!$D$27+Q26*Initiatives!$D$28+IF(AND(Initiatives!$D$6="reprice",Q$3&gt;=Initiatives!$D$33),Initiatives!$D$41*Initiatives!$D$21*(1-Inputs!$C$9)^(Q$3-Initiatives!$D$33)-Initiatives!$D$31,0)</f>
        <v>247781981.923336</v>
      </c>
      <c r="R30" s="8" t="n">
        <f aca="false">IF(R$3&lt;=Initiatives!$D$46,Initiatives!$D$29/Initiatives!$D$46,0)+IF(R$3&gt;=Initiatives!$D$33,Initiatives!$D$30,0)+IF(R$3=Initiatives!$D$33,Initiatives!$D$39*Initiatives!$D$26,0)+R24*Initiatives!$D$27+R26*Initiatives!$D$28+IF(AND(Initiatives!$D$6="reprice",R$3&gt;=Initiatives!$D$33),Initiatives!$D$41*Initiatives!$D$21*(1-Inputs!$C$9)^(R$3-Initiatives!$D$33)-Initiatives!$D$31,0)</f>
        <v>244365252.194486</v>
      </c>
      <c r="S30" s="8" t="n">
        <f aca="false">IF(S$3&lt;=Initiatives!$D$46,Initiatives!$D$29/Initiatives!$D$46,0)+IF(S$3&gt;=Initiatives!$D$33,Initiatives!$D$30,0)+IF(S$3=Initiatives!$D$33,Initiatives!$D$39*Initiatives!$D$26,0)+S24*Initiatives!$D$27+S26*Initiatives!$D$28+IF(AND(Initiatives!$D$6="reprice",S$3&gt;=Initiatives!$D$33),Initiatives!$D$41*Initiatives!$D$21*(1-Inputs!$C$9)^(S$3-Initiatives!$D$33)-Initiatives!$D$31,0)</f>
        <v>240999773.411569</v>
      </c>
      <c r="T30" s="8" t="n">
        <f aca="false">IF(T$3&lt;=Initiatives!$D$46,Initiatives!$D$29/Initiatives!$D$46,0)+IF(T$3&gt;=Initiatives!$D$33,Initiatives!$D$30,0)+IF(T$3=Initiatives!$D$33,Initiatives!$D$39*Initiatives!$D$26,0)+T24*Initiatives!$D$27+T26*Initiatives!$D$28+IF(AND(Initiatives!$D$6="reprice",T$3&gt;=Initiatives!$D$33),Initiatives!$D$41*Initiatives!$D$21*(1-Inputs!$C$9)^(T$3-Initiatives!$D$33)-Initiatives!$D$31,0)</f>
        <v>237684776.810395</v>
      </c>
      <c r="U30" s="8" t="n">
        <f aca="false">IF(U$3&lt;=Initiatives!$D$46,Initiatives!$D$29/Initiatives!$D$46,0)+IF(U$3&gt;=Initiatives!$D$33,Initiatives!$D$30,0)+IF(U$3=Initiatives!$D$33,Initiatives!$D$39*Initiatives!$D$26,0)+U24*Initiatives!$D$27+U26*Initiatives!$D$28+IF(AND(Initiatives!$D$6="reprice",U$3&gt;=Initiatives!$D$33),Initiatives!$D$41*Initiatives!$D$21*(1-Inputs!$C$9)^(U$3-Initiatives!$D$33)-Initiatives!$D$31,0)</f>
        <v>234419505.158239</v>
      </c>
      <c r="V30" s="8" t="n">
        <f aca="false">IF(V$3&lt;=Initiatives!$D$46,Initiatives!$D$29/Initiatives!$D$46,0)+IF(V$3&gt;=Initiatives!$D$33,Initiatives!$D$30,0)+IF(V$3=Initiatives!$D$33,Initiatives!$D$39*Initiatives!$D$26,0)+V24*Initiatives!$D$27+V26*Initiatives!$D$28+IF(AND(Initiatives!$D$6="reprice",V$3&gt;=Initiatives!$D$33),Initiatives!$D$41*Initiatives!$D$21*(1-Inputs!$C$9)^(V$3-Initiatives!$D$33)-Initiatives!$D$31,0)</f>
        <v>231203212.580866</v>
      </c>
      <c r="W30" s="8" t="n">
        <f aca="false">IF(W$3&lt;=Initiatives!$D$46,Initiatives!$D$29/Initiatives!$D$46,0)+IF(W$3&gt;=Initiatives!$D$33,Initiatives!$D$30,0)+IF(W$3=Initiatives!$D$33,Initiatives!$D$39*Initiatives!$D$26,0)+W24*Initiatives!$D$27+W26*Initiatives!$D$28+IF(AND(Initiatives!$D$6="reprice",W$3&gt;=Initiatives!$D$33),Initiatives!$D$41*Initiatives!$D$21*(1-Inputs!$C$9)^(W$3-Initiatives!$D$33)-Initiatives!$D$31,0)</f>
        <v>228035164.392153</v>
      </c>
      <c r="X30" s="8" t="n">
        <f aca="false">IF(X$3&lt;=Initiatives!$D$46,Initiatives!$D$29/Initiatives!$D$46,0)+IF(X$3&gt;=Initiatives!$D$33,Initiatives!$D$30,0)+IF(X$3=Initiatives!$D$33,Initiatives!$D$39*Initiatives!$D$26,0)+X24*Initiatives!$D$27+X26*Initiatives!$D$28+IF(AND(Initiatives!$D$6="reprice",X$3&gt;=Initiatives!$D$33),Initiatives!$D$41*Initiatives!$D$21*(1-Inputs!$C$9)^(X$3-Initiatives!$D$33)-Initiatives!$D$31,0)</f>
        <v>224914636.92627</v>
      </c>
      <c r="Y30" s="8" t="n">
        <f aca="false">IF(Y$3&lt;=Initiatives!$D$46,Initiatives!$D$29/Initiatives!$D$46,0)+IF(Y$3&gt;=Initiatives!$D$33,Initiatives!$D$30,0)+IF(Y$3=Initiatives!$D$33,Initiatives!$D$39*Initiatives!$D$26,0)+Y24*Initiatives!$D$27+Y26*Initiatives!$D$28+IF(AND(Initiatives!$D$6="reprice",Y$3&gt;=Initiatives!$D$33),Initiatives!$D$41*Initiatives!$D$21*(1-Inputs!$C$9)^(Y$3-Initiatives!$D$33)-Initiatives!$D$31,0)</f>
        <v>221840917.372376</v>
      </c>
      <c r="Z30" s="8" t="n">
        <f aca="false">IF(Z$3&lt;=Initiatives!$D$46,Initiatives!$D$29/Initiatives!$D$46,0)+IF(Z$3&gt;=Initiatives!$D$33,Initiatives!$D$30,0)+IF(Z$3=Initiatives!$D$33,Initiatives!$D$39*Initiatives!$D$26,0)+Z24*Initiatives!$D$27+Z26*Initiatives!$D$28+IF(AND(Initiatives!$D$6="reprice",Z$3&gt;=Initiatives!$D$33),Initiatives!$D$41*Initiatives!$D$21*(1-Inputs!$C$9)^(Z$3-Initiatives!$D$33)-Initiatives!$D$31,0)</f>
        <v>218813303.611791</v>
      </c>
    </row>
    <row r="31" customFormat="false" ht="15" hidden="false" customHeight="false" outlineLevel="0" collapsed="false">
      <c r="A31" s="4" t="s">
        <v>231</v>
      </c>
      <c r="B31" s="4" t="s">
        <v>232</v>
      </c>
      <c r="C31" s="8" t="n">
        <f aca="false">(C28+C29)*Initiatives!$D$32-C30</f>
        <v>-300000000</v>
      </c>
      <c r="D31" s="8" t="n">
        <f aca="false">(D28+D29)*Initiatives!$D$32-D30</f>
        <v>2330331657.14286</v>
      </c>
      <c r="E31" s="8" t="n">
        <f aca="false">(E28+E29)*Initiatives!$D$32-E30</f>
        <v>2168075082.28571</v>
      </c>
      <c r="F31" s="8" t="n">
        <f aca="false">(F28+F29)*Initiatives!$D$32-F30</f>
        <v>2135253956.05143</v>
      </c>
      <c r="G31" s="8" t="n">
        <f aca="false">(G28+G29)*Initiatives!$D$32-G30</f>
        <v>2102925146.71066</v>
      </c>
      <c r="H31" s="8" t="n">
        <f aca="false">(H28+H29)*Initiatives!$D$32-H30</f>
        <v>2071081269.51</v>
      </c>
      <c r="I31" s="8" t="n">
        <f aca="false">(I28+I29)*Initiatives!$D$32-I30</f>
        <v>2039715050.46735</v>
      </c>
      <c r="J31" s="8" t="n">
        <f aca="false">(J28+J29)*Initiatives!$D$32-J30</f>
        <v>2008819324.71034</v>
      </c>
      <c r="K31" s="8" t="n">
        <f aca="false">(K28+K29)*Initiatives!$D$32-K30</f>
        <v>1978387034.83968</v>
      </c>
      <c r="L31" s="8" t="n">
        <f aca="false">(L28+L29)*Initiatives!$D$32-L30</f>
        <v>1948411229.31709</v>
      </c>
      <c r="M31" s="8" t="n">
        <f aca="false">(M28+M29)*Initiatives!$D$32-M30</f>
        <v>1918885060.87733</v>
      </c>
      <c r="N31" s="8" t="n">
        <f aca="false">(N28+N29)*Initiatives!$D$32-N30</f>
        <v>1889801784.96417</v>
      </c>
      <c r="O31" s="8" t="n">
        <f aca="false">(O28+O29)*Initiatives!$D$32-O30</f>
        <v>1861154758.18971</v>
      </c>
      <c r="P31" s="8" t="n">
        <f aca="false">(P28+P29)*Initiatives!$D$32-P30</f>
        <v>1832937436.81686</v>
      </c>
      <c r="Q31" s="8" t="n">
        <f aca="false">(Q28+Q29)*Initiatives!$D$32-Q30</f>
        <v>1805143375.26461</v>
      </c>
      <c r="R31" s="8" t="n">
        <f aca="false">(R28+R29)*Initiatives!$D$32-R30</f>
        <v>1777766224.63564</v>
      </c>
      <c r="S31" s="8" t="n">
        <f aca="false">(S28+S29)*Initiatives!$D$32-S30</f>
        <v>1750799731.2661</v>
      </c>
      <c r="T31" s="8" t="n">
        <f aca="false">(T28+T29)*Initiatives!$D$32-T30</f>
        <v>1724237735.29711</v>
      </c>
      <c r="U31" s="8" t="n">
        <f aca="false">(U28+U29)*Initiatives!$D$32-U30</f>
        <v>1698074169.26766</v>
      </c>
      <c r="V31" s="8" t="n">
        <f aca="false">(V28+V29)*Initiatives!$D$32-V30</f>
        <v>1672303056.72864</v>
      </c>
      <c r="W31" s="8" t="n">
        <f aca="false">(W28+W29)*Initiatives!$D$32-W30</f>
        <v>1646918510.87771</v>
      </c>
      <c r="X31" s="8" t="n">
        <f aca="false">(X28+X29)*Initiatives!$D$32-X30</f>
        <v>1621914733.21455</v>
      </c>
      <c r="Y31" s="8" t="n">
        <f aca="false">(Y28+Y29)*Initiatives!$D$32-Y30</f>
        <v>1597286012.21633</v>
      </c>
      <c r="Z31" s="8" t="n">
        <f aca="false">(Z28+Z29)*Initiatives!$D$32-Z30</f>
        <v>1573026722.03308</v>
      </c>
    </row>
    <row r="32" customFormat="false" ht="15" hidden="false" customHeight="false" outlineLevel="0" collapsed="false">
      <c r="A32" s="4" t="s">
        <v>233</v>
      </c>
      <c r="B32" s="4" t="s">
        <v>234</v>
      </c>
      <c r="C32" s="8" t="n">
        <f aca="false">C25-C27</f>
        <v>0</v>
      </c>
      <c r="D32" s="8" t="n">
        <f aca="false">D25-D27</f>
        <v>-9680</v>
      </c>
      <c r="E32" s="8" t="n">
        <f aca="false">E25-E27</f>
        <v>-19214.8</v>
      </c>
      <c r="F32" s="8" t="n">
        <f aca="false">F25-F27</f>
        <v>-18926.578</v>
      </c>
      <c r="G32" s="8" t="n">
        <f aca="false">G25-G27</f>
        <v>-18642.67933</v>
      </c>
      <c r="H32" s="8" t="n">
        <f aca="false">H25-H27</f>
        <v>-18363.03914005</v>
      </c>
      <c r="I32" s="8" t="n">
        <f aca="false">I25-I27</f>
        <v>-18087.5935529493</v>
      </c>
      <c r="J32" s="8" t="n">
        <f aca="false">J25-J27</f>
        <v>-17816.279649655</v>
      </c>
      <c r="K32" s="8" t="n">
        <f aca="false">K25-K27</f>
        <v>-17549.0354549102</v>
      </c>
      <c r="L32" s="8" t="n">
        <f aca="false">L25-L27</f>
        <v>-17285.7999230865</v>
      </c>
      <c r="M32" s="8" t="n">
        <f aca="false">M25-M27</f>
        <v>-17026.5129242402</v>
      </c>
      <c r="N32" s="8" t="n">
        <f aca="false">N25-N27</f>
        <v>-16771.1152303766</v>
      </c>
      <c r="O32" s="8" t="n">
        <f aca="false">O25-O27</f>
        <v>-16519.548501921</v>
      </c>
      <c r="P32" s="8" t="n">
        <f aca="false">P25-P27</f>
        <v>-16271.7552743922</v>
      </c>
      <c r="Q32" s="8" t="n">
        <f aca="false">Q25-Q27</f>
        <v>-16027.6789452763</v>
      </c>
      <c r="R32" s="8" t="n">
        <f aca="false">R25-R27</f>
        <v>-15787.2637610971</v>
      </c>
      <c r="S32" s="8" t="n">
        <f aca="false">S25-S27</f>
        <v>-15550.4548046807</v>
      </c>
      <c r="T32" s="8" t="n">
        <f aca="false">T25-T27</f>
        <v>-15317.1979826105</v>
      </c>
      <c r="U32" s="8" t="n">
        <f aca="false">U25-U27</f>
        <v>-15087.4400128713</v>
      </c>
      <c r="V32" s="8" t="n">
        <f aca="false">V25-V27</f>
        <v>-14861.1284126782</v>
      </c>
      <c r="W32" s="8" t="n">
        <f aca="false">W25-W27</f>
        <v>-14638.2114864881</v>
      </c>
      <c r="X32" s="8" t="n">
        <f aca="false">X25-X27</f>
        <v>-14418.6383141908</v>
      </c>
      <c r="Y32" s="8" t="n">
        <f aca="false">Y25-Y27</f>
        <v>-14202.3587394779</v>
      </c>
      <c r="Z32" s="8" t="n">
        <f aca="false">Z25-Z27</f>
        <v>-13989.3233583857</v>
      </c>
    </row>
    <row r="33" customFormat="false" ht="15" hidden="false" customHeight="false" outlineLevel="0" collapsed="false">
      <c r="A33" s="4" t="s">
        <v>235</v>
      </c>
      <c r="B33" s="4" t="s">
        <v>236</v>
      </c>
      <c r="C33" s="8" t="n">
        <f aca="false">C26*Initiatives!$D$24</f>
        <v>0</v>
      </c>
      <c r="D33" s="8" t="n">
        <f aca="false">D26*Initiatives!$D$24</f>
        <v>0</v>
      </c>
      <c r="E33" s="8" t="n">
        <f aca="false">E26*Initiatives!$D$24</f>
        <v>0</v>
      </c>
      <c r="F33" s="8" t="n">
        <f aca="false">F26*Initiatives!$D$24</f>
        <v>0</v>
      </c>
      <c r="G33" s="8" t="n">
        <f aca="false">G26*Initiatives!$D$24</f>
        <v>0</v>
      </c>
      <c r="H33" s="8" t="n">
        <f aca="false">H26*Initiatives!$D$24</f>
        <v>0</v>
      </c>
      <c r="I33" s="8" t="n">
        <f aca="false">I26*Initiatives!$D$24</f>
        <v>0</v>
      </c>
      <c r="J33" s="8" t="n">
        <f aca="false">J26*Initiatives!$D$24</f>
        <v>0</v>
      </c>
      <c r="K33" s="8" t="n">
        <f aca="false">K26*Initiatives!$D$24</f>
        <v>0</v>
      </c>
      <c r="L33" s="8" t="n">
        <f aca="false">L26*Initiatives!$D$24</f>
        <v>0</v>
      </c>
      <c r="M33" s="8" t="n">
        <f aca="false">M26*Initiatives!$D$24</f>
        <v>0</v>
      </c>
      <c r="N33" s="8" t="n">
        <f aca="false">N26*Initiatives!$D$24</f>
        <v>0</v>
      </c>
      <c r="O33" s="8" t="n">
        <f aca="false">O26*Initiatives!$D$24</f>
        <v>0</v>
      </c>
      <c r="P33" s="8" t="n">
        <f aca="false">P26*Initiatives!$D$24</f>
        <v>0</v>
      </c>
      <c r="Q33" s="8" t="n">
        <f aca="false">Q26*Initiatives!$D$24</f>
        <v>0</v>
      </c>
      <c r="R33" s="8" t="n">
        <f aca="false">R26*Initiatives!$D$24</f>
        <v>0</v>
      </c>
      <c r="S33" s="8" t="n">
        <f aca="false">S26*Initiatives!$D$24</f>
        <v>0</v>
      </c>
      <c r="T33" s="8" t="n">
        <f aca="false">T26*Initiatives!$D$24</f>
        <v>0</v>
      </c>
      <c r="U33" s="8" t="n">
        <f aca="false">U26*Initiatives!$D$24</f>
        <v>0</v>
      </c>
      <c r="V33" s="8" t="n">
        <f aca="false">V26*Initiatives!$D$24</f>
        <v>0</v>
      </c>
      <c r="W33" s="8" t="n">
        <f aca="false">W26*Initiatives!$D$24</f>
        <v>0</v>
      </c>
      <c r="X33" s="8" t="n">
        <f aca="false">X26*Initiatives!$D$24</f>
        <v>0</v>
      </c>
      <c r="Y33" s="8" t="n">
        <f aca="false">Y26*Initiatives!$D$24</f>
        <v>0</v>
      </c>
      <c r="Z33" s="8" t="n">
        <f aca="false">Z26*Initiatives!$D$24</f>
        <v>0</v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" hidden="false" customHeight="false" outlineLevel="0" collapsed="false">
      <c r="A35" s="17" t="s">
        <v>238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customFormat="false" ht="15" hidden="false" customHeight="false" outlineLevel="0" collapsed="false">
      <c r="A36" s="4" t="s">
        <v>213</v>
      </c>
      <c r="B36" s="4" t="s">
        <v>214</v>
      </c>
      <c r="C36" s="24" t="n">
        <f aca="false">IF(C$3&lt;Initiatives!$E$33,0,MIN((C$3-Initiatives!$E$33+1)/Initiatives!$E$34,1))</f>
        <v>0</v>
      </c>
      <c r="D36" s="24" t="n">
        <f aca="false">IF(D$3&lt;Initiatives!$E$33,0,MIN((D$3-Initiatives!$E$33+1)/Initiatives!$E$34,1))</f>
        <v>0.333333333333333</v>
      </c>
      <c r="E36" s="24" t="n">
        <f aca="false">IF(E$3&lt;Initiatives!$E$33,0,MIN((E$3-Initiatives!$E$33+1)/Initiatives!$E$34,1))</f>
        <v>0.666666666666667</v>
      </c>
      <c r="F36" s="24" t="n">
        <f aca="false">IF(F$3&lt;Initiatives!$E$33,0,MIN((F$3-Initiatives!$E$33+1)/Initiatives!$E$34,1))</f>
        <v>1</v>
      </c>
      <c r="G36" s="24" t="n">
        <f aca="false">IF(G$3&lt;Initiatives!$E$33,0,MIN((G$3-Initiatives!$E$33+1)/Initiatives!$E$34,1))</f>
        <v>1</v>
      </c>
      <c r="H36" s="24" t="n">
        <f aca="false">IF(H$3&lt;Initiatives!$E$33,0,MIN((H$3-Initiatives!$E$33+1)/Initiatives!$E$34,1))</f>
        <v>1</v>
      </c>
      <c r="I36" s="24" t="n">
        <f aca="false">IF(I$3&lt;Initiatives!$E$33,0,MIN((I$3-Initiatives!$E$33+1)/Initiatives!$E$34,1))</f>
        <v>1</v>
      </c>
      <c r="J36" s="24" t="n">
        <f aca="false">IF(J$3&lt;Initiatives!$E$33,0,MIN((J$3-Initiatives!$E$33+1)/Initiatives!$E$34,1))</f>
        <v>1</v>
      </c>
      <c r="K36" s="24" t="n">
        <f aca="false">IF(K$3&lt;Initiatives!$E$33,0,MIN((K$3-Initiatives!$E$33+1)/Initiatives!$E$34,1))</f>
        <v>1</v>
      </c>
      <c r="L36" s="24" t="n">
        <f aca="false">IF(L$3&lt;Initiatives!$E$33,0,MIN((L$3-Initiatives!$E$33+1)/Initiatives!$E$34,1))</f>
        <v>1</v>
      </c>
      <c r="M36" s="24" t="n">
        <f aca="false">IF(M$3&lt;Initiatives!$E$33,0,MIN((M$3-Initiatives!$E$33+1)/Initiatives!$E$34,1))</f>
        <v>1</v>
      </c>
      <c r="N36" s="24" t="n">
        <f aca="false">IF(N$3&lt;Initiatives!$E$33,0,MIN((N$3-Initiatives!$E$33+1)/Initiatives!$E$34,1))</f>
        <v>1</v>
      </c>
      <c r="O36" s="24" t="n">
        <f aca="false">IF(O$3&lt;Initiatives!$E$33,0,MIN((O$3-Initiatives!$E$33+1)/Initiatives!$E$34,1))</f>
        <v>1</v>
      </c>
      <c r="P36" s="24" t="n">
        <f aca="false">IF(P$3&lt;Initiatives!$E$33,0,MIN((P$3-Initiatives!$E$33+1)/Initiatives!$E$34,1))</f>
        <v>1</v>
      </c>
      <c r="Q36" s="24" t="n">
        <f aca="false">IF(Q$3&lt;Initiatives!$E$33,0,MIN((Q$3-Initiatives!$E$33+1)/Initiatives!$E$34,1))</f>
        <v>1</v>
      </c>
      <c r="R36" s="24" t="n">
        <f aca="false">IF(R$3&lt;Initiatives!$E$33,0,MIN((R$3-Initiatives!$E$33+1)/Initiatives!$E$34,1))</f>
        <v>1</v>
      </c>
      <c r="S36" s="24" t="n">
        <f aca="false">IF(S$3&lt;Initiatives!$E$33,0,MIN((S$3-Initiatives!$E$33+1)/Initiatives!$E$34,1))</f>
        <v>1</v>
      </c>
      <c r="T36" s="24" t="n">
        <f aca="false">IF(T$3&lt;Initiatives!$E$33,0,MIN((T$3-Initiatives!$E$33+1)/Initiatives!$E$34,1))</f>
        <v>1</v>
      </c>
      <c r="U36" s="24" t="n">
        <f aca="false">IF(U$3&lt;Initiatives!$E$33,0,MIN((U$3-Initiatives!$E$33+1)/Initiatives!$E$34,1))</f>
        <v>1</v>
      </c>
      <c r="V36" s="24" t="n">
        <f aca="false">IF(V$3&lt;Initiatives!$E$33,0,MIN((V$3-Initiatives!$E$33+1)/Initiatives!$E$34,1))</f>
        <v>1</v>
      </c>
      <c r="W36" s="24" t="n">
        <f aca="false">IF(W$3&lt;Initiatives!$E$33,0,MIN((W$3-Initiatives!$E$33+1)/Initiatives!$E$34,1))</f>
        <v>1</v>
      </c>
      <c r="X36" s="24" t="n">
        <f aca="false">IF(X$3&lt;Initiatives!$E$33,0,MIN((X$3-Initiatives!$E$33+1)/Initiatives!$E$34,1))</f>
        <v>1</v>
      </c>
      <c r="Y36" s="24" t="n">
        <f aca="false">IF(Y$3&lt;Initiatives!$E$33,0,MIN((Y$3-Initiatives!$E$33+1)/Initiatives!$E$34,1))</f>
        <v>1</v>
      </c>
      <c r="Z36" s="24" t="n">
        <f aca="false">IF(Z$3&lt;Initiatives!$E$33,0,MIN((Z$3-Initiatives!$E$33+1)/Initiatives!$E$34,1))</f>
        <v>1</v>
      </c>
    </row>
    <row r="37" customFormat="false" ht="15" hidden="false" customHeight="false" outlineLevel="0" collapsed="false">
      <c r="A37" s="4" t="s">
        <v>215</v>
      </c>
      <c r="B37" s="4" t="s">
        <v>216</v>
      </c>
      <c r="C37" s="8" t="n">
        <f aca="false">Initiatives!$E$40*C36</f>
        <v>0</v>
      </c>
      <c r="D37" s="8" t="n">
        <f aca="false">Initiatives!$E$40*D36</f>
        <v>22528</v>
      </c>
      <c r="E37" s="8" t="n">
        <f aca="false">Initiatives!$E$40*E36</f>
        <v>45056</v>
      </c>
      <c r="F37" s="8" t="n">
        <f aca="false">Initiatives!$E$40*F36</f>
        <v>67584</v>
      </c>
      <c r="G37" s="8" t="n">
        <f aca="false">Initiatives!$E$40*G36</f>
        <v>67584</v>
      </c>
      <c r="H37" s="8" t="n">
        <f aca="false">Initiatives!$E$40*H36</f>
        <v>67584</v>
      </c>
      <c r="I37" s="8" t="n">
        <f aca="false">Initiatives!$E$40*I36</f>
        <v>67584</v>
      </c>
      <c r="J37" s="8" t="n">
        <f aca="false">Initiatives!$E$40*J36</f>
        <v>67584</v>
      </c>
      <c r="K37" s="8" t="n">
        <f aca="false">Initiatives!$E$40*K36</f>
        <v>67584</v>
      </c>
      <c r="L37" s="8" t="n">
        <f aca="false">Initiatives!$E$40*L36</f>
        <v>67584</v>
      </c>
      <c r="M37" s="8" t="n">
        <f aca="false">Initiatives!$E$40*M36</f>
        <v>67584</v>
      </c>
      <c r="N37" s="8" t="n">
        <f aca="false">Initiatives!$E$40*N36</f>
        <v>67584</v>
      </c>
      <c r="O37" s="8" t="n">
        <f aca="false">Initiatives!$E$40*O36</f>
        <v>67584</v>
      </c>
      <c r="P37" s="8" t="n">
        <f aca="false">Initiatives!$E$40*P36</f>
        <v>67584</v>
      </c>
      <c r="Q37" s="8" t="n">
        <f aca="false">Initiatives!$E$40*Q36</f>
        <v>67584</v>
      </c>
      <c r="R37" s="8" t="n">
        <f aca="false">Initiatives!$E$40*R36</f>
        <v>67584</v>
      </c>
      <c r="S37" s="8" t="n">
        <f aca="false">Initiatives!$E$40*S36</f>
        <v>67584</v>
      </c>
      <c r="T37" s="8" t="n">
        <f aca="false">Initiatives!$E$40*T36</f>
        <v>67584</v>
      </c>
      <c r="U37" s="8" t="n">
        <f aca="false">Initiatives!$E$40*U36</f>
        <v>67584</v>
      </c>
      <c r="V37" s="8" t="n">
        <f aca="false">Initiatives!$E$40*V36</f>
        <v>67584</v>
      </c>
      <c r="W37" s="8" t="n">
        <f aca="false">Initiatives!$E$40*W36</f>
        <v>67584</v>
      </c>
      <c r="X37" s="8" t="n">
        <f aca="false">Initiatives!$E$40*X36</f>
        <v>67584</v>
      </c>
      <c r="Y37" s="8" t="n">
        <f aca="false">Initiatives!$E$40*Y36</f>
        <v>67584</v>
      </c>
      <c r="Z37" s="8" t="n">
        <f aca="false">Initiatives!$E$40*Z36</f>
        <v>67584</v>
      </c>
    </row>
    <row r="38" customFormat="false" ht="15" hidden="false" customHeight="false" outlineLevel="0" collapsed="false">
      <c r="A38" s="4" t="s">
        <v>217</v>
      </c>
      <c r="B38" s="4" t="s">
        <v>218</v>
      </c>
      <c r="C38" s="8" t="n">
        <f aca="false">MAX(C37-N(B37),0)</f>
        <v>0</v>
      </c>
      <c r="D38" s="8" t="n">
        <f aca="false">MAX(D37-N(C37),0)</f>
        <v>22528</v>
      </c>
      <c r="E38" s="8" t="n">
        <f aca="false">MAX(E37-N(D37),0)</f>
        <v>22528</v>
      </c>
      <c r="F38" s="8" t="n">
        <f aca="false">MAX(F37-N(E37),0)</f>
        <v>22528</v>
      </c>
      <c r="G38" s="8" t="n">
        <f aca="false">MAX(G37-N(F37),0)</f>
        <v>0</v>
      </c>
      <c r="H38" s="8" t="n">
        <f aca="false">MAX(H37-N(G37),0)</f>
        <v>0</v>
      </c>
      <c r="I38" s="8" t="n">
        <f aca="false">MAX(I37-N(H37),0)</f>
        <v>0</v>
      </c>
      <c r="J38" s="8" t="n">
        <f aca="false">MAX(J37-N(I37),0)</f>
        <v>0</v>
      </c>
      <c r="K38" s="8" t="n">
        <f aca="false">MAX(K37-N(J37),0)</f>
        <v>0</v>
      </c>
      <c r="L38" s="8" t="n">
        <f aca="false">MAX(L37-N(K37),0)</f>
        <v>0</v>
      </c>
      <c r="M38" s="8" t="n">
        <f aca="false">MAX(M37-N(L37),0)</f>
        <v>0</v>
      </c>
      <c r="N38" s="8" t="n">
        <f aca="false">MAX(N37-N(M37),0)</f>
        <v>0</v>
      </c>
      <c r="O38" s="8" t="n">
        <f aca="false">MAX(O37-N(N37),0)</f>
        <v>0</v>
      </c>
      <c r="P38" s="8" t="n">
        <f aca="false">MAX(P37-N(O37),0)</f>
        <v>0</v>
      </c>
      <c r="Q38" s="8" t="n">
        <f aca="false">MAX(Q37-N(P37),0)</f>
        <v>0</v>
      </c>
      <c r="R38" s="8" t="n">
        <f aca="false">MAX(R37-N(Q37),0)</f>
        <v>0</v>
      </c>
      <c r="S38" s="8" t="n">
        <f aca="false">MAX(S37-N(R37),0)</f>
        <v>0</v>
      </c>
      <c r="T38" s="8" t="n">
        <f aca="false">MAX(T37-N(S37),0)</f>
        <v>0</v>
      </c>
      <c r="U38" s="8" t="n">
        <f aca="false">MAX(U37-N(T37),0)</f>
        <v>0</v>
      </c>
      <c r="V38" s="8" t="n">
        <f aca="false">MAX(V37-N(U37),0)</f>
        <v>0</v>
      </c>
      <c r="W38" s="8" t="n">
        <f aca="false">MAX(W37-N(V37),0)</f>
        <v>0</v>
      </c>
      <c r="X38" s="8" t="n">
        <f aca="false">MAX(X37-N(W37),0)</f>
        <v>0</v>
      </c>
      <c r="Y38" s="8" t="n">
        <f aca="false">MAX(Y37-N(X37),0)</f>
        <v>0</v>
      </c>
      <c r="Z38" s="8" t="n">
        <f aca="false">MAX(Z37-N(Y37),0)</f>
        <v>0</v>
      </c>
    </row>
    <row r="39" customFormat="false" ht="15" hidden="false" customHeight="false" outlineLevel="0" collapsed="false">
      <c r="A39" s="4" t="s">
        <v>219</v>
      </c>
      <c r="B39" s="4" t="s">
        <v>220</v>
      </c>
      <c r="C39" s="8" t="n">
        <f aca="false">IF(Initiatives!$E$6="adoption",N(B39)*(1-Inputs!$C$9)+N(B40)*Inputs!$C$9*Initiatives!$E$16,IF(Initiatives!$E$6="relative",N(B39)*(1-Inputs!$C$9)+C$4*Inputs!$C$9*Initiatives!$E$23*C36,0))</f>
        <v>0</v>
      </c>
      <c r="D39" s="8" t="n">
        <f aca="false">IF(Initiatives!$E$6="adoption",N(C39)*(1-Inputs!$C$9)+N(C40)*Inputs!$C$9*Initiatives!$E$16,IF(Initiatives!$E$6="relative",N(C39)*(1-Inputs!$C$9)+D$4*Inputs!$C$9*Initiatives!$E$23*D36,0))</f>
        <v>0</v>
      </c>
      <c r="E39" s="8" t="n">
        <f aca="false">IF(Initiatives!$E$6="adoption",N(D39)*(1-Inputs!$C$9)+N(D40)*Inputs!$C$9*Initiatives!$E$16,IF(Initiatives!$E$6="relative",N(D39)*(1-Inputs!$C$9)+E$4*Inputs!$C$9*Initiatives!$E$23*E36,0))</f>
        <v>16.896</v>
      </c>
      <c r="F39" s="8" t="n">
        <f aca="false">IF(Initiatives!$E$6="adoption",N(E39)*(1-Inputs!$C$9)+N(E40)*Inputs!$C$9*Initiatives!$E$16,IF(Initiatives!$E$6="relative",N(E39)*(1-Inputs!$C$9)+F$4*Inputs!$C$9*Initiatives!$E$23*F36,0))</f>
        <v>50.193792</v>
      </c>
      <c r="G39" s="8" t="n">
        <f aca="false">IF(Initiatives!$E$6="adoption",N(F39)*(1-Inputs!$C$9)+N(F40)*Inputs!$C$9*Initiatives!$E$16,IF(Initiatives!$E$6="relative",N(F39)*(1-Inputs!$C$9)+G$4*Inputs!$C$9*Initiatives!$E$23*G36,0))</f>
        <v>99.410012064</v>
      </c>
      <c r="H39" s="8" t="n">
        <f aca="false">IF(Initiatives!$E$6="adoption",N(G39)*(1-Inputs!$C$9)+N(G40)*Inputs!$C$9*Initiatives!$E$16,IF(Initiatives!$E$6="relative",N(G39)*(1-Inputs!$C$9)+H$4*Inputs!$C$9*Initiatives!$E$23*H36,0))</f>
        <v>147.175928768088</v>
      </c>
      <c r="I39" s="8" t="n">
        <f aca="false">IF(Initiatives!$E$6="adoption",N(H39)*(1-Inputs!$C$9)+N(H40)*Inputs!$C$9*Initiatives!$E$16,IF(Initiatives!$E$6="relative",N(H39)*(1-Inputs!$C$9)+I$4*Inputs!$C$9*Initiatives!$E$23*I36,0))</f>
        <v>193.523443518503</v>
      </c>
      <c r="J39" s="8" t="n">
        <f aca="false">IF(Initiatives!$E$6="adoption",N(I39)*(1-Inputs!$C$9)+N(I40)*Inputs!$C$9*Initiatives!$E$16,IF(Initiatives!$E$6="relative",N(I39)*(1-Inputs!$C$9)+J$4*Inputs!$C$9*Initiatives!$E$23*J36,0))</f>
        <v>238.483834607694</v>
      </c>
      <c r="K39" s="8" t="n">
        <f aca="false">IF(Initiatives!$E$6="adoption",N(J39)*(1-Inputs!$C$9)+N(J40)*Inputs!$C$9*Initiatives!$E$16,IF(Initiatives!$E$6="relative",N(J39)*(1-Inputs!$C$9)+K$4*Inputs!$C$9*Initiatives!$E$23*K36,0))</f>
        <v>282.087768621474</v>
      </c>
      <c r="L39" s="8" t="n">
        <f aca="false">IF(Initiatives!$E$6="adoption",N(K39)*(1-Inputs!$C$9)+N(K40)*Inputs!$C$9*Initiatives!$E$16,IF(Initiatives!$E$6="relative",N(K39)*(1-Inputs!$C$9)+L$4*Inputs!$C$9*Initiatives!$E$23*L36,0))</f>
        <v>324.365311645703</v>
      </c>
      <c r="M39" s="8" t="n">
        <f aca="false">IF(Initiatives!$E$6="adoption",N(L39)*(1-Inputs!$C$9)+N(L40)*Inputs!$C$9*Initiatives!$E$16,IF(Initiatives!$E$6="relative",N(L39)*(1-Inputs!$C$9)+M$4*Inputs!$C$9*Initiatives!$E$23*M36,0))</f>
        <v>365.345940275931</v>
      </c>
      <c r="N39" s="8" t="n">
        <f aca="false">IF(Initiatives!$E$6="adoption",N(M39)*(1-Inputs!$C$9)+N(M40)*Inputs!$C$9*Initiatives!$E$16,IF(Initiatives!$E$6="relative",N(M39)*(1-Inputs!$C$9)+N$4*Inputs!$C$9*Initiatives!$E$23*N36,0))</f>
        <v>405.058552433361</v>
      </c>
      <c r="O39" s="8" t="n">
        <f aca="false">IF(Initiatives!$E$6="adoption",N(N39)*(1-Inputs!$C$9)+N(N40)*Inputs!$C$9*Initiatives!$E$16,IF(Initiatives!$E$6="relative",N(N39)*(1-Inputs!$C$9)+O$4*Inputs!$C$9*Initiatives!$E$23*O36,0))</f>
        <v>443.531477990452</v>
      </c>
      <c r="P39" s="8" t="n">
        <f aca="false">IF(Initiatives!$E$6="adoption",N(O39)*(1-Inputs!$C$9)+N(O40)*Inputs!$C$9*Initiatives!$E$16,IF(Initiatives!$E$6="relative",N(O39)*(1-Inputs!$C$9)+P$4*Inputs!$C$9*Initiatives!$E$23*P36,0))</f>
        <v>480.792489209415</v>
      </c>
      <c r="Q39" s="8" t="n">
        <f aca="false">IF(Initiatives!$E$6="adoption",N(P39)*(1-Inputs!$C$9)+N(P40)*Inputs!$C$9*Initiatives!$E$16,IF(Initiatives!$E$6="relative",N(P39)*(1-Inputs!$C$9)+Q$4*Inputs!$C$9*Initiatives!$E$23*Q36,0))</f>
        <v>516.868810996803</v>
      </c>
      <c r="R39" s="8" t="n">
        <f aca="false">IF(Initiatives!$E$6="adoption",N(Q39)*(1-Inputs!$C$9)+N(Q40)*Inputs!$C$9*Initiatives!$E$16,IF(Initiatives!$E$6="relative",N(Q39)*(1-Inputs!$C$9)+R$4*Inputs!$C$9*Initiatives!$E$23*R36,0))</f>
        <v>551.787130977342</v>
      </c>
      <c r="S39" s="8" t="n">
        <f aca="false">IF(Initiatives!$E$6="adoption",N(R39)*(1-Inputs!$C$9)+N(R40)*Inputs!$C$9*Initiatives!$E$16,IF(Initiatives!$E$6="relative",N(R39)*(1-Inputs!$C$9)+S$4*Inputs!$C$9*Initiatives!$E$23*S36,0))</f>
        <v>585.573609390099</v>
      </c>
      <c r="T39" s="8" t="n">
        <f aca="false">IF(Initiatives!$E$6="adoption",N(S39)*(1-Inputs!$C$9)+N(S40)*Inputs!$C$9*Initiatives!$E$16,IF(Initiatives!$E$6="relative",N(S39)*(1-Inputs!$C$9)+T$4*Inputs!$C$9*Initiatives!$E$23*T36,0))</f>
        <v>618.253888810036</v>
      </c>
      <c r="U39" s="8" t="n">
        <f aca="false">IF(Initiatives!$E$6="adoption",N(T39)*(1-Inputs!$C$9)+N(T40)*Inputs!$C$9*Initiatives!$E$16,IF(Initiatives!$E$6="relative",N(T39)*(1-Inputs!$C$9)+U$4*Inputs!$C$9*Initiatives!$E$23*U36,0))</f>
        <v>649.853103697934</v>
      </c>
      <c r="V39" s="8" t="n">
        <f aca="false">IF(Initiatives!$E$6="adoption",N(U39)*(1-Inputs!$C$9)+N(U40)*Inputs!$C$9*Initiatives!$E$16,IF(Initiatives!$E$6="relative",N(U39)*(1-Inputs!$C$9)+V$4*Inputs!$C$9*Initiatives!$E$23*V36,0))</f>
        <v>680.395889781627</v>
      </c>
      <c r="W39" s="8" t="n">
        <f aca="false">IF(Initiatives!$E$6="adoption",N(V39)*(1-Inputs!$C$9)+N(V40)*Inputs!$C$9*Initiatives!$E$16,IF(Initiatives!$E$6="relative",N(V39)*(1-Inputs!$C$9)+W$4*Inputs!$C$9*Initiatives!$E$23*W36,0))</f>
        <v>709.906393271457</v>
      </c>
      <c r="X39" s="8" t="n">
        <f aca="false">IF(Initiatives!$E$6="adoption",N(W39)*(1-Inputs!$C$9)+N(W40)*Inputs!$C$9*Initiatives!$E$16,IF(Initiatives!$E$6="relative",N(W39)*(1-Inputs!$C$9)+X$4*Inputs!$C$9*Initiatives!$E$23*X36,0))</f>
        <v>738.408279912768</v>
      </c>
      <c r="Y39" s="8" t="n">
        <f aca="false">IF(Initiatives!$E$6="adoption",N(X39)*(1-Inputs!$C$9)+N(X40)*Inputs!$C$9*Initiatives!$E$16,IF(Initiatives!$E$6="relative",N(X39)*(1-Inputs!$C$9)+Y$4*Inputs!$C$9*Initiatives!$E$23*Y36,0))</f>
        <v>765.924743878259</v>
      </c>
      <c r="Z39" s="8" t="n">
        <f aca="false">IF(Initiatives!$E$6="adoption",N(Y39)*(1-Inputs!$C$9)+N(Y40)*Inputs!$C$9*Initiatives!$E$16,IF(Initiatives!$E$6="relative",N(Y39)*(1-Inputs!$C$9)+Z$4*Inputs!$C$9*Initiatives!$E$23*Z36,0))</f>
        <v>792.478516502928</v>
      </c>
    </row>
    <row r="40" customFormat="false" ht="15" hidden="false" customHeight="false" outlineLevel="0" collapsed="false">
      <c r="A40" s="4" t="s">
        <v>221</v>
      </c>
      <c r="B40" s="4" t="s">
        <v>222</v>
      </c>
      <c r="C40" s="8" t="n">
        <f aca="false">N(B40)*(1-Initiatives!$E$45)*(1-Inputs!$C$9*(1-Initiatives!$E$16))+C38</f>
        <v>0</v>
      </c>
      <c r="D40" s="8" t="n">
        <f aca="false">N(C40)*(1-Initiatives!$E$45)*(1-Inputs!$C$9*(1-Initiatives!$E$16))+D38</f>
        <v>22528</v>
      </c>
      <c r="E40" s="8" t="n">
        <f aca="false">N(D40)*(1-Initiatives!$E$45)*(1-Inputs!$C$9*(1-Initiatives!$E$16))+E38</f>
        <v>44734.976</v>
      </c>
      <c r="F40" s="8" t="n">
        <f aca="false">N(E40)*(1-Initiatives!$E$45)*(1-Inputs!$C$9*(1-Initiatives!$E$16))+F38</f>
        <v>66625.502592</v>
      </c>
      <c r="G40" s="8" t="n">
        <f aca="false">N(F40)*(1-Initiatives!$E$45)*(1-Inputs!$C$9*(1-Initiatives!$E$16))+G38</f>
        <v>65676.089180064</v>
      </c>
      <c r="H40" s="8" t="n">
        <f aca="false">N(G40)*(1-Initiatives!$E$45)*(1-Inputs!$C$9*(1-Initiatives!$E$16))+H38</f>
        <v>64740.2049092481</v>
      </c>
      <c r="I40" s="8" t="n">
        <f aca="false">N(H40)*(1-Initiatives!$E$45)*(1-Inputs!$C$9*(1-Initiatives!$E$16))+I38</f>
        <v>63817.6569892913</v>
      </c>
      <c r="J40" s="8" t="n">
        <f aca="false">N(I40)*(1-Initiatives!$E$45)*(1-Inputs!$C$9*(1-Initiatives!$E$16))+J38</f>
        <v>62908.2553771939</v>
      </c>
      <c r="K40" s="8" t="n">
        <f aca="false">N(J40)*(1-Initiatives!$E$45)*(1-Inputs!$C$9*(1-Initiatives!$E$16))+K38</f>
        <v>62011.8127380689</v>
      </c>
      <c r="L40" s="8" t="n">
        <f aca="false">N(K40)*(1-Initiatives!$E$45)*(1-Inputs!$C$9*(1-Initiatives!$E$16))+L38</f>
        <v>61128.1444065514</v>
      </c>
      <c r="M40" s="8" t="n">
        <f aca="false">N(L40)*(1-Initiatives!$E$45)*(1-Inputs!$C$9*(1-Initiatives!$E$16))+M38</f>
        <v>60257.0683487581</v>
      </c>
      <c r="N40" s="8" t="n">
        <f aca="false">N(M40)*(1-Initiatives!$E$45)*(1-Inputs!$C$9*(1-Initiatives!$E$16))+N38</f>
        <v>59398.4051247883</v>
      </c>
      <c r="O40" s="8" t="n">
        <f aca="false">N(N40)*(1-Initiatives!$E$45)*(1-Inputs!$C$9*(1-Initiatives!$E$16))+O38</f>
        <v>58551.97785176</v>
      </c>
      <c r="P40" s="8" t="n">
        <f aca="false">N(O40)*(1-Initiatives!$E$45)*(1-Inputs!$C$9*(1-Initiatives!$E$16))+P38</f>
        <v>57717.6121673725</v>
      </c>
      <c r="Q40" s="8" t="n">
        <f aca="false">N(P40)*(1-Initiatives!$E$45)*(1-Inputs!$C$9*(1-Initiatives!$E$16))+Q38</f>
        <v>56895.1361939874</v>
      </c>
      <c r="R40" s="8" t="n">
        <f aca="false">N(Q40)*(1-Initiatives!$E$45)*(1-Inputs!$C$9*(1-Initiatives!$E$16))+R38</f>
        <v>56084.3805032231</v>
      </c>
      <c r="S40" s="8" t="n">
        <f aca="false">N(R40)*(1-Initiatives!$E$45)*(1-Inputs!$C$9*(1-Initiatives!$E$16))+S38</f>
        <v>55285.1780810521</v>
      </c>
      <c r="T40" s="8" t="n">
        <f aca="false">N(S40)*(1-Initiatives!$E$45)*(1-Inputs!$C$9*(1-Initiatives!$E$16))+T38</f>
        <v>54497.3642933972</v>
      </c>
      <c r="U40" s="8" t="n">
        <f aca="false">N(T40)*(1-Initiatives!$E$45)*(1-Inputs!$C$9*(1-Initiatives!$E$16))+U38</f>
        <v>53720.7768522162</v>
      </c>
      <c r="V40" s="8" t="n">
        <f aca="false">N(U40)*(1-Initiatives!$E$45)*(1-Inputs!$C$9*(1-Initiatives!$E$16))+V38</f>
        <v>52955.2557820722</v>
      </c>
      <c r="W40" s="8" t="n">
        <f aca="false">N(V40)*(1-Initiatives!$E$45)*(1-Inputs!$C$9*(1-Initiatives!$E$16))+W38</f>
        <v>52200.6433871776</v>
      </c>
      <c r="X40" s="8" t="n">
        <f aca="false">N(W40)*(1-Initiatives!$E$45)*(1-Inputs!$C$9*(1-Initiatives!$E$16))+X38</f>
        <v>51456.7842189104</v>
      </c>
      <c r="Y40" s="8" t="n">
        <f aca="false">N(X40)*(1-Initiatives!$E$45)*(1-Inputs!$C$9*(1-Initiatives!$E$16))+Y38</f>
        <v>50723.5250437909</v>
      </c>
      <c r="Z40" s="8" t="n">
        <f aca="false">N(Y40)*(1-Initiatives!$E$45)*(1-Inputs!$C$9*(1-Initiatives!$E$16))+Z38</f>
        <v>50000.7148119169</v>
      </c>
    </row>
    <row r="41" customFormat="false" ht="15" hidden="false" customHeight="false" outlineLevel="0" collapsed="false">
      <c r="A41" s="4" t="s">
        <v>223</v>
      </c>
      <c r="B41" s="4" t="s">
        <v>224</v>
      </c>
      <c r="C41" s="8" t="n">
        <f aca="false">N(B41)*(1-Inputs!$C$9)+IF(AND(C$3&gt;=Initiatives!$E$33,C$3&lt;Initiatives!$E$33+Initiatives!$E$47),Initiatives!$E$43/Initiatives!$E$47,0)</f>
        <v>0</v>
      </c>
      <c r="D41" s="8" t="n">
        <f aca="false">N(C41)*(1-Inputs!$C$9)+IF(AND(D$3&gt;=Initiatives!$E$33,D$3&lt;Initiatives!$E$33+Initiatives!$E$47),Initiatives!$E$43/Initiatives!$E$47,0)</f>
        <v>0</v>
      </c>
      <c r="E41" s="8" t="n">
        <f aca="false">N(D41)*(1-Inputs!$C$9)+IF(AND(E$3&gt;=Initiatives!$E$33,E$3&lt;Initiatives!$E$33+Initiatives!$E$47),Initiatives!$E$43/Initiatives!$E$47,0)</f>
        <v>0</v>
      </c>
      <c r="F41" s="8" t="n">
        <f aca="false">N(E41)*(1-Inputs!$C$9)+IF(AND(F$3&gt;=Initiatives!$E$33,F$3&lt;Initiatives!$E$33+Initiatives!$E$47),Initiatives!$E$43/Initiatives!$E$47,0)</f>
        <v>0</v>
      </c>
      <c r="G41" s="8" t="n">
        <f aca="false">N(F41)*(1-Inputs!$C$9)+IF(AND(G$3&gt;=Initiatives!$E$33,G$3&lt;Initiatives!$E$33+Initiatives!$E$47),Initiatives!$E$43/Initiatives!$E$47,0)</f>
        <v>0</v>
      </c>
      <c r="H41" s="8" t="n">
        <f aca="false">N(G41)*(1-Inputs!$C$9)+IF(AND(H$3&gt;=Initiatives!$E$33,H$3&lt;Initiatives!$E$33+Initiatives!$E$47),Initiatives!$E$43/Initiatives!$E$47,0)</f>
        <v>0</v>
      </c>
      <c r="I41" s="8" t="n">
        <f aca="false">N(H41)*(1-Inputs!$C$9)+IF(AND(I$3&gt;=Initiatives!$E$33,I$3&lt;Initiatives!$E$33+Initiatives!$E$47),Initiatives!$E$43/Initiatives!$E$47,0)</f>
        <v>0</v>
      </c>
      <c r="J41" s="8" t="n">
        <f aca="false">N(I41)*(1-Inputs!$C$9)+IF(AND(J$3&gt;=Initiatives!$E$33,J$3&lt;Initiatives!$E$33+Initiatives!$E$47),Initiatives!$E$43/Initiatives!$E$47,0)</f>
        <v>0</v>
      </c>
      <c r="K41" s="8" t="n">
        <f aca="false">N(J41)*(1-Inputs!$C$9)+IF(AND(K$3&gt;=Initiatives!$E$33,K$3&lt;Initiatives!$E$33+Initiatives!$E$47),Initiatives!$E$43/Initiatives!$E$47,0)</f>
        <v>0</v>
      </c>
      <c r="L41" s="8" t="n">
        <f aca="false">N(K41)*(1-Inputs!$C$9)+IF(AND(L$3&gt;=Initiatives!$E$33,L$3&lt;Initiatives!$E$33+Initiatives!$E$47),Initiatives!$E$43/Initiatives!$E$47,0)</f>
        <v>0</v>
      </c>
      <c r="M41" s="8" t="n">
        <f aca="false">N(L41)*(1-Inputs!$C$9)+IF(AND(M$3&gt;=Initiatives!$E$33,M$3&lt;Initiatives!$E$33+Initiatives!$E$47),Initiatives!$E$43/Initiatives!$E$47,0)</f>
        <v>0</v>
      </c>
      <c r="N41" s="8" t="n">
        <f aca="false">N(M41)*(1-Inputs!$C$9)+IF(AND(N$3&gt;=Initiatives!$E$33,N$3&lt;Initiatives!$E$33+Initiatives!$E$47),Initiatives!$E$43/Initiatives!$E$47,0)</f>
        <v>0</v>
      </c>
      <c r="O41" s="8" t="n">
        <f aca="false">N(N41)*(1-Inputs!$C$9)+IF(AND(O$3&gt;=Initiatives!$E$33,O$3&lt;Initiatives!$E$33+Initiatives!$E$47),Initiatives!$E$43/Initiatives!$E$47,0)</f>
        <v>0</v>
      </c>
      <c r="P41" s="8" t="n">
        <f aca="false">N(O41)*(1-Inputs!$C$9)+IF(AND(P$3&gt;=Initiatives!$E$33,P$3&lt;Initiatives!$E$33+Initiatives!$E$47),Initiatives!$E$43/Initiatives!$E$47,0)</f>
        <v>0</v>
      </c>
      <c r="Q41" s="8" t="n">
        <f aca="false">N(P41)*(1-Inputs!$C$9)+IF(AND(Q$3&gt;=Initiatives!$E$33,Q$3&lt;Initiatives!$E$33+Initiatives!$E$47),Initiatives!$E$43/Initiatives!$E$47,0)</f>
        <v>0</v>
      </c>
      <c r="R41" s="8" t="n">
        <f aca="false">N(Q41)*(1-Inputs!$C$9)+IF(AND(R$3&gt;=Initiatives!$E$33,R$3&lt;Initiatives!$E$33+Initiatives!$E$47),Initiatives!$E$43/Initiatives!$E$47,0)</f>
        <v>0</v>
      </c>
      <c r="S41" s="8" t="n">
        <f aca="false">N(R41)*(1-Inputs!$C$9)+IF(AND(S$3&gt;=Initiatives!$E$33,S$3&lt;Initiatives!$E$33+Initiatives!$E$47),Initiatives!$E$43/Initiatives!$E$47,0)</f>
        <v>0</v>
      </c>
      <c r="T41" s="8" t="n">
        <f aca="false">N(S41)*(1-Inputs!$C$9)+IF(AND(T$3&gt;=Initiatives!$E$33,T$3&lt;Initiatives!$E$33+Initiatives!$E$47),Initiatives!$E$43/Initiatives!$E$47,0)</f>
        <v>0</v>
      </c>
      <c r="U41" s="8" t="n">
        <f aca="false">N(T41)*(1-Inputs!$C$9)+IF(AND(U$3&gt;=Initiatives!$E$33,U$3&lt;Initiatives!$E$33+Initiatives!$E$47),Initiatives!$E$43/Initiatives!$E$47,0)</f>
        <v>0</v>
      </c>
      <c r="V41" s="8" t="n">
        <f aca="false">N(U41)*(1-Inputs!$C$9)+IF(AND(V$3&gt;=Initiatives!$E$33,V$3&lt;Initiatives!$E$33+Initiatives!$E$47),Initiatives!$E$43/Initiatives!$E$47,0)</f>
        <v>0</v>
      </c>
      <c r="W41" s="8" t="n">
        <f aca="false">N(V41)*(1-Inputs!$C$9)+IF(AND(W$3&gt;=Initiatives!$E$33,W$3&lt;Initiatives!$E$33+Initiatives!$E$47),Initiatives!$E$43/Initiatives!$E$47,0)</f>
        <v>0</v>
      </c>
      <c r="X41" s="8" t="n">
        <f aca="false">N(W41)*(1-Inputs!$C$9)+IF(AND(X$3&gt;=Initiatives!$E$33,X$3&lt;Initiatives!$E$33+Initiatives!$E$47),Initiatives!$E$43/Initiatives!$E$47,0)</f>
        <v>0</v>
      </c>
      <c r="Y41" s="8" t="n">
        <f aca="false">N(X41)*(1-Inputs!$C$9)+IF(AND(Y$3&gt;=Initiatives!$E$33,Y$3&lt;Initiatives!$E$33+Initiatives!$E$47),Initiatives!$E$43/Initiatives!$E$47,0)</f>
        <v>0</v>
      </c>
      <c r="Z41" s="8" t="n">
        <f aca="false">N(Y41)*(1-Inputs!$C$9)+IF(AND(Z$3&gt;=Initiatives!$E$33,Z$3&lt;Initiatives!$E$33+Initiatives!$E$47),Initiatives!$E$43/Initiatives!$E$47,0)</f>
        <v>0</v>
      </c>
    </row>
    <row r="42" customFormat="false" ht="15" hidden="false" customHeight="false" outlineLevel="0" collapsed="false">
      <c r="A42" s="4" t="s">
        <v>225</v>
      </c>
      <c r="B42" s="4" t="s">
        <v>226</v>
      </c>
      <c r="C42" s="8" t="n">
        <f aca="false">IF(Initiatives!$E$6="adoption",C40*Initiatives!$E$14+C39*Initiatives!$E$9-C41*Initiatives!$E$9,IF(Initiatives!$E$6="reprice",IF(C$3&gt;=Initiatives!$E$33,(Initiatives!$E$41*Initiatives!$E$44+Initiatives!$E$42*Initiatives!$E$20)*(1-Inputs!$C$9)^(C$3-Initiatives!$E$33),0)-C41*Initiatives!$E$9,C$5*Initiatives!$E$22*C36+C39*Inputs!$C$8))</f>
        <v>0</v>
      </c>
      <c r="D42" s="8" t="n">
        <f aca="false">IF(Initiatives!$E$6="adoption",D40*Initiatives!$E$14+D39*Initiatives!$E$9-D41*Initiatives!$E$9,IF(Initiatives!$E$6="reprice",IF(D$3&gt;=Initiatives!$E$33,(Initiatives!$E$41*Initiatives!$E$44+Initiatives!$E$42*Initiatives!$E$20)*(1-Inputs!$C$9)^(D$3-Initiatives!$E$33),0)-D41*Initiatives!$E$9,D$5*Initiatives!$E$22*D36+D39*Inputs!$C$8))</f>
        <v>56320000</v>
      </c>
      <c r="E42" s="8" t="n">
        <f aca="false">IF(Initiatives!$E$6="adoption",E40*Initiatives!$E$14+E39*Initiatives!$E$9-E41*Initiatives!$E$9,IF(Initiatives!$E$6="reprice",IF(E$3&gt;=Initiatives!$E$33,(Initiatives!$E$41*Initiatives!$E$44+Initiatives!$E$42*Initiatives!$E$20)*(1-Inputs!$C$9)^(E$3-Initiatives!$E$33),0)-E41*Initiatives!$E$9,E$5*Initiatives!$E$22*E36+E39*Inputs!$C$8))</f>
        <v>112006400</v>
      </c>
      <c r="F42" s="8" t="n">
        <f aca="false">IF(Initiatives!$E$6="adoption",F40*Initiatives!$E$14+F39*Initiatives!$E$9-F41*Initiatives!$E$9,IF(Initiatives!$E$6="reprice",IF(F$3&gt;=Initiatives!$E$33,(Initiatives!$E$41*Initiatives!$E$44+Initiatives!$E$42*Initiatives!$E$20)*(1-Inputs!$C$9)^(F$3-Initiatives!$E$33),0)-F41*Initiatives!$E$9,F$5*Initiatives!$E$22*F36+F39*Inputs!$C$8))</f>
        <v>167065694.4</v>
      </c>
      <c r="G42" s="8" t="n">
        <f aca="false">IF(Initiatives!$E$6="adoption",G40*Initiatives!$E$14+G39*Initiatives!$E$9-G41*Initiatives!$E$9,IF(Initiatives!$E$6="reprice",IF(G$3&gt;=Initiatives!$E$33,(Initiatives!$E$41*Initiatives!$E$44+Initiatives!$E$42*Initiatives!$E$20)*(1-Inputs!$C$9)^(G$3-Initiatives!$E$33),0)-G41*Initiatives!$E$9,G$5*Initiatives!$E$22*G36+G39*Inputs!$C$8))</f>
        <v>165184323.0708</v>
      </c>
      <c r="H42" s="8" t="n">
        <f aca="false">IF(Initiatives!$E$6="adoption",H40*Initiatives!$E$14+H39*Initiatives!$E$9-H41*Initiatives!$E$9,IF(Initiatives!$E$6="reprice",IF(H$3&gt;=Initiatives!$E$33,(Initiatives!$E$41*Initiatives!$E$44+Initiatives!$E$42*Initiatives!$E$20)*(1-Inputs!$C$9)^(H$3-Initiatives!$E$33),0)-H41*Initiatives!$E$9,H$5*Initiatives!$E$22*H36+H39*Inputs!$C$8))</f>
        <v>163322271.560801</v>
      </c>
      <c r="I42" s="8" t="n">
        <f aca="false">IF(Initiatives!$E$6="adoption",I40*Initiatives!$E$14+I39*Initiatives!$E$9-I41*Initiatives!$E$9,IF(Initiatives!$E$6="reprice",IF(I$3&gt;=Initiatives!$E$33,(Initiatives!$E$41*Initiatives!$E$44+Initiatives!$E$42*Initiatives!$E$20)*(1-Inputs!$C$9)^(I$3-Initiatives!$E$33),0)-I41*Initiatives!$E$9,I$5*Initiatives!$E$22*I36+I39*Inputs!$C$8))</f>
        <v>161479376.908413</v>
      </c>
      <c r="J42" s="8" t="n">
        <f aca="false">IF(Initiatives!$E$6="adoption",J40*Initiatives!$E$14+J39*Initiatives!$E$9-J41*Initiatives!$E$9,IF(Initiatives!$E$6="reprice",IF(J$3&gt;=Initiatives!$E$33,(Initiatives!$E$41*Initiatives!$E$44+Initiatives!$E$42*Initiatives!$E$20)*(1-Inputs!$C$9)^(J$3-Initiatives!$E$33),0)-J41*Initiatives!$E$9,J$5*Initiatives!$E$22*J36+J39*Inputs!$C$8))</f>
        <v>159655476.789062</v>
      </c>
      <c r="K42" s="8" t="n">
        <f aca="false">IF(Initiatives!$E$6="adoption",K40*Initiatives!$E$14+K39*Initiatives!$E$9-K41*Initiatives!$E$9,IF(Initiatives!$E$6="reprice",IF(K$3&gt;=Initiatives!$E$33,(Initiatives!$E$41*Initiatives!$E$44+Initiatives!$E$42*Initiatives!$E$20)*(1-Inputs!$C$9)^(K$3-Initiatives!$E$33),0)-K41*Initiatives!$E$9,K$5*Initiatives!$E$22*K36+K39*Inputs!$C$8))</f>
        <v>157850409.531387</v>
      </c>
      <c r="L42" s="8" t="n">
        <f aca="false">IF(Initiatives!$E$6="adoption",L40*Initiatives!$E$14+L39*Initiatives!$E$9-L41*Initiatives!$E$9,IF(Initiatives!$E$6="reprice",IF(L$3&gt;=Initiatives!$E$33,(Initiatives!$E$41*Initiatives!$E$44+Initiatives!$E$42*Initiatives!$E$20)*(1-Inputs!$C$9)^(L$3-Initiatives!$E$33),0)-L41*Initiatives!$E$9,L$5*Initiatives!$E$22*L36+L39*Inputs!$C$8))</f>
        <v>156064014.132836</v>
      </c>
      <c r="M42" s="8" t="n">
        <f aca="false">IF(Initiatives!$E$6="adoption",M40*Initiatives!$E$14+M39*Initiatives!$E$9-M41*Initiatives!$E$9,IF(Initiatives!$E$6="reprice",IF(M$3&gt;=Initiatives!$E$33,(Initiatives!$E$41*Initiatives!$E$44+Initiatives!$E$42*Initiatives!$E$20)*(1-Inputs!$C$9)^(M$3-Initiatives!$E$33),0)-M41*Initiatives!$E$9,M$5*Initiatives!$E$22*M36+M39*Inputs!$C$8))</f>
        <v>154296130.274654</v>
      </c>
      <c r="N42" s="8" t="n">
        <f aca="false">IF(Initiatives!$E$6="adoption",N40*Initiatives!$E$14+N39*Initiatives!$E$9-N41*Initiatives!$E$9,IF(Initiatives!$E$6="reprice",IF(N$3&gt;=Initiatives!$E$33,(Initiatives!$E$41*Initiatives!$E$44+Initiatives!$E$42*Initiatives!$E$20)*(1-Inputs!$C$9)^(N$3-Initiatives!$E$33),0)-N41*Initiatives!$E$9,N$5*Initiatives!$E$22*N36+N39*Inputs!$C$8))</f>
        <v>152546598.336304</v>
      </c>
      <c r="O42" s="8" t="n">
        <f aca="false">IF(Initiatives!$E$6="adoption",O40*Initiatives!$E$14+O39*Initiatives!$E$9-O41*Initiatives!$E$9,IF(Initiatives!$E$6="reprice",IF(O$3&gt;=Initiatives!$E$33,(Initiatives!$E$41*Initiatives!$E$44+Initiatives!$E$42*Initiatives!$E$20)*(1-Inputs!$C$9)^(O$3-Initiatives!$E$33),0)-O41*Initiatives!$E$9,O$5*Initiatives!$E$22*O36+O39*Inputs!$C$8))</f>
        <v>150815259.409305</v>
      </c>
      <c r="P42" s="8" t="n">
        <f aca="false">IF(Initiatives!$E$6="adoption",P40*Initiatives!$E$14+P39*Initiatives!$E$9-P41*Initiatives!$E$9,IF(Initiatives!$E$6="reprice",IF(P$3&gt;=Initiatives!$E$33,(Initiatives!$E$41*Initiatives!$E$44+Initiatives!$E$42*Initiatives!$E$20)*(1-Inputs!$C$9)^(P$3-Initiatives!$E$33),0)-P41*Initiatives!$E$9,P$5*Initiatives!$E$22*P36+P39*Inputs!$C$8))</f>
        <v>149101955.310525</v>
      </c>
      <c r="Q42" s="8" t="n">
        <f aca="false">IF(Initiatives!$E$6="adoption",Q40*Initiatives!$E$14+Q39*Initiatives!$E$9-Q41*Initiatives!$E$9,IF(Initiatives!$E$6="reprice",IF(Q$3&gt;=Initiatives!$E$33,(Initiatives!$E$41*Initiatives!$E$44+Initiatives!$E$42*Initiatives!$E$20)*(1-Inputs!$C$9)^(Q$3-Initiatives!$E$33),0)-Q41*Initiatives!$E$9,Q$5*Initiatives!$E$22*Q36+Q39*Inputs!$C$8))</f>
        <v>147406528.594937</v>
      </c>
      <c r="R42" s="8" t="n">
        <f aca="false">IF(Initiatives!$E$6="adoption",R40*Initiatives!$E$14+R39*Initiatives!$E$9-R41*Initiatives!$E$9,IF(Initiatives!$E$6="reprice",IF(R$3&gt;=Initiatives!$E$33,(Initiatives!$E$41*Initiatives!$E$44+Initiatives!$E$42*Initiatives!$E$20)*(1-Inputs!$C$9)^(R$3-Initiatives!$E$33),0)-R41*Initiatives!$E$9,R$5*Initiatives!$E$22*R36+R39*Inputs!$C$8))</f>
        <v>145728822.567831</v>
      </c>
      <c r="S42" s="8" t="n">
        <f aca="false">IF(Initiatives!$E$6="adoption",S40*Initiatives!$E$14+S39*Initiatives!$E$9-S41*Initiatives!$E$9,IF(Initiatives!$E$6="reprice",IF(S$3&gt;=Initiatives!$E$33,(Initiatives!$E$41*Initiatives!$E$44+Initiatives!$E$42*Initiatives!$E$20)*(1-Inputs!$C$9)^(S$3-Initiatives!$E$33),0)-S41*Initiatives!$E$9,S$5*Initiatives!$E$22*S36+S39*Inputs!$C$8))</f>
        <v>144068681.296531</v>
      </c>
      <c r="T42" s="8" t="n">
        <f aca="false">IF(Initiatives!$E$6="adoption",T40*Initiatives!$E$14+T39*Initiatives!$E$9-T41*Initiatives!$E$9,IF(Initiatives!$E$6="reprice",IF(T$3&gt;=Initiatives!$E$33,(Initiatives!$E$41*Initiatives!$E$44+Initiatives!$E$42*Initiatives!$E$20)*(1-Inputs!$C$9)^(T$3-Initiatives!$E$33),0)-T41*Initiatives!$E$9,T$5*Initiatives!$E$22*T36+T39*Inputs!$C$8))</f>
        <v>142425949.621593</v>
      </c>
      <c r="U42" s="8" t="n">
        <f aca="false">IF(Initiatives!$E$6="adoption",U40*Initiatives!$E$14+U39*Initiatives!$E$9-U41*Initiatives!$E$9,IF(Initiatives!$E$6="reprice",IF(U$3&gt;=Initiatives!$E$33,(Initiatives!$E$41*Initiatives!$E$44+Initiatives!$E$42*Initiatives!$E$20)*(1-Inputs!$C$9)^(U$3-Initiatives!$E$33),0)-U41*Initiatives!$E$9,U$5*Initiatives!$E$22*U36+U39*Inputs!$C$8))</f>
        <v>140800473.16752</v>
      </c>
      <c r="V42" s="8" t="n">
        <f aca="false">IF(Initiatives!$E$6="adoption",V40*Initiatives!$E$14+V39*Initiatives!$E$9-V41*Initiatives!$E$9,IF(Initiatives!$E$6="reprice",IF(V$3&gt;=Initiatives!$E$33,(Initiatives!$E$41*Initiatives!$E$44+Initiatives!$E$42*Initiatives!$E$20)*(1-Inputs!$C$9)^(V$3-Initiatives!$E$33),0)-V41*Initiatives!$E$9,V$5*Initiatives!$E$22*V36+V39*Inputs!$C$8))</f>
        <v>139192098.352997</v>
      </c>
      <c r="W42" s="8" t="n">
        <f aca="false">IF(Initiatives!$E$6="adoption",W40*Initiatives!$E$14+W39*Initiatives!$E$9-W41*Initiatives!$E$9,IF(Initiatives!$E$6="reprice",IF(W$3&gt;=Initiatives!$E$33,(Initiatives!$E$41*Initiatives!$E$44+Initiatives!$E$42*Initiatives!$E$20)*(1-Inputs!$C$9)^(W$3-Initiatives!$E$33),0)-W41*Initiatives!$E$9,W$5*Initiatives!$E$22*W36+W39*Inputs!$C$8))</f>
        <v>137600672.400659</v>
      </c>
      <c r="X42" s="8" t="n">
        <f aca="false">IF(Initiatives!$E$6="adoption",X40*Initiatives!$E$14+X39*Initiatives!$E$9-X41*Initiatives!$E$9,IF(Initiatives!$E$6="reprice",IF(X$3&gt;=Initiatives!$E$33,(Initiatives!$E$41*Initiatives!$E$44+Initiatives!$E$42*Initiatives!$E$20)*(1-Inputs!$C$9)^(X$3-Initiatives!$E$33),0)-X41*Initiatives!$E$9,X$5*Initiatives!$E$22*X36+X39*Inputs!$C$8))</f>
        <v>136026043.346404</v>
      </c>
      <c r="Y42" s="8" t="n">
        <f aca="false">IF(Initiatives!$E$6="adoption",Y40*Initiatives!$E$14+Y39*Initiatives!$E$9-Y41*Initiatives!$E$9,IF(Initiatives!$E$6="reprice",IF(Y$3&gt;=Initiatives!$E$33,(Initiatives!$E$41*Initiatives!$E$44+Initiatives!$E$42*Initiatives!$E$20)*(1-Inputs!$C$9)^(Y$3-Initiatives!$E$33),0)-Y41*Initiatives!$E$9,Y$5*Initiatives!$E$22*Y36+Y39*Inputs!$C$8))</f>
        <v>134468060.04826</v>
      </c>
      <c r="Z42" s="8" t="n">
        <f aca="false">IF(Initiatives!$E$6="adoption",Z40*Initiatives!$E$14+Z39*Initiatives!$E$9-Z41*Initiatives!$E$9,IF(Initiatives!$E$6="reprice",IF(Z$3&gt;=Initiatives!$E$33,(Initiatives!$E$41*Initiatives!$E$44+Initiatives!$E$42*Initiatives!$E$20)*(1-Inputs!$C$9)^(Z$3-Initiatives!$E$33),0)-Z41*Initiatives!$E$9,Z$5*Initiatives!$E$22*Z36+Z39*Inputs!$C$8))</f>
        <v>132926572.194821</v>
      </c>
    </row>
    <row r="43" customFormat="false" ht="15" hidden="false" customHeight="false" outlineLevel="0" collapsed="false">
      <c r="A43" s="4" t="s">
        <v>227</v>
      </c>
      <c r="B43" s="4" t="s">
        <v>228</v>
      </c>
      <c r="C43" s="8" t="n">
        <f aca="false">C40*Initiatives!$E$24*Initiatives!$E$25</f>
        <v>0</v>
      </c>
      <c r="D43" s="8" t="n">
        <f aca="false">D40*Initiatives!$E$24*Initiatives!$E$25</f>
        <v>0</v>
      </c>
      <c r="E43" s="8" t="n">
        <f aca="false">E40*Initiatives!$E$24*Initiatives!$E$25</f>
        <v>0</v>
      </c>
      <c r="F43" s="8" t="n">
        <f aca="false">F40*Initiatives!$E$24*Initiatives!$E$25</f>
        <v>0</v>
      </c>
      <c r="G43" s="8" t="n">
        <f aca="false">G40*Initiatives!$E$24*Initiatives!$E$25</f>
        <v>0</v>
      </c>
      <c r="H43" s="8" t="n">
        <f aca="false">H40*Initiatives!$E$24*Initiatives!$E$25</f>
        <v>0</v>
      </c>
      <c r="I43" s="8" t="n">
        <f aca="false">I40*Initiatives!$E$24*Initiatives!$E$25</f>
        <v>0</v>
      </c>
      <c r="J43" s="8" t="n">
        <f aca="false">J40*Initiatives!$E$24*Initiatives!$E$25</f>
        <v>0</v>
      </c>
      <c r="K43" s="8" t="n">
        <f aca="false">K40*Initiatives!$E$24*Initiatives!$E$25</f>
        <v>0</v>
      </c>
      <c r="L43" s="8" t="n">
        <f aca="false">L40*Initiatives!$E$24*Initiatives!$E$25</f>
        <v>0</v>
      </c>
      <c r="M43" s="8" t="n">
        <f aca="false">M40*Initiatives!$E$24*Initiatives!$E$25</f>
        <v>0</v>
      </c>
      <c r="N43" s="8" t="n">
        <f aca="false">N40*Initiatives!$E$24*Initiatives!$E$25</f>
        <v>0</v>
      </c>
      <c r="O43" s="8" t="n">
        <f aca="false">O40*Initiatives!$E$24*Initiatives!$E$25</f>
        <v>0</v>
      </c>
      <c r="P43" s="8" t="n">
        <f aca="false">P40*Initiatives!$E$24*Initiatives!$E$25</f>
        <v>0</v>
      </c>
      <c r="Q43" s="8" t="n">
        <f aca="false">Q40*Initiatives!$E$24*Initiatives!$E$25</f>
        <v>0</v>
      </c>
      <c r="R43" s="8" t="n">
        <f aca="false">R40*Initiatives!$E$24*Initiatives!$E$25</f>
        <v>0</v>
      </c>
      <c r="S43" s="8" t="n">
        <f aca="false">S40*Initiatives!$E$24*Initiatives!$E$25</f>
        <v>0</v>
      </c>
      <c r="T43" s="8" t="n">
        <f aca="false">T40*Initiatives!$E$24*Initiatives!$E$25</f>
        <v>0</v>
      </c>
      <c r="U43" s="8" t="n">
        <f aca="false">U40*Initiatives!$E$24*Initiatives!$E$25</f>
        <v>0</v>
      </c>
      <c r="V43" s="8" t="n">
        <f aca="false">V40*Initiatives!$E$24*Initiatives!$E$25</f>
        <v>0</v>
      </c>
      <c r="W43" s="8" t="n">
        <f aca="false">W40*Initiatives!$E$24*Initiatives!$E$25</f>
        <v>0</v>
      </c>
      <c r="X43" s="8" t="n">
        <f aca="false">X40*Initiatives!$E$24*Initiatives!$E$25</f>
        <v>0</v>
      </c>
      <c r="Y43" s="8" t="n">
        <f aca="false">Y40*Initiatives!$E$24*Initiatives!$E$25</f>
        <v>0</v>
      </c>
      <c r="Z43" s="8" t="n">
        <f aca="false">Z40*Initiatives!$E$24*Initiatives!$E$25</f>
        <v>0</v>
      </c>
    </row>
    <row r="44" customFormat="false" ht="15" hidden="false" customHeight="false" outlineLevel="0" collapsed="false">
      <c r="A44" s="4" t="s">
        <v>229</v>
      </c>
      <c r="B44" s="4" t="s">
        <v>230</v>
      </c>
      <c r="C44" s="8" t="n">
        <f aca="false">IF(C$3&lt;=Initiatives!$E$46,Initiatives!$E$29/Initiatives!$E$46,0)+IF(C$3&gt;=Initiatives!$E$33,Initiatives!$E$30,0)+IF(C$3=Initiatives!$E$33,Initiatives!$E$39*Initiatives!$E$26,0)+C38*Initiatives!$E$27+C40*Initiatives!$E$28+IF(AND(Initiatives!$E$6="reprice",C$3&gt;=Initiatives!$E$33),Initiatives!$E$41*Initiatives!$E$21*(1-Inputs!$C$9)^(C$3-Initiatives!$E$33)-Initiatives!$E$31,0)</f>
        <v>250000000</v>
      </c>
      <c r="D44" s="8" t="n">
        <f aca="false">IF(D$3&lt;=Initiatives!$E$46,Initiatives!$E$29/Initiatives!$E$46,0)+IF(D$3&gt;=Initiatives!$E$33,Initiatives!$E$30,0)+IF(D$3=Initiatives!$E$33,Initiatives!$E$39*Initiatives!$E$26,0)+D38*Initiatives!$E$27+D40*Initiatives!$E$28+IF(AND(Initiatives!$E$6="reprice",D$3&gt;=Initiatives!$E$33),Initiatives!$E$41*Initiatives!$E$21*(1-Inputs!$C$9)^(D$3-Initiatives!$E$33)-Initiatives!$E$31,0)</f>
        <v>117502400</v>
      </c>
      <c r="E44" s="8" t="n">
        <f aca="false">IF(E$3&lt;=Initiatives!$E$46,Initiatives!$E$29/Initiatives!$E$46,0)+IF(E$3&gt;=Initiatives!$E$33,Initiatives!$E$30,0)+IF(E$3=Initiatives!$E$33,Initiatives!$E$39*Initiatives!$E$26,0)+E38*Initiatives!$E$27+E40*Initiatives!$E$28+IF(AND(Initiatives!$E$6="reprice",E$3&gt;=Initiatives!$E$33),Initiatives!$E$41*Initiatives!$E$21*(1-Inputs!$C$9)^(E$3-Initiatives!$E$33)-Initiatives!$E$31,0)</f>
        <v>39684492.8</v>
      </c>
      <c r="F44" s="8" t="n">
        <f aca="false">IF(F$3&lt;=Initiatives!$E$46,Initiatives!$E$29/Initiatives!$E$46,0)+IF(F$3&gt;=Initiatives!$E$33,Initiatives!$E$30,0)+IF(F$3=Initiatives!$E$33,Initiatives!$E$39*Initiatives!$E$26,0)+F38*Initiatives!$E$27+F40*Initiatives!$E$28+IF(AND(Initiatives!$E$6="reprice",F$3&gt;=Initiatives!$E$33),Initiatives!$E$41*Initiatives!$E$21*(1-Inputs!$C$9)^(F$3-Initiatives!$E$33)-Initiatives!$E$31,0)</f>
        <v>46251650.7776</v>
      </c>
      <c r="G44" s="8" t="n">
        <f aca="false">IF(G$3&lt;=Initiatives!$E$46,Initiatives!$E$29/Initiatives!$E$46,0)+IF(G$3&gt;=Initiatives!$E$33,Initiatives!$E$30,0)+IF(G$3=Initiatives!$E$33,Initiatives!$E$39*Initiatives!$E$26,0)+G38*Initiatives!$E$27+G40*Initiatives!$E$28+IF(AND(Initiatives!$E$6="reprice",G$3&gt;=Initiatives!$E$33),Initiatives!$E$41*Initiatives!$E$21*(1-Inputs!$C$9)^(G$3-Initiatives!$E$33)-Initiatives!$E$31,0)</f>
        <v>34702826.7540192</v>
      </c>
      <c r="H44" s="8" t="n">
        <f aca="false">IF(H$3&lt;=Initiatives!$E$46,Initiatives!$E$29/Initiatives!$E$46,0)+IF(H$3&gt;=Initiatives!$E$33,Initiatives!$E$30,0)+IF(H$3=Initiatives!$E$33,Initiatives!$E$39*Initiatives!$E$26,0)+H38*Initiatives!$E$27+H40*Initiatives!$E$28+IF(AND(Initiatives!$E$6="reprice",H$3&gt;=Initiatives!$E$33),Initiatives!$E$41*Initiatives!$E$21*(1-Inputs!$C$9)^(H$3-Initiatives!$E$33)-Initiatives!$E$31,0)</f>
        <v>34422061.4727744</v>
      </c>
      <c r="I44" s="8" t="n">
        <f aca="false">IF(I$3&lt;=Initiatives!$E$46,Initiatives!$E$29/Initiatives!$E$46,0)+IF(I$3&gt;=Initiatives!$E$33,Initiatives!$E$30,0)+IF(I$3=Initiatives!$E$33,Initiatives!$E$39*Initiatives!$E$26,0)+I38*Initiatives!$E$27+I40*Initiatives!$E$28+IF(AND(Initiatives!$E$6="reprice",I$3&gt;=Initiatives!$E$33),Initiatives!$E$41*Initiatives!$E$21*(1-Inputs!$C$9)^(I$3-Initiatives!$E$33)-Initiatives!$E$31,0)</f>
        <v>34145297.0967874</v>
      </c>
      <c r="J44" s="8" t="n">
        <f aca="false">IF(J$3&lt;=Initiatives!$E$46,Initiatives!$E$29/Initiatives!$E$46,0)+IF(J$3&gt;=Initiatives!$E$33,Initiatives!$E$30,0)+IF(J$3=Initiatives!$E$33,Initiatives!$E$39*Initiatives!$E$26,0)+J38*Initiatives!$E$27+J40*Initiatives!$E$28+IF(AND(Initiatives!$E$6="reprice",J$3&gt;=Initiatives!$E$33),Initiatives!$E$41*Initiatives!$E$21*(1-Inputs!$C$9)^(J$3-Initiatives!$E$33)-Initiatives!$E$31,0)</f>
        <v>33872476.6131582</v>
      </c>
      <c r="K44" s="8" t="n">
        <f aca="false">IF(K$3&lt;=Initiatives!$E$46,Initiatives!$E$29/Initiatives!$E$46,0)+IF(K$3&gt;=Initiatives!$E$33,Initiatives!$E$30,0)+IF(K$3=Initiatives!$E$33,Initiatives!$E$39*Initiatives!$E$26,0)+K38*Initiatives!$E$27+K40*Initiatives!$E$28+IF(AND(Initiatives!$E$6="reprice",K$3&gt;=Initiatives!$E$33),Initiatives!$E$41*Initiatives!$E$21*(1-Inputs!$C$9)^(K$3-Initiatives!$E$33)-Initiatives!$E$31,0)</f>
        <v>33603543.8214207</v>
      </c>
      <c r="L44" s="8" t="n">
        <f aca="false">IF(L$3&lt;=Initiatives!$E$46,Initiatives!$E$29/Initiatives!$E$46,0)+IF(L$3&gt;=Initiatives!$E$33,Initiatives!$E$30,0)+IF(L$3=Initiatives!$E$33,Initiatives!$E$39*Initiatives!$E$26,0)+L38*Initiatives!$E$27+L40*Initiatives!$E$28+IF(AND(Initiatives!$E$6="reprice",L$3&gt;=Initiatives!$E$33),Initiatives!$E$41*Initiatives!$E$21*(1-Inputs!$C$9)^(L$3-Initiatives!$E$33)-Initiatives!$E$31,0)</f>
        <v>33338443.3219654</v>
      </c>
      <c r="M44" s="8" t="n">
        <f aca="false">IF(M$3&lt;=Initiatives!$E$46,Initiatives!$E$29/Initiatives!$E$46,0)+IF(M$3&gt;=Initiatives!$E$33,Initiatives!$E$30,0)+IF(M$3=Initiatives!$E$33,Initiatives!$E$39*Initiatives!$E$26,0)+M38*Initiatives!$E$27+M40*Initiatives!$E$28+IF(AND(Initiatives!$E$6="reprice",M$3&gt;=Initiatives!$E$33),Initiatives!$E$41*Initiatives!$E$21*(1-Inputs!$C$9)^(M$3-Initiatives!$E$33)-Initiatives!$E$31,0)</f>
        <v>33077120.5046274</v>
      </c>
      <c r="N44" s="8" t="n">
        <f aca="false">IF(N$3&lt;=Initiatives!$E$46,Initiatives!$E$29/Initiatives!$E$46,0)+IF(N$3&gt;=Initiatives!$E$33,Initiatives!$E$30,0)+IF(N$3=Initiatives!$E$33,Initiatives!$E$39*Initiatives!$E$26,0)+N38*Initiatives!$E$27+N40*Initiatives!$E$28+IF(AND(Initiatives!$E$6="reprice",N$3&gt;=Initiatives!$E$33),Initiatives!$E$41*Initiatives!$E$21*(1-Inputs!$C$9)^(N$3-Initiatives!$E$33)-Initiatives!$E$31,0)</f>
        <v>32819521.5374365</v>
      </c>
      <c r="O44" s="8" t="n">
        <f aca="false">IF(O$3&lt;=Initiatives!$E$46,Initiatives!$E$29/Initiatives!$E$46,0)+IF(O$3&gt;=Initiatives!$E$33,Initiatives!$E$30,0)+IF(O$3=Initiatives!$E$33,Initiatives!$E$39*Initiatives!$E$26,0)+O38*Initiatives!$E$27+O40*Initiatives!$E$28+IF(AND(Initiatives!$E$6="reprice",O$3&gt;=Initiatives!$E$33),Initiatives!$E$41*Initiatives!$E$21*(1-Inputs!$C$9)^(O$3-Initiatives!$E$33)-Initiatives!$E$31,0)</f>
        <v>32565593.355528</v>
      </c>
      <c r="P44" s="8" t="n">
        <f aca="false">IF(P$3&lt;=Initiatives!$E$46,Initiatives!$E$29/Initiatives!$E$46,0)+IF(P$3&gt;=Initiatives!$E$33,Initiatives!$E$30,0)+IF(P$3=Initiatives!$E$33,Initiatives!$E$39*Initiatives!$E$26,0)+P38*Initiatives!$E$27+P40*Initiatives!$E$28+IF(AND(Initiatives!$E$6="reprice",P$3&gt;=Initiatives!$E$33),Initiatives!$E$41*Initiatives!$E$21*(1-Inputs!$C$9)^(P$3-Initiatives!$E$33)-Initiatives!$E$31,0)</f>
        <v>32315283.6502117</v>
      </c>
      <c r="Q44" s="8" t="n">
        <f aca="false">IF(Q$3&lt;=Initiatives!$E$46,Initiatives!$E$29/Initiatives!$E$46,0)+IF(Q$3&gt;=Initiatives!$E$33,Initiatives!$E$30,0)+IF(Q$3=Initiatives!$E$33,Initiatives!$E$39*Initiatives!$E$26,0)+Q38*Initiatives!$E$27+Q40*Initiatives!$E$28+IF(AND(Initiatives!$E$6="reprice",Q$3&gt;=Initiatives!$E$33),Initiatives!$E$41*Initiatives!$E$21*(1-Inputs!$C$9)^(Q$3-Initiatives!$E$33)-Initiatives!$E$31,0)</f>
        <v>32068540.8581962</v>
      </c>
      <c r="R44" s="8" t="n">
        <f aca="false">IF(R$3&lt;=Initiatives!$E$46,Initiatives!$E$29/Initiatives!$E$46,0)+IF(R$3&gt;=Initiatives!$E$33,Initiatives!$E$30,0)+IF(R$3=Initiatives!$E$33,Initiatives!$E$39*Initiatives!$E$26,0)+R38*Initiatives!$E$27+R40*Initiatives!$E$28+IF(AND(Initiatives!$E$6="reprice",R$3&gt;=Initiatives!$E$33),Initiatives!$E$41*Initiatives!$E$21*(1-Inputs!$C$9)^(R$3-Initiatives!$E$33)-Initiatives!$E$31,0)</f>
        <v>31825314.1509669</v>
      </c>
      <c r="S44" s="8" t="n">
        <f aca="false">IF(S$3&lt;=Initiatives!$E$46,Initiatives!$E$29/Initiatives!$E$46,0)+IF(S$3&gt;=Initiatives!$E$33,Initiatives!$E$30,0)+IF(S$3=Initiatives!$E$33,Initiatives!$E$39*Initiatives!$E$26,0)+S38*Initiatives!$E$27+S40*Initiatives!$E$28+IF(AND(Initiatives!$E$6="reprice",S$3&gt;=Initiatives!$E$33),Initiatives!$E$41*Initiatives!$E$21*(1-Inputs!$C$9)^(S$3-Initiatives!$E$33)-Initiatives!$E$31,0)</f>
        <v>31585553.4243156</v>
      </c>
      <c r="T44" s="8" t="n">
        <f aca="false">IF(T$3&lt;=Initiatives!$E$46,Initiatives!$E$29/Initiatives!$E$46,0)+IF(T$3&gt;=Initiatives!$E$33,Initiatives!$E$30,0)+IF(T$3=Initiatives!$E$33,Initiatives!$E$39*Initiatives!$E$26,0)+T38*Initiatives!$E$27+T40*Initiatives!$E$28+IF(AND(Initiatives!$E$6="reprice",T$3&gt;=Initiatives!$E$33),Initiatives!$E$41*Initiatives!$E$21*(1-Inputs!$C$9)^(T$3-Initiatives!$E$33)-Initiatives!$E$31,0)</f>
        <v>31349209.2880191</v>
      </c>
      <c r="U44" s="8" t="n">
        <f aca="false">IF(U$3&lt;=Initiatives!$E$46,Initiatives!$E$29/Initiatives!$E$46,0)+IF(U$3&gt;=Initiatives!$E$33,Initiatives!$E$30,0)+IF(U$3=Initiatives!$E$33,Initiatives!$E$39*Initiatives!$E$26,0)+U38*Initiatives!$E$27+U40*Initiatives!$E$28+IF(AND(Initiatives!$E$6="reprice",U$3&gt;=Initiatives!$E$33),Initiatives!$E$41*Initiatives!$E$21*(1-Inputs!$C$9)^(U$3-Initiatives!$E$33)-Initiatives!$E$31,0)</f>
        <v>31116233.0556649</v>
      </c>
      <c r="V44" s="8" t="n">
        <f aca="false">IF(V$3&lt;=Initiatives!$E$46,Initiatives!$E$29/Initiatives!$E$46,0)+IF(V$3&gt;=Initiatives!$E$33,Initiatives!$E$30,0)+IF(V$3=Initiatives!$E$33,Initiatives!$E$39*Initiatives!$E$26,0)+V38*Initiatives!$E$27+V40*Initiatives!$E$28+IF(AND(Initiatives!$E$6="reprice",V$3&gt;=Initiatives!$E$33),Initiatives!$E$41*Initiatives!$E$21*(1-Inputs!$C$9)^(V$3-Initiatives!$E$33)-Initiatives!$E$31,0)</f>
        <v>30886576.7346217</v>
      </c>
      <c r="W44" s="8" t="n">
        <f aca="false">IF(W$3&lt;=Initiatives!$E$46,Initiatives!$E$29/Initiatives!$E$46,0)+IF(W$3&gt;=Initiatives!$E$33,Initiatives!$E$30,0)+IF(W$3=Initiatives!$E$33,Initiatives!$E$39*Initiatives!$E$26,0)+W38*Initiatives!$E$27+W40*Initiatives!$E$28+IF(AND(Initiatives!$E$6="reprice",W$3&gt;=Initiatives!$E$33),Initiatives!$E$41*Initiatives!$E$21*(1-Inputs!$C$9)^(W$3-Initiatives!$E$33)-Initiatives!$E$31,0)</f>
        <v>30660193.0161533</v>
      </c>
      <c r="X44" s="8" t="n">
        <f aca="false">IF(X$3&lt;=Initiatives!$E$46,Initiatives!$E$29/Initiatives!$E$46,0)+IF(X$3&gt;=Initiatives!$E$33,Initiatives!$E$30,0)+IF(X$3=Initiatives!$E$33,Initiatives!$E$39*Initiatives!$E$26,0)+X38*Initiatives!$E$27+X40*Initiatives!$E$28+IF(AND(Initiatives!$E$6="reprice",X$3&gt;=Initiatives!$E$33),Initiatives!$E$41*Initiatives!$E$21*(1-Inputs!$C$9)^(X$3-Initiatives!$E$33)-Initiatives!$E$31,0)</f>
        <v>30437035.2656731</v>
      </c>
      <c r="Y44" s="8" t="n">
        <f aca="false">IF(Y$3&lt;=Initiatives!$E$46,Initiatives!$E$29/Initiatives!$E$46,0)+IF(Y$3&gt;=Initiatives!$E$33,Initiatives!$E$30,0)+IF(Y$3=Initiatives!$E$33,Initiatives!$E$39*Initiatives!$E$26,0)+Y38*Initiatives!$E$27+Y40*Initiatives!$E$28+IF(AND(Initiatives!$E$6="reprice",Y$3&gt;=Initiatives!$E$33),Initiatives!$E$41*Initiatives!$E$21*(1-Inputs!$C$9)^(Y$3-Initiatives!$E$33)-Initiatives!$E$31,0)</f>
        <v>30217057.5131373</v>
      </c>
      <c r="Z44" s="8" t="n">
        <f aca="false">IF(Z$3&lt;=Initiatives!$E$46,Initiatives!$E$29/Initiatives!$E$46,0)+IF(Z$3&gt;=Initiatives!$E$33,Initiatives!$E$30,0)+IF(Z$3=Initiatives!$E$33,Initiatives!$E$39*Initiatives!$E$26,0)+Z38*Initiatives!$E$27+Z40*Initiatives!$E$28+IF(AND(Initiatives!$E$6="reprice",Z$3&gt;=Initiatives!$E$33),Initiatives!$E$41*Initiatives!$E$21*(1-Inputs!$C$9)^(Z$3-Initiatives!$E$33)-Initiatives!$E$31,0)</f>
        <v>30000214.4435751</v>
      </c>
    </row>
    <row r="45" customFormat="false" ht="15" hidden="false" customHeight="false" outlineLevel="0" collapsed="false">
      <c r="A45" s="4" t="s">
        <v>231</v>
      </c>
      <c r="B45" s="4" t="s">
        <v>232</v>
      </c>
      <c r="C45" s="8" t="n">
        <f aca="false">(C42+C43)*Initiatives!$E$32-C44</f>
        <v>-250000000</v>
      </c>
      <c r="D45" s="8" t="n">
        <f aca="false">(D42+D43)*Initiatives!$E$32-D44</f>
        <v>-69630400</v>
      </c>
      <c r="E45" s="8" t="n">
        <f aca="false">(E42+E43)*Initiatives!$E$32-E44</f>
        <v>55520947.2</v>
      </c>
      <c r="F45" s="8" t="n">
        <f aca="false">(F42+F43)*Initiatives!$E$32-F44</f>
        <v>95754189.4624</v>
      </c>
      <c r="G45" s="8" t="n">
        <f aca="false">(G42+G43)*Initiatives!$E$32-G44</f>
        <v>105703847.856161</v>
      </c>
      <c r="H45" s="8" t="n">
        <f aca="false">(H42+H43)*Initiatives!$E$32-H44</f>
        <v>104401869.353907</v>
      </c>
      <c r="I45" s="8" t="n">
        <f aca="false">(I42+I43)*Initiatives!$E$32-I44</f>
        <v>103112173.275364</v>
      </c>
      <c r="J45" s="8" t="n">
        <f aca="false">(J42+J43)*Initiatives!$E$32-J44</f>
        <v>101834678.657544</v>
      </c>
      <c r="K45" s="8" t="n">
        <f aca="false">(K42+K43)*Initiatives!$E$32-K44</f>
        <v>100569304.280258</v>
      </c>
      <c r="L45" s="8" t="n">
        <f aca="false">(L42+L43)*Initiatives!$E$32-L44</f>
        <v>99315968.6909448</v>
      </c>
      <c r="M45" s="8" t="n">
        <f aca="false">(M42+M43)*Initiatives!$E$32-M44</f>
        <v>98074590.2288289</v>
      </c>
      <c r="N45" s="8" t="n">
        <f aca="false">(N42+N43)*Initiatives!$E$32-N44</f>
        <v>96845087.0484221</v>
      </c>
      <c r="O45" s="8" t="n">
        <f aca="false">(O42+O43)*Initiatives!$E$32-O44</f>
        <v>95627377.1423809</v>
      </c>
      <c r="P45" s="8" t="n">
        <f aca="false">(P42+P43)*Initiatives!$E$32-P44</f>
        <v>94421378.3637347</v>
      </c>
      <c r="Q45" s="8" t="n">
        <f aca="false">(Q42+Q43)*Initiatives!$E$32-Q44</f>
        <v>93227008.4474998</v>
      </c>
      <c r="R45" s="8" t="n">
        <f aca="false">(R42+R43)*Initiatives!$E$32-R44</f>
        <v>92044185.0316895</v>
      </c>
      <c r="S45" s="8" t="n">
        <f aca="false">(S42+S43)*Initiatives!$E$32-S44</f>
        <v>90872825.677736</v>
      </c>
      <c r="T45" s="8" t="n">
        <f aca="false">(T42+T43)*Initiatives!$E$32-T44</f>
        <v>89712847.8903351</v>
      </c>
      <c r="U45" s="8" t="n">
        <f aca="false">(U42+U43)*Initiatives!$E$32-U44</f>
        <v>88564169.1367271</v>
      </c>
      <c r="V45" s="8" t="n">
        <f aca="false">(V42+V43)*Initiatives!$E$32-V44</f>
        <v>87426706.8654255</v>
      </c>
      <c r="W45" s="8" t="n">
        <f aca="false">(W42+W43)*Initiatives!$E$32-W44</f>
        <v>86300378.5244066</v>
      </c>
      <c r="X45" s="8" t="n">
        <f aca="false">(X42+X43)*Initiatives!$E$32-X44</f>
        <v>85185101.5787699</v>
      </c>
      <c r="Y45" s="8" t="n">
        <f aca="false">(Y42+Y43)*Initiatives!$E$32-Y44</f>
        <v>84080793.5278836</v>
      </c>
      <c r="Z45" s="8" t="n">
        <f aca="false">(Z42+Z43)*Initiatives!$E$32-Z44</f>
        <v>82987371.9220232</v>
      </c>
    </row>
    <row r="46" customFormat="false" ht="15" hidden="false" customHeight="false" outlineLevel="0" collapsed="false">
      <c r="A46" s="4" t="s">
        <v>233</v>
      </c>
      <c r="B46" s="4" t="s">
        <v>234</v>
      </c>
      <c r="C46" s="8" t="n">
        <f aca="false">C39-C41</f>
        <v>0</v>
      </c>
      <c r="D46" s="8" t="n">
        <f aca="false">D39-D41</f>
        <v>0</v>
      </c>
      <c r="E46" s="8" t="n">
        <f aca="false">E39-E41</f>
        <v>16.896</v>
      </c>
      <c r="F46" s="8" t="n">
        <f aca="false">F39-F41</f>
        <v>50.193792</v>
      </c>
      <c r="G46" s="8" t="n">
        <f aca="false">G39-G41</f>
        <v>99.410012064</v>
      </c>
      <c r="H46" s="8" t="n">
        <f aca="false">H39-H41</f>
        <v>147.175928768088</v>
      </c>
      <c r="I46" s="8" t="n">
        <f aca="false">I39-I41</f>
        <v>193.523443518503</v>
      </c>
      <c r="J46" s="8" t="n">
        <f aca="false">J39-J41</f>
        <v>238.483834607694</v>
      </c>
      <c r="K46" s="8" t="n">
        <f aca="false">K39-K41</f>
        <v>282.087768621474</v>
      </c>
      <c r="L46" s="8" t="n">
        <f aca="false">L39-L41</f>
        <v>324.365311645703</v>
      </c>
      <c r="M46" s="8" t="n">
        <f aca="false">M39-M41</f>
        <v>365.345940275931</v>
      </c>
      <c r="N46" s="8" t="n">
        <f aca="false">N39-N41</f>
        <v>405.058552433361</v>
      </c>
      <c r="O46" s="8" t="n">
        <f aca="false">O39-O41</f>
        <v>443.531477990452</v>
      </c>
      <c r="P46" s="8" t="n">
        <f aca="false">P39-P41</f>
        <v>480.792489209415</v>
      </c>
      <c r="Q46" s="8" t="n">
        <f aca="false">Q39-Q41</f>
        <v>516.868810996803</v>
      </c>
      <c r="R46" s="8" t="n">
        <f aca="false">R39-R41</f>
        <v>551.787130977342</v>
      </c>
      <c r="S46" s="8" t="n">
        <f aca="false">S39-S41</f>
        <v>585.573609390099</v>
      </c>
      <c r="T46" s="8" t="n">
        <f aca="false">T39-T41</f>
        <v>618.253888810036</v>
      </c>
      <c r="U46" s="8" t="n">
        <f aca="false">U39-U41</f>
        <v>649.853103697934</v>
      </c>
      <c r="V46" s="8" t="n">
        <f aca="false">V39-V41</f>
        <v>680.395889781627</v>
      </c>
      <c r="W46" s="8" t="n">
        <f aca="false">W39-W41</f>
        <v>709.906393271457</v>
      </c>
      <c r="X46" s="8" t="n">
        <f aca="false">X39-X41</f>
        <v>738.408279912768</v>
      </c>
      <c r="Y46" s="8" t="n">
        <f aca="false">Y39-Y41</f>
        <v>765.924743878259</v>
      </c>
      <c r="Z46" s="8" t="n">
        <f aca="false">Z39-Z41</f>
        <v>792.478516502928</v>
      </c>
    </row>
    <row r="47" customFormat="false" ht="15" hidden="false" customHeight="false" outlineLevel="0" collapsed="false">
      <c r="A47" s="4" t="s">
        <v>235</v>
      </c>
      <c r="B47" s="4" t="s">
        <v>236</v>
      </c>
      <c r="C47" s="8" t="n">
        <f aca="false">C40*Initiatives!$E$24</f>
        <v>0</v>
      </c>
      <c r="D47" s="8" t="n">
        <f aca="false">D40*Initiatives!$E$24</f>
        <v>0</v>
      </c>
      <c r="E47" s="8" t="n">
        <f aca="false">E40*Initiatives!$E$24</f>
        <v>0</v>
      </c>
      <c r="F47" s="8" t="n">
        <f aca="false">F40*Initiatives!$E$24</f>
        <v>0</v>
      </c>
      <c r="G47" s="8" t="n">
        <f aca="false">G40*Initiatives!$E$24</f>
        <v>0</v>
      </c>
      <c r="H47" s="8" t="n">
        <f aca="false">H40*Initiatives!$E$24</f>
        <v>0</v>
      </c>
      <c r="I47" s="8" t="n">
        <f aca="false">I40*Initiatives!$E$24</f>
        <v>0</v>
      </c>
      <c r="J47" s="8" t="n">
        <f aca="false">J40*Initiatives!$E$24</f>
        <v>0</v>
      </c>
      <c r="K47" s="8" t="n">
        <f aca="false">K40*Initiatives!$E$24</f>
        <v>0</v>
      </c>
      <c r="L47" s="8" t="n">
        <f aca="false">L40*Initiatives!$E$24</f>
        <v>0</v>
      </c>
      <c r="M47" s="8" t="n">
        <f aca="false">M40*Initiatives!$E$24</f>
        <v>0</v>
      </c>
      <c r="N47" s="8" t="n">
        <f aca="false">N40*Initiatives!$E$24</f>
        <v>0</v>
      </c>
      <c r="O47" s="8" t="n">
        <f aca="false">O40*Initiatives!$E$24</f>
        <v>0</v>
      </c>
      <c r="P47" s="8" t="n">
        <f aca="false">P40*Initiatives!$E$24</f>
        <v>0</v>
      </c>
      <c r="Q47" s="8" t="n">
        <f aca="false">Q40*Initiatives!$E$24</f>
        <v>0</v>
      </c>
      <c r="R47" s="8" t="n">
        <f aca="false">R40*Initiatives!$E$24</f>
        <v>0</v>
      </c>
      <c r="S47" s="8" t="n">
        <f aca="false">S40*Initiatives!$E$24</f>
        <v>0</v>
      </c>
      <c r="T47" s="8" t="n">
        <f aca="false">T40*Initiatives!$E$24</f>
        <v>0</v>
      </c>
      <c r="U47" s="8" t="n">
        <f aca="false">U40*Initiatives!$E$24</f>
        <v>0</v>
      </c>
      <c r="V47" s="8" t="n">
        <f aca="false">V40*Initiatives!$E$24</f>
        <v>0</v>
      </c>
      <c r="W47" s="8" t="n">
        <f aca="false">W40*Initiatives!$E$24</f>
        <v>0</v>
      </c>
      <c r="X47" s="8" t="n">
        <f aca="false">X40*Initiatives!$E$24</f>
        <v>0</v>
      </c>
      <c r="Y47" s="8" t="n">
        <f aca="false">Y40*Initiatives!$E$24</f>
        <v>0</v>
      </c>
      <c r="Z47" s="8" t="n">
        <f aca="false">Z40*Initiatives!$E$24</f>
        <v>0</v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" hidden="false" customHeight="false" outlineLevel="0" collapsed="false">
      <c r="A49" s="17" t="s">
        <v>239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customFormat="false" ht="15" hidden="false" customHeight="false" outlineLevel="0" collapsed="false">
      <c r="A50" s="4" t="s">
        <v>213</v>
      </c>
      <c r="B50" s="4" t="s">
        <v>214</v>
      </c>
      <c r="C50" s="24" t="n">
        <f aca="false">IF(C$3&lt;Initiatives!$F$33,0,MIN((C$3-Initiatives!$F$33+1)/Initiatives!$F$34,1))</f>
        <v>0</v>
      </c>
      <c r="D50" s="24" t="n">
        <f aca="false">IF(D$3&lt;Initiatives!$F$33,0,MIN((D$3-Initiatives!$F$33+1)/Initiatives!$F$34,1))</f>
        <v>0.5</v>
      </c>
      <c r="E50" s="24" t="n">
        <f aca="false">IF(E$3&lt;Initiatives!$F$33,0,MIN((E$3-Initiatives!$F$33+1)/Initiatives!$F$34,1))</f>
        <v>1</v>
      </c>
      <c r="F50" s="24" t="n">
        <f aca="false">IF(F$3&lt;Initiatives!$F$33,0,MIN((F$3-Initiatives!$F$33+1)/Initiatives!$F$34,1))</f>
        <v>1</v>
      </c>
      <c r="G50" s="24" t="n">
        <f aca="false">IF(G$3&lt;Initiatives!$F$33,0,MIN((G$3-Initiatives!$F$33+1)/Initiatives!$F$34,1))</f>
        <v>1</v>
      </c>
      <c r="H50" s="24" t="n">
        <f aca="false">IF(H$3&lt;Initiatives!$F$33,0,MIN((H$3-Initiatives!$F$33+1)/Initiatives!$F$34,1))</f>
        <v>1</v>
      </c>
      <c r="I50" s="24" t="n">
        <f aca="false">IF(I$3&lt;Initiatives!$F$33,0,MIN((I$3-Initiatives!$F$33+1)/Initiatives!$F$34,1))</f>
        <v>1</v>
      </c>
      <c r="J50" s="24" t="n">
        <f aca="false">IF(J$3&lt;Initiatives!$F$33,0,MIN((J$3-Initiatives!$F$33+1)/Initiatives!$F$34,1))</f>
        <v>1</v>
      </c>
      <c r="K50" s="24" t="n">
        <f aca="false">IF(K$3&lt;Initiatives!$F$33,0,MIN((K$3-Initiatives!$F$33+1)/Initiatives!$F$34,1))</f>
        <v>1</v>
      </c>
      <c r="L50" s="24" t="n">
        <f aca="false">IF(L$3&lt;Initiatives!$F$33,0,MIN((L$3-Initiatives!$F$33+1)/Initiatives!$F$34,1))</f>
        <v>1</v>
      </c>
      <c r="M50" s="24" t="n">
        <f aca="false">IF(M$3&lt;Initiatives!$F$33,0,MIN((M$3-Initiatives!$F$33+1)/Initiatives!$F$34,1))</f>
        <v>1</v>
      </c>
      <c r="N50" s="24" t="n">
        <f aca="false">IF(N$3&lt;Initiatives!$F$33,0,MIN((N$3-Initiatives!$F$33+1)/Initiatives!$F$34,1))</f>
        <v>1</v>
      </c>
      <c r="O50" s="24" t="n">
        <f aca="false">IF(O$3&lt;Initiatives!$F$33,0,MIN((O$3-Initiatives!$F$33+1)/Initiatives!$F$34,1))</f>
        <v>1</v>
      </c>
      <c r="P50" s="24" t="n">
        <f aca="false">IF(P$3&lt;Initiatives!$F$33,0,MIN((P$3-Initiatives!$F$33+1)/Initiatives!$F$34,1))</f>
        <v>1</v>
      </c>
      <c r="Q50" s="24" t="n">
        <f aca="false">IF(Q$3&lt;Initiatives!$F$33,0,MIN((Q$3-Initiatives!$F$33+1)/Initiatives!$F$34,1))</f>
        <v>1</v>
      </c>
      <c r="R50" s="24" t="n">
        <f aca="false">IF(R$3&lt;Initiatives!$F$33,0,MIN((R$3-Initiatives!$F$33+1)/Initiatives!$F$34,1))</f>
        <v>1</v>
      </c>
      <c r="S50" s="24" t="n">
        <f aca="false">IF(S$3&lt;Initiatives!$F$33,0,MIN((S$3-Initiatives!$F$33+1)/Initiatives!$F$34,1))</f>
        <v>1</v>
      </c>
      <c r="T50" s="24" t="n">
        <f aca="false">IF(T$3&lt;Initiatives!$F$33,0,MIN((T$3-Initiatives!$F$33+1)/Initiatives!$F$34,1))</f>
        <v>1</v>
      </c>
      <c r="U50" s="24" t="n">
        <f aca="false">IF(U$3&lt;Initiatives!$F$33,0,MIN((U$3-Initiatives!$F$33+1)/Initiatives!$F$34,1))</f>
        <v>1</v>
      </c>
      <c r="V50" s="24" t="n">
        <f aca="false">IF(V$3&lt;Initiatives!$F$33,0,MIN((V$3-Initiatives!$F$33+1)/Initiatives!$F$34,1))</f>
        <v>1</v>
      </c>
      <c r="W50" s="24" t="n">
        <f aca="false">IF(W$3&lt;Initiatives!$F$33,0,MIN((W$3-Initiatives!$F$33+1)/Initiatives!$F$34,1))</f>
        <v>1</v>
      </c>
      <c r="X50" s="24" t="n">
        <f aca="false">IF(X$3&lt;Initiatives!$F$33,0,MIN((X$3-Initiatives!$F$33+1)/Initiatives!$F$34,1))</f>
        <v>1</v>
      </c>
      <c r="Y50" s="24" t="n">
        <f aca="false">IF(Y$3&lt;Initiatives!$F$33,0,MIN((Y$3-Initiatives!$F$33+1)/Initiatives!$F$34,1))</f>
        <v>1</v>
      </c>
      <c r="Z50" s="24" t="n">
        <f aca="false">IF(Z$3&lt;Initiatives!$F$33,0,MIN((Z$3-Initiatives!$F$33+1)/Initiatives!$F$34,1))</f>
        <v>1</v>
      </c>
    </row>
    <row r="51" customFormat="false" ht="15" hidden="false" customHeight="false" outlineLevel="0" collapsed="false">
      <c r="A51" s="4" t="s">
        <v>215</v>
      </c>
      <c r="B51" s="4" t="s">
        <v>216</v>
      </c>
      <c r="C51" s="8" t="n">
        <f aca="false">Initiatives!$F$40*C50</f>
        <v>0</v>
      </c>
      <c r="D51" s="8" t="n">
        <f aca="false">Initiatives!$F$40*D50</f>
        <v>15681.6</v>
      </c>
      <c r="E51" s="8" t="n">
        <f aca="false">Initiatives!$F$40*E50</f>
        <v>31363.2</v>
      </c>
      <c r="F51" s="8" t="n">
        <f aca="false">Initiatives!$F$40*F50</f>
        <v>31363.2</v>
      </c>
      <c r="G51" s="8" t="n">
        <f aca="false">Initiatives!$F$40*G50</f>
        <v>31363.2</v>
      </c>
      <c r="H51" s="8" t="n">
        <f aca="false">Initiatives!$F$40*H50</f>
        <v>31363.2</v>
      </c>
      <c r="I51" s="8" t="n">
        <f aca="false">Initiatives!$F$40*I50</f>
        <v>31363.2</v>
      </c>
      <c r="J51" s="8" t="n">
        <f aca="false">Initiatives!$F$40*J50</f>
        <v>31363.2</v>
      </c>
      <c r="K51" s="8" t="n">
        <f aca="false">Initiatives!$F$40*K50</f>
        <v>31363.2</v>
      </c>
      <c r="L51" s="8" t="n">
        <f aca="false">Initiatives!$F$40*L50</f>
        <v>31363.2</v>
      </c>
      <c r="M51" s="8" t="n">
        <f aca="false">Initiatives!$F$40*M50</f>
        <v>31363.2</v>
      </c>
      <c r="N51" s="8" t="n">
        <f aca="false">Initiatives!$F$40*N50</f>
        <v>31363.2</v>
      </c>
      <c r="O51" s="8" t="n">
        <f aca="false">Initiatives!$F$40*O50</f>
        <v>31363.2</v>
      </c>
      <c r="P51" s="8" t="n">
        <f aca="false">Initiatives!$F$40*P50</f>
        <v>31363.2</v>
      </c>
      <c r="Q51" s="8" t="n">
        <f aca="false">Initiatives!$F$40*Q50</f>
        <v>31363.2</v>
      </c>
      <c r="R51" s="8" t="n">
        <f aca="false">Initiatives!$F$40*R50</f>
        <v>31363.2</v>
      </c>
      <c r="S51" s="8" t="n">
        <f aca="false">Initiatives!$F$40*S50</f>
        <v>31363.2</v>
      </c>
      <c r="T51" s="8" t="n">
        <f aca="false">Initiatives!$F$40*T50</f>
        <v>31363.2</v>
      </c>
      <c r="U51" s="8" t="n">
        <f aca="false">Initiatives!$F$40*U50</f>
        <v>31363.2</v>
      </c>
      <c r="V51" s="8" t="n">
        <f aca="false">Initiatives!$F$40*V50</f>
        <v>31363.2</v>
      </c>
      <c r="W51" s="8" t="n">
        <f aca="false">Initiatives!$F$40*W50</f>
        <v>31363.2</v>
      </c>
      <c r="X51" s="8" t="n">
        <f aca="false">Initiatives!$F$40*X50</f>
        <v>31363.2</v>
      </c>
      <c r="Y51" s="8" t="n">
        <f aca="false">Initiatives!$F$40*Y50</f>
        <v>31363.2</v>
      </c>
      <c r="Z51" s="8" t="n">
        <f aca="false">Initiatives!$F$40*Z50</f>
        <v>31363.2</v>
      </c>
    </row>
    <row r="52" customFormat="false" ht="15" hidden="false" customHeight="false" outlineLevel="0" collapsed="false">
      <c r="A52" s="4" t="s">
        <v>217</v>
      </c>
      <c r="B52" s="4" t="s">
        <v>218</v>
      </c>
      <c r="C52" s="8" t="n">
        <f aca="false">MAX(C51-N(B51),0)</f>
        <v>0</v>
      </c>
      <c r="D52" s="8" t="n">
        <f aca="false">MAX(D51-N(C51),0)</f>
        <v>15681.6</v>
      </c>
      <c r="E52" s="8" t="n">
        <f aca="false">MAX(E51-N(D51),0)</f>
        <v>15681.6</v>
      </c>
      <c r="F52" s="8" t="n">
        <f aca="false">MAX(F51-N(E51),0)</f>
        <v>0</v>
      </c>
      <c r="G52" s="8" t="n">
        <f aca="false">MAX(G51-N(F51),0)</f>
        <v>0</v>
      </c>
      <c r="H52" s="8" t="n">
        <f aca="false">MAX(H51-N(G51),0)</f>
        <v>0</v>
      </c>
      <c r="I52" s="8" t="n">
        <f aca="false">MAX(I51-N(H51),0)</f>
        <v>0</v>
      </c>
      <c r="J52" s="8" t="n">
        <f aca="false">MAX(J51-N(I51),0)</f>
        <v>0</v>
      </c>
      <c r="K52" s="8" t="n">
        <f aca="false">MAX(K51-N(J51),0)</f>
        <v>0</v>
      </c>
      <c r="L52" s="8" t="n">
        <f aca="false">MAX(L51-N(K51),0)</f>
        <v>0</v>
      </c>
      <c r="M52" s="8" t="n">
        <f aca="false">MAX(M51-N(L51),0)</f>
        <v>0</v>
      </c>
      <c r="N52" s="8" t="n">
        <f aca="false">MAX(N51-N(M51),0)</f>
        <v>0</v>
      </c>
      <c r="O52" s="8" t="n">
        <f aca="false">MAX(O51-N(N51),0)</f>
        <v>0</v>
      </c>
      <c r="P52" s="8" t="n">
        <f aca="false">MAX(P51-N(O51),0)</f>
        <v>0</v>
      </c>
      <c r="Q52" s="8" t="n">
        <f aca="false">MAX(Q51-N(P51),0)</f>
        <v>0</v>
      </c>
      <c r="R52" s="8" t="n">
        <f aca="false">MAX(R51-N(Q51),0)</f>
        <v>0</v>
      </c>
      <c r="S52" s="8" t="n">
        <f aca="false">MAX(S51-N(R51),0)</f>
        <v>0</v>
      </c>
      <c r="T52" s="8" t="n">
        <f aca="false">MAX(T51-N(S51),0)</f>
        <v>0</v>
      </c>
      <c r="U52" s="8" t="n">
        <f aca="false">MAX(U51-N(T51),0)</f>
        <v>0</v>
      </c>
      <c r="V52" s="8" t="n">
        <f aca="false">MAX(V51-N(U51),0)</f>
        <v>0</v>
      </c>
      <c r="W52" s="8" t="n">
        <f aca="false">MAX(W51-N(V51),0)</f>
        <v>0</v>
      </c>
      <c r="X52" s="8" t="n">
        <f aca="false">MAX(X51-N(W51),0)</f>
        <v>0</v>
      </c>
      <c r="Y52" s="8" t="n">
        <f aca="false">MAX(Y51-N(X51),0)</f>
        <v>0</v>
      </c>
      <c r="Z52" s="8" t="n">
        <f aca="false">MAX(Z51-N(Y51),0)</f>
        <v>0</v>
      </c>
    </row>
    <row r="53" customFormat="false" ht="15" hidden="false" customHeight="false" outlineLevel="0" collapsed="false">
      <c r="A53" s="4" t="s">
        <v>219</v>
      </c>
      <c r="B53" s="4" t="s">
        <v>220</v>
      </c>
      <c r="C53" s="8" t="n">
        <f aca="false">IF(Initiatives!$F$6="adoption",N(B53)*(1-Inputs!$C$9)+N(B54)*Inputs!$C$9*Initiatives!$F$16,IF(Initiatives!$F$6="relative",N(B53)*(1-Inputs!$C$9)+C$4*Inputs!$C$9*Initiatives!$F$23*C50,0))</f>
        <v>0</v>
      </c>
      <c r="D53" s="8" t="n">
        <f aca="false">IF(Initiatives!$F$6="adoption",N(C53)*(1-Inputs!$C$9)+N(C54)*Inputs!$C$9*Initiatives!$F$16,IF(Initiatives!$F$6="relative",N(C53)*(1-Inputs!$C$9)+D$4*Inputs!$C$9*Initiatives!$F$23*D50,0))</f>
        <v>0</v>
      </c>
      <c r="E53" s="8" t="n">
        <f aca="false">IF(Initiatives!$F$6="adoption",N(D53)*(1-Inputs!$C$9)+N(D54)*Inputs!$C$9*Initiatives!$F$16,IF(Initiatives!$F$6="relative",N(D53)*(1-Inputs!$C$9)+E$4*Inputs!$C$9*Initiatives!$F$23*E50,0))</f>
        <v>11.7612</v>
      </c>
      <c r="F53" s="8" t="n">
        <f aca="false">IF(Initiatives!$F$6="adoption",N(E53)*(1-Inputs!$C$9)+N(E54)*Inputs!$C$9*Initiatives!$F$16,IF(Initiatives!$F$6="relative",N(E53)*(1-Inputs!$C$9)+F$4*Inputs!$C$9*Initiatives!$F$23*F50,0))</f>
        <v>34.9395849</v>
      </c>
      <c r="G53" s="8" t="n">
        <f aca="false">IF(Initiatives!$F$6="adoption",N(F53)*(1-Inputs!$C$9)+N(F54)*Inputs!$C$9*Initiatives!$F$16,IF(Initiatives!$F$6="relative",N(F53)*(1-Inputs!$C$9)+G$4*Inputs!$C$9*Initiatives!$F$23*G50,0))</f>
        <v>57.437488085175</v>
      </c>
      <c r="H53" s="8" t="n">
        <f aca="false">IF(Initiatives!$F$6="adoption",N(G53)*(1-Inputs!$C$9)+N(G54)*Inputs!$C$9*Initiatives!$F$16,IF(Initiatives!$F$6="relative",N(G53)*(1-Inputs!$C$9)+H$4*Inputs!$C$9*Initiatives!$F$23*H50,0))</f>
        <v>79.2698592659113</v>
      </c>
      <c r="I53" s="8" t="n">
        <f aca="false">IF(Initiatives!$F$6="adoption",N(H53)*(1-Inputs!$C$9)+N(H54)*Inputs!$C$9*Initiatives!$F$16,IF(Initiatives!$F$6="relative",N(H53)*(1-Inputs!$C$9)+I$4*Inputs!$C$9*Initiatives!$F$23*I50,0))</f>
        <v>100.451356326533</v>
      </c>
      <c r="J53" s="8" t="n">
        <f aca="false">IF(Initiatives!$F$6="adoption",N(I53)*(1-Inputs!$C$9)+N(I54)*Inputs!$C$9*Initiatives!$F$16,IF(Initiatives!$F$6="relative",N(I53)*(1-Inputs!$C$9)+J$4*Inputs!$C$9*Initiatives!$F$23*J50,0))</f>
        <v>120.996350665713</v>
      </c>
      <c r="K53" s="8" t="n">
        <f aca="false">IF(Initiatives!$F$6="adoption",N(J53)*(1-Inputs!$C$9)+N(J54)*Inputs!$C$9*Initiatives!$F$16,IF(Initiatives!$F$6="relative",N(J53)*(1-Inputs!$C$9)+K$4*Inputs!$C$9*Initiatives!$F$23*K50,0))</f>
        <v>140.918932443057</v>
      </c>
      <c r="L53" s="8" t="n">
        <f aca="false">IF(Initiatives!$F$6="adoption",N(K53)*(1-Inputs!$C$9)+N(K54)*Inputs!$C$9*Initiatives!$F$16,IF(Initiatives!$F$6="relative",N(K53)*(1-Inputs!$C$9)+L$4*Inputs!$C$9*Initiatives!$F$23*L50,0))</f>
        <v>160.23291573346</v>
      </c>
      <c r="M53" s="8" t="n">
        <f aca="false">IF(Initiatives!$F$6="adoption",N(L53)*(1-Inputs!$C$9)+N(L54)*Inputs!$C$9*Initiatives!$F$16,IF(Initiatives!$F$6="relative",N(L53)*(1-Inputs!$C$9)+M$4*Inputs!$C$9*Initiatives!$F$23*M50,0))</f>
        <v>178.951843590808</v>
      </c>
      <c r="N53" s="8" t="n">
        <f aca="false">IF(Initiatives!$F$6="adoption",N(M53)*(1-Inputs!$C$9)+N(M54)*Inputs!$C$9*Initiatives!$F$16,IF(Initiatives!$F$6="relative",N(M53)*(1-Inputs!$C$9)+N$4*Inputs!$C$9*Initiatives!$F$23*N50,0))</f>
        <v>197.088993022591</v>
      </c>
      <c r="O53" s="8" t="n">
        <f aca="false">IF(Initiatives!$F$6="adoption",N(N53)*(1-Inputs!$C$9)+N(N54)*Inputs!$C$9*Initiatives!$F$16,IF(Initiatives!$F$6="relative",N(N53)*(1-Inputs!$C$9)+O$4*Inputs!$C$9*Initiatives!$F$23*O50,0))</f>
        <v>214.657379876927</v>
      </c>
      <c r="P53" s="8" t="n">
        <f aca="false">IF(Initiatives!$F$6="adoption",N(O53)*(1-Inputs!$C$9)+N(O54)*Inputs!$C$9*Initiatives!$F$16,IF(Initiatives!$F$6="relative",N(O53)*(1-Inputs!$C$9)+P$4*Inputs!$C$9*Initiatives!$F$23*P50,0))</f>
        <v>231.669763643514</v>
      </c>
      <c r="Q53" s="8" t="n">
        <f aca="false">IF(Initiatives!$F$6="adoption",N(P53)*(1-Inputs!$C$9)+N(P54)*Inputs!$C$9*Initiatives!$F$16,IF(Initiatives!$F$6="relative",N(P53)*(1-Inputs!$C$9)+Q$4*Inputs!$C$9*Initiatives!$F$23*Q50,0))</f>
        <v>248.138652169981</v>
      </c>
      <c r="R53" s="8" t="n">
        <f aca="false">IF(Initiatives!$F$6="adoption",N(Q53)*(1-Inputs!$C$9)+N(Q54)*Inputs!$C$9*Initiatives!$F$16,IF(Initiatives!$F$6="relative",N(Q53)*(1-Inputs!$C$9)+R$4*Inputs!$C$9*Initiatives!$F$23*R50,0))</f>
        <v>264.076306295069</v>
      </c>
      <c r="S53" s="8" t="n">
        <f aca="false">IF(Initiatives!$F$6="adoption",N(R53)*(1-Inputs!$C$9)+N(R54)*Inputs!$C$9*Initiatives!$F$16,IF(Initiatives!$F$6="relative",N(R53)*(1-Inputs!$C$9)+S$4*Inputs!$C$9*Initiatives!$F$23*S50,0))</f>
        <v>279.494744400098</v>
      </c>
      <c r="T53" s="8" t="n">
        <f aca="false">IF(Initiatives!$F$6="adoption",N(S53)*(1-Inputs!$C$9)+N(S54)*Inputs!$C$9*Initiatives!$F$16,IF(Initiatives!$F$6="relative",N(S53)*(1-Inputs!$C$9)+T$4*Inputs!$C$9*Initiatives!$F$23*T50,0))</f>
        <v>294.405746880083</v>
      </c>
      <c r="U53" s="8" t="n">
        <f aca="false">IF(Initiatives!$F$6="adoption",N(T53)*(1-Inputs!$C$9)+N(T54)*Inputs!$C$9*Initiatives!$F$16,IF(Initiatives!$F$6="relative",N(T53)*(1-Inputs!$C$9)+U$4*Inputs!$C$9*Initiatives!$F$23*U50,0))</f>
        <v>308.820860535914</v>
      </c>
      <c r="V53" s="8" t="n">
        <f aca="false">IF(Initiatives!$F$6="adoption",N(U53)*(1-Inputs!$C$9)+N(U54)*Inputs!$C$9*Initiatives!$F$16,IF(Initiatives!$F$6="relative",N(U53)*(1-Inputs!$C$9)+V$4*Inputs!$C$9*Initiatives!$F$23*V50,0))</f>
        <v>322.751402888916</v>
      </c>
      <c r="W53" s="8" t="n">
        <f aca="false">IF(Initiatives!$F$6="adoption",N(V53)*(1-Inputs!$C$9)+N(V54)*Inputs!$C$9*Initiatives!$F$16,IF(Initiatives!$F$6="relative",N(V53)*(1-Inputs!$C$9)+W$4*Inputs!$C$9*Initiatives!$F$23*W50,0))</f>
        <v>336.208466419153</v>
      </c>
      <c r="X53" s="8" t="n">
        <f aca="false">IF(Initiatives!$F$6="adoption",N(W53)*(1-Inputs!$C$9)+N(W54)*Inputs!$C$9*Initiatives!$F$16,IF(Initiatives!$F$6="relative",N(W53)*(1-Inputs!$C$9)+X$4*Inputs!$C$9*Initiatives!$F$23*X50,0))</f>
        <v>349.202922728763</v>
      </c>
      <c r="Y53" s="8" t="n">
        <f aca="false">IF(Initiatives!$F$6="adoption",N(X53)*(1-Inputs!$C$9)+N(X54)*Inputs!$C$9*Initiatives!$F$16,IF(Initiatives!$F$6="relative",N(X53)*(1-Inputs!$C$9)+Y$4*Inputs!$C$9*Initiatives!$F$23*Y50,0))</f>
        <v>361.74542663162</v>
      </c>
      <c r="Z53" s="8" t="n">
        <f aca="false">IF(Initiatives!$F$6="adoption",N(Y53)*(1-Inputs!$C$9)+N(Y54)*Inputs!$C$9*Initiatives!$F$16,IF(Initiatives!$F$6="relative",N(Y53)*(1-Inputs!$C$9)+Z$4*Inputs!$C$9*Initiatives!$F$23*Z50,0))</f>
        <v>373.846420170585</v>
      </c>
    </row>
    <row r="54" customFormat="false" ht="15" hidden="false" customHeight="false" outlineLevel="0" collapsed="false">
      <c r="A54" s="4" t="s">
        <v>221</v>
      </c>
      <c r="B54" s="4" t="s">
        <v>222</v>
      </c>
      <c r="C54" s="8" t="n">
        <f aca="false">N(B54)*(1-Initiatives!$F$45)*(1-Inputs!$C$9*(1-Initiatives!$F$16))+C52</f>
        <v>0</v>
      </c>
      <c r="D54" s="8" t="n">
        <f aca="false">N(C54)*(1-Initiatives!$F$45)*(1-Inputs!$C$9*(1-Initiatives!$F$16))+D52</f>
        <v>15681.6</v>
      </c>
      <c r="E54" s="8" t="n">
        <f aca="false">N(D54)*(1-Initiatives!$F$45)*(1-Inputs!$C$9*(1-Initiatives!$F$16))+E52</f>
        <v>31139.7372</v>
      </c>
      <c r="F54" s="8" t="n">
        <f aca="false">N(E54)*(1-Initiatives!$F$45)*(1-Inputs!$C$9*(1-Initiatives!$F$16))+F52</f>
        <v>30695.9959449</v>
      </c>
      <c r="G54" s="8" t="n">
        <f aca="false">N(F54)*(1-Initiatives!$F$45)*(1-Inputs!$C$9*(1-Initiatives!$F$16))+G52</f>
        <v>30258.5780026852</v>
      </c>
      <c r="H54" s="8" t="n">
        <f aca="false">N(G54)*(1-Initiatives!$F$45)*(1-Inputs!$C$9*(1-Initiatives!$F$16))+H52</f>
        <v>29827.3932661469</v>
      </c>
      <c r="I54" s="8" t="n">
        <f aca="false">N(H54)*(1-Initiatives!$F$45)*(1-Inputs!$C$9*(1-Initiatives!$F$16))+I52</f>
        <v>29402.3529121043</v>
      </c>
      <c r="J54" s="8" t="n">
        <f aca="false">N(I54)*(1-Initiatives!$F$45)*(1-Inputs!$C$9*(1-Initiatives!$F$16))+J52</f>
        <v>28983.3693831068</v>
      </c>
      <c r="K54" s="8" t="n">
        <f aca="false">N(J54)*(1-Initiatives!$F$45)*(1-Inputs!$C$9*(1-Initiatives!$F$16))+K52</f>
        <v>28570.3563693976</v>
      </c>
      <c r="L54" s="8" t="n">
        <f aca="false">N(K54)*(1-Initiatives!$F$45)*(1-Inputs!$C$9*(1-Initiatives!$F$16))+L52</f>
        <v>28163.2287911337</v>
      </c>
      <c r="M54" s="8" t="n">
        <f aca="false">N(L54)*(1-Initiatives!$F$45)*(1-Inputs!$C$9*(1-Initiatives!$F$16))+M52</f>
        <v>27761.90278086</v>
      </c>
      <c r="N54" s="8" t="n">
        <f aca="false">N(M54)*(1-Initiatives!$F$45)*(1-Inputs!$C$9*(1-Initiatives!$F$16))+N52</f>
        <v>27366.2956662327</v>
      </c>
      <c r="O54" s="8" t="n">
        <f aca="false">N(N54)*(1-Initiatives!$F$45)*(1-Inputs!$C$9*(1-Initiatives!$F$16))+O52</f>
        <v>26976.3259529889</v>
      </c>
      <c r="P54" s="8" t="n">
        <f aca="false">N(O54)*(1-Initiatives!$F$45)*(1-Inputs!$C$9*(1-Initiatives!$F$16))+P52</f>
        <v>26591.9133081588</v>
      </c>
      <c r="Q54" s="8" t="n">
        <f aca="false">N(P54)*(1-Initiatives!$F$45)*(1-Inputs!$C$9*(1-Initiatives!$F$16))+Q52</f>
        <v>26212.9785435176</v>
      </c>
      <c r="R54" s="8" t="n">
        <f aca="false">N(Q54)*(1-Initiatives!$F$45)*(1-Inputs!$C$9*(1-Initiatives!$F$16))+R52</f>
        <v>25839.4435992724</v>
      </c>
      <c r="S54" s="8" t="n">
        <f aca="false">N(R54)*(1-Initiatives!$F$45)*(1-Inputs!$C$9*(1-Initiatives!$F$16))+S52</f>
        <v>25471.2315279828</v>
      </c>
      <c r="T54" s="8" t="n">
        <f aca="false">N(S54)*(1-Initiatives!$F$45)*(1-Inputs!$C$9*(1-Initiatives!$F$16))+T52</f>
        <v>25108.2664787091</v>
      </c>
      <c r="U54" s="8" t="n">
        <f aca="false">N(T54)*(1-Initiatives!$F$45)*(1-Inputs!$C$9*(1-Initiatives!$F$16))+U52</f>
        <v>24750.4736813875</v>
      </c>
      <c r="V54" s="8" t="n">
        <f aca="false">N(U54)*(1-Initiatives!$F$45)*(1-Inputs!$C$9*(1-Initiatives!$F$16))+V52</f>
        <v>24397.7794314277</v>
      </c>
      <c r="W54" s="8" t="n">
        <f aca="false">N(V54)*(1-Initiatives!$F$45)*(1-Inputs!$C$9*(1-Initiatives!$F$16))+W52</f>
        <v>24050.1110745298</v>
      </c>
      <c r="X54" s="8" t="n">
        <f aca="false">N(W54)*(1-Initiatives!$F$45)*(1-Inputs!$C$9*(1-Initiatives!$F$16))+X52</f>
        <v>23707.3969917178</v>
      </c>
      <c r="Y54" s="8" t="n">
        <f aca="false">N(X54)*(1-Initiatives!$F$45)*(1-Inputs!$C$9*(1-Initiatives!$F$16))+Y52</f>
        <v>23369.5665845858</v>
      </c>
      <c r="Z54" s="8" t="n">
        <f aca="false">N(Y54)*(1-Initiatives!$F$45)*(1-Inputs!$C$9*(1-Initiatives!$F$16))+Z52</f>
        <v>23036.5502607555</v>
      </c>
    </row>
    <row r="55" customFormat="false" ht="15" hidden="false" customHeight="false" outlineLevel="0" collapsed="false">
      <c r="A55" s="4" t="s">
        <v>223</v>
      </c>
      <c r="B55" s="4" t="s">
        <v>224</v>
      </c>
      <c r="C55" s="8" t="n">
        <f aca="false">N(B55)*(1-Inputs!$C$9)+IF(AND(C$3&gt;=Initiatives!$F$33,C$3&lt;Initiatives!$F$33+Initiatives!$F$47),Initiatives!$F$43/Initiatives!$F$47,0)</f>
        <v>0</v>
      </c>
      <c r="D55" s="8" t="n">
        <f aca="false">N(C55)*(1-Inputs!$C$9)+IF(AND(D$3&gt;=Initiatives!$F$33,D$3&lt;Initiatives!$F$33+Initiatives!$F$47),Initiatives!$F$43/Initiatives!$F$47,0)</f>
        <v>0</v>
      </c>
      <c r="E55" s="8" t="n">
        <f aca="false">N(D55)*(1-Inputs!$C$9)+IF(AND(E$3&gt;=Initiatives!$F$33,E$3&lt;Initiatives!$F$33+Initiatives!$F$47),Initiatives!$F$43/Initiatives!$F$47,0)</f>
        <v>0</v>
      </c>
      <c r="F55" s="8" t="n">
        <f aca="false">N(E55)*(1-Inputs!$C$9)+IF(AND(F$3&gt;=Initiatives!$F$33,F$3&lt;Initiatives!$F$33+Initiatives!$F$47),Initiatives!$F$43/Initiatives!$F$47,0)</f>
        <v>0</v>
      </c>
      <c r="G55" s="8" t="n">
        <f aca="false">N(F55)*(1-Inputs!$C$9)+IF(AND(G$3&gt;=Initiatives!$F$33,G$3&lt;Initiatives!$F$33+Initiatives!$F$47),Initiatives!$F$43/Initiatives!$F$47,0)</f>
        <v>0</v>
      </c>
      <c r="H55" s="8" t="n">
        <f aca="false">N(G55)*(1-Inputs!$C$9)+IF(AND(H$3&gt;=Initiatives!$F$33,H$3&lt;Initiatives!$F$33+Initiatives!$F$47),Initiatives!$F$43/Initiatives!$F$47,0)</f>
        <v>0</v>
      </c>
      <c r="I55" s="8" t="n">
        <f aca="false">N(H55)*(1-Inputs!$C$9)+IF(AND(I$3&gt;=Initiatives!$F$33,I$3&lt;Initiatives!$F$33+Initiatives!$F$47),Initiatives!$F$43/Initiatives!$F$47,0)</f>
        <v>0</v>
      </c>
      <c r="J55" s="8" t="n">
        <f aca="false">N(I55)*(1-Inputs!$C$9)+IF(AND(J$3&gt;=Initiatives!$F$33,J$3&lt;Initiatives!$F$33+Initiatives!$F$47),Initiatives!$F$43/Initiatives!$F$47,0)</f>
        <v>0</v>
      </c>
      <c r="K55" s="8" t="n">
        <f aca="false">N(J55)*(1-Inputs!$C$9)+IF(AND(K$3&gt;=Initiatives!$F$33,K$3&lt;Initiatives!$F$33+Initiatives!$F$47),Initiatives!$F$43/Initiatives!$F$47,0)</f>
        <v>0</v>
      </c>
      <c r="L55" s="8" t="n">
        <f aca="false">N(K55)*(1-Inputs!$C$9)+IF(AND(L$3&gt;=Initiatives!$F$33,L$3&lt;Initiatives!$F$33+Initiatives!$F$47),Initiatives!$F$43/Initiatives!$F$47,0)</f>
        <v>0</v>
      </c>
      <c r="M55" s="8" t="n">
        <f aca="false">N(L55)*(1-Inputs!$C$9)+IF(AND(M$3&gt;=Initiatives!$F$33,M$3&lt;Initiatives!$F$33+Initiatives!$F$47),Initiatives!$F$43/Initiatives!$F$47,0)</f>
        <v>0</v>
      </c>
      <c r="N55" s="8" t="n">
        <f aca="false">N(M55)*(1-Inputs!$C$9)+IF(AND(N$3&gt;=Initiatives!$F$33,N$3&lt;Initiatives!$F$33+Initiatives!$F$47),Initiatives!$F$43/Initiatives!$F$47,0)</f>
        <v>0</v>
      </c>
      <c r="O55" s="8" t="n">
        <f aca="false">N(N55)*(1-Inputs!$C$9)+IF(AND(O$3&gt;=Initiatives!$F$33,O$3&lt;Initiatives!$F$33+Initiatives!$F$47),Initiatives!$F$43/Initiatives!$F$47,0)</f>
        <v>0</v>
      </c>
      <c r="P55" s="8" t="n">
        <f aca="false">N(O55)*(1-Inputs!$C$9)+IF(AND(P$3&gt;=Initiatives!$F$33,P$3&lt;Initiatives!$F$33+Initiatives!$F$47),Initiatives!$F$43/Initiatives!$F$47,0)</f>
        <v>0</v>
      </c>
      <c r="Q55" s="8" t="n">
        <f aca="false">N(P55)*(1-Inputs!$C$9)+IF(AND(Q$3&gt;=Initiatives!$F$33,Q$3&lt;Initiatives!$F$33+Initiatives!$F$47),Initiatives!$F$43/Initiatives!$F$47,0)</f>
        <v>0</v>
      </c>
      <c r="R55" s="8" t="n">
        <f aca="false">N(Q55)*(1-Inputs!$C$9)+IF(AND(R$3&gt;=Initiatives!$F$33,R$3&lt;Initiatives!$F$33+Initiatives!$F$47),Initiatives!$F$43/Initiatives!$F$47,0)</f>
        <v>0</v>
      </c>
      <c r="S55" s="8" t="n">
        <f aca="false">N(R55)*(1-Inputs!$C$9)+IF(AND(S$3&gt;=Initiatives!$F$33,S$3&lt;Initiatives!$F$33+Initiatives!$F$47),Initiatives!$F$43/Initiatives!$F$47,0)</f>
        <v>0</v>
      </c>
      <c r="T55" s="8" t="n">
        <f aca="false">N(S55)*(1-Inputs!$C$9)+IF(AND(T$3&gt;=Initiatives!$F$33,T$3&lt;Initiatives!$F$33+Initiatives!$F$47),Initiatives!$F$43/Initiatives!$F$47,0)</f>
        <v>0</v>
      </c>
      <c r="U55" s="8" t="n">
        <f aca="false">N(T55)*(1-Inputs!$C$9)+IF(AND(U$3&gt;=Initiatives!$F$33,U$3&lt;Initiatives!$F$33+Initiatives!$F$47),Initiatives!$F$43/Initiatives!$F$47,0)</f>
        <v>0</v>
      </c>
      <c r="V55" s="8" t="n">
        <f aca="false">N(U55)*(1-Inputs!$C$9)+IF(AND(V$3&gt;=Initiatives!$F$33,V$3&lt;Initiatives!$F$33+Initiatives!$F$47),Initiatives!$F$43/Initiatives!$F$47,0)</f>
        <v>0</v>
      </c>
      <c r="W55" s="8" t="n">
        <f aca="false">N(V55)*(1-Inputs!$C$9)+IF(AND(W$3&gt;=Initiatives!$F$33,W$3&lt;Initiatives!$F$33+Initiatives!$F$47),Initiatives!$F$43/Initiatives!$F$47,0)</f>
        <v>0</v>
      </c>
      <c r="X55" s="8" t="n">
        <f aca="false">N(W55)*(1-Inputs!$C$9)+IF(AND(X$3&gt;=Initiatives!$F$33,X$3&lt;Initiatives!$F$33+Initiatives!$F$47),Initiatives!$F$43/Initiatives!$F$47,0)</f>
        <v>0</v>
      </c>
      <c r="Y55" s="8" t="n">
        <f aca="false">N(X55)*(1-Inputs!$C$9)+IF(AND(Y$3&gt;=Initiatives!$F$33,Y$3&lt;Initiatives!$F$33+Initiatives!$F$47),Initiatives!$F$43/Initiatives!$F$47,0)</f>
        <v>0</v>
      </c>
      <c r="Z55" s="8" t="n">
        <f aca="false">N(Y55)*(1-Inputs!$C$9)+IF(AND(Z$3&gt;=Initiatives!$F$33,Z$3&lt;Initiatives!$F$33+Initiatives!$F$47),Initiatives!$F$43/Initiatives!$F$47,0)</f>
        <v>0</v>
      </c>
    </row>
    <row r="56" customFormat="false" ht="15" hidden="false" customHeight="false" outlineLevel="0" collapsed="false">
      <c r="A56" s="4" t="s">
        <v>225</v>
      </c>
      <c r="B56" s="4" t="s">
        <v>226</v>
      </c>
      <c r="C56" s="8" t="n">
        <f aca="false">IF(Initiatives!$F$6="adoption",C54*Initiatives!$F$14+C53*Initiatives!$F$9-C55*Initiatives!$F$9,IF(Initiatives!$F$6="reprice",IF(C$3&gt;=Initiatives!$F$33,(Initiatives!$F$41*Initiatives!$F$44+Initiatives!$F$42*Initiatives!$F$20)*(1-Inputs!$C$9)^(C$3-Initiatives!$F$33),0)-C55*Initiatives!$F$9,C$5*Initiatives!$F$22*C50+C53*Inputs!$C$8))</f>
        <v>0</v>
      </c>
      <c r="D56" s="8" t="n">
        <f aca="false">IF(Initiatives!$F$6="adoption",D54*Initiatives!$F$14+D53*Initiatives!$F$9-D55*Initiatives!$F$9,IF(Initiatives!$F$6="reprice",IF(D$3&gt;=Initiatives!$F$33,(Initiatives!$F$41*Initiatives!$F$44+Initiatives!$F$42*Initiatives!$F$20)*(1-Inputs!$C$9)^(D$3-Initiatives!$F$33),0)-D55*Initiatives!$F$9,D$5*Initiatives!$F$22*D50+D53*Inputs!$C$8))</f>
        <v>117612000</v>
      </c>
      <c r="E56" s="8" t="n">
        <f aca="false">IF(Initiatives!$F$6="adoption",E54*Initiatives!$F$14+E53*Initiatives!$F$9-E55*Initiatives!$F$9,IF(Initiatives!$F$6="reprice",IF(E$3&gt;=Initiatives!$F$33,(Initiatives!$F$41*Initiatives!$F$44+Initiatives!$F$42*Initiatives!$F$20)*(1-Inputs!$C$9)^(E$3-Initiatives!$F$33),0)-E55*Initiatives!$F$9,E$5*Initiatives!$F$22*E50+E53*Inputs!$C$8))</f>
        <v>233877342.6</v>
      </c>
      <c r="F56" s="8" t="n">
        <f aca="false">IF(Initiatives!$F$6="adoption",F54*Initiatives!$F$14+F53*Initiatives!$F$9-F55*Initiatives!$F$9,IF(Initiatives!$F$6="reprice",IF(F$3&gt;=Initiatives!$F$33,(Initiatives!$F$41*Initiatives!$F$44+Initiatives!$F$42*Initiatives!$F$20)*(1-Inputs!$C$9)^(F$3-Initiatives!$F$33),0)-F55*Initiatives!$F$9,F$5*Initiatives!$F$22*F50+F53*Inputs!$C$8))</f>
        <v>231198277.96395</v>
      </c>
      <c r="G56" s="8" t="n">
        <f aca="false">IF(Initiatives!$F$6="adoption",G54*Initiatives!$F$14+G53*Initiatives!$F$9-G55*Initiatives!$F$9,IF(Initiatives!$F$6="reprice",IF(G$3&gt;=Initiatives!$F$33,(Initiatives!$F$41*Initiatives!$F$44+Initiatives!$F$42*Initiatives!$F$20)*(1-Inputs!$C$9)^(G$3-Initiatives!$F$33),0)-G55*Initiatives!$F$9,G$5*Initiatives!$F$22*G50+G53*Inputs!$C$8))</f>
        <v>228547584.686524</v>
      </c>
      <c r="H56" s="8" t="n">
        <f aca="false">IF(Initiatives!$F$6="adoption",H54*Initiatives!$F$14+H53*Initiatives!$F$9-H55*Initiatives!$F$9,IF(Initiatives!$F$6="reprice",IF(H$3&gt;=Initiatives!$F$33,(Initiatives!$F$41*Initiatives!$F$44+Initiatives!$F$42*Initiatives!$F$20)*(1-Inputs!$C$9)^(H$3-Initiatives!$F$33),0)-H55*Initiatives!$F$9,H$5*Initiatives!$F$22*H50+H53*Inputs!$C$8))</f>
        <v>225925005.555547</v>
      </c>
      <c r="I56" s="8" t="n">
        <f aca="false">IF(Initiatives!$F$6="adoption",I54*Initiatives!$F$14+I53*Initiatives!$F$9-I55*Initiatives!$F$9,IF(Initiatives!$F$6="reprice",IF(I$3&gt;=Initiatives!$F$33,(Initiatives!$F$41*Initiatives!$F$44+Initiatives!$F$42*Initiatives!$F$20)*(1-Inputs!$C$9)^(I$3-Initiatives!$F$33),0)-I55*Initiatives!$F$9,I$5*Initiatives!$F$22*I50+I53*Inputs!$C$8))</f>
        <v>223330284.817925</v>
      </c>
      <c r="J56" s="8" t="n">
        <f aca="false">IF(Initiatives!$F$6="adoption",J54*Initiatives!$F$14+J53*Initiatives!$F$9-J55*Initiatives!$F$9,IF(Initiatives!$F$6="reprice",IF(J$3&gt;=Initiatives!$F$33,(Initiatives!$F$41*Initiatives!$F$44+Initiatives!$F$42*Initiatives!$F$20)*(1-Inputs!$C$9)^(J$3-Initiatives!$F$33),0)-J55*Initiatives!$F$9,J$5*Initiatives!$F$22*J50+J53*Inputs!$C$8))</f>
        <v>220763168.191941</v>
      </c>
      <c r="K56" s="8" t="n">
        <f aca="false">IF(Initiatives!$F$6="adoption",K54*Initiatives!$F$14+K53*Initiatives!$F$9-K55*Initiatives!$F$9,IF(Initiatives!$F$6="reprice",IF(K$3&gt;=Initiatives!$F$33,(Initiatives!$F$41*Initiatives!$F$44+Initiatives!$F$42*Initiatives!$F$20)*(1-Inputs!$C$9)^(K$3-Initiatives!$F$33),0)-K55*Initiatives!$F$9,K$5*Initiatives!$F$22*K50+K53*Inputs!$C$8))</f>
        <v>218223402.878887</v>
      </c>
      <c r="L56" s="8" t="n">
        <f aca="false">IF(Initiatives!$F$6="adoption",L54*Initiatives!$F$14+L53*Initiatives!$F$9-L55*Initiatives!$F$9,IF(Initiatives!$F$6="reprice",IF(L$3&gt;=Initiatives!$F$33,(Initiatives!$F$41*Initiatives!$F$44+Initiatives!$F$42*Initiatives!$F$20)*(1-Inputs!$C$9)^(L$3-Initiatives!$F$33),0)-L55*Initiatives!$F$9,L$5*Initiatives!$F$22*L50+L53*Inputs!$C$8))</f>
        <v>215710737.574039</v>
      </c>
      <c r="M56" s="8" t="n">
        <f aca="false">IF(Initiatives!$F$6="adoption",M54*Initiatives!$F$14+M53*Initiatives!$F$9-M55*Initiatives!$F$9,IF(Initiatives!$F$6="reprice",IF(M$3&gt;=Initiatives!$F$33,(Initiatives!$F$41*Initiatives!$F$44+Initiatives!$F$42*Initiatives!$F$20)*(1-Inputs!$C$9)^(M$3-Initiatives!$F$33),0)-M55*Initiatives!$F$9,M$5*Initiatives!$F$22*M50+M53*Inputs!$C$8))</f>
        <v>213224922.476993</v>
      </c>
      <c r="N56" s="8" t="n">
        <f aca="false">IF(Initiatives!$F$6="adoption",N54*Initiatives!$F$14+N53*Initiatives!$F$9-N55*Initiatives!$F$9,IF(Initiatives!$F$6="reprice",IF(N$3&gt;=Initiatives!$F$33,(Initiatives!$F$41*Initiatives!$F$44+Initiatives!$F$42*Initiatives!$F$20)*(1-Inputs!$C$9)^(N$3-Initiatives!$F$33),0)-N55*Initiatives!$F$9,N$5*Initiatives!$F$22*N50+N53*Inputs!$C$8))</f>
        <v>210765709.301378</v>
      </c>
      <c r="O56" s="8" t="n">
        <f aca="false">IF(Initiatives!$F$6="adoption",O54*Initiatives!$F$14+O53*Initiatives!$F$9-O55*Initiatives!$F$9,IF(Initiatives!$F$6="reprice",IF(O$3&gt;=Initiatives!$F$33,(Initiatives!$F$41*Initiatives!$F$44+Initiatives!$F$42*Initiatives!$F$20)*(1-Inputs!$C$9)^(O$3-Initiatives!$F$33),0)-O55*Initiatives!$F$9,O$5*Initiatives!$F$22*O50+O53*Inputs!$C$8))</f>
        <v>208332851.283971</v>
      </c>
      <c r="P56" s="8" t="n">
        <f aca="false">IF(Initiatives!$F$6="adoption",P54*Initiatives!$F$14+P53*Initiatives!$F$9-P55*Initiatives!$F$9,IF(Initiatives!$F$6="reprice",IF(P$3&gt;=Initiatives!$F$33,(Initiatives!$F$41*Initiatives!$F$44+Initiatives!$F$42*Initiatives!$F$20)*(1-Inputs!$C$9)^(P$3-Initiatives!$F$33),0)-P55*Initiatives!$F$9,P$5*Initiatives!$F$22*P50+P53*Inputs!$C$8))</f>
        <v>205926103.19321</v>
      </c>
      <c r="Q56" s="8" t="n">
        <f aca="false">IF(Initiatives!$F$6="adoption",Q54*Initiatives!$F$14+Q53*Initiatives!$F$9-Q55*Initiatives!$F$9,IF(Initiatives!$F$6="reprice",IF(Q$3&gt;=Initiatives!$F$33,(Initiatives!$F$41*Initiatives!$F$44+Initiatives!$F$42*Initiatives!$F$20)*(1-Inputs!$C$9)^(Q$3-Initiatives!$F$33),0)-Q55*Initiatives!$F$9,Q$5*Initiatives!$F$22*Q50+Q53*Inputs!$C$8))</f>
        <v>203545221.337141</v>
      </c>
      <c r="R56" s="8" t="n">
        <f aca="false">IF(Initiatives!$F$6="adoption",R54*Initiatives!$F$14+R53*Initiatives!$F$9-R55*Initiatives!$F$9,IF(Initiatives!$F$6="reprice",IF(R$3&gt;=Initiatives!$F$33,(Initiatives!$F$41*Initiatives!$F$44+Initiatives!$F$42*Initiatives!$F$20)*(1-Inputs!$C$9)^(R$3-Initiatives!$F$33),0)-R55*Initiatives!$F$9,R$5*Initiatives!$F$22*R50+R53*Inputs!$C$8))</f>
        <v>201189963.570805</v>
      </c>
      <c r="S56" s="8" t="n">
        <f aca="false">IF(Initiatives!$F$6="adoption",S54*Initiatives!$F$14+S53*Initiatives!$F$9-S55*Initiatives!$F$9,IF(Initiatives!$F$6="reprice",IF(S$3&gt;=Initiatives!$F$33,(Initiatives!$F$41*Initiatives!$F$44+Initiatives!$F$42*Initiatives!$F$20)*(1-Inputs!$C$9)^(S$3-Initiatives!$F$33),0)-S55*Initiatives!$F$9,S$5*Initiatives!$F$22*S50+S53*Inputs!$C$8))</f>
        <v>198860089.303074</v>
      </c>
      <c r="T56" s="8" t="n">
        <f aca="false">IF(Initiatives!$F$6="adoption",T54*Initiatives!$F$14+T53*Initiatives!$F$9-T55*Initiatives!$F$9,IF(Initiatives!$F$6="reprice",IF(T$3&gt;=Initiatives!$F$33,(Initiatives!$F$41*Initiatives!$F$44+Initiatives!$F$42*Initiatives!$F$20)*(1-Inputs!$C$9)^(T$3-Initiatives!$F$33),0)-T55*Initiatives!$F$9,T$5*Initiatives!$F$22*T50+T53*Inputs!$C$8))</f>
        <v>196555359.50296</v>
      </c>
      <c r="U56" s="8" t="n">
        <f aca="false">IF(Initiatives!$F$6="adoption",U54*Initiatives!$F$14+U53*Initiatives!$F$9-U55*Initiatives!$F$9,IF(Initiatives!$F$6="reprice",IF(U$3&gt;=Initiatives!$F$33,(Initiatives!$F$41*Initiatives!$F$44+Initiatives!$F$42*Initiatives!$F$20)*(1-Inputs!$C$9)^(U$3-Initiatives!$F$33),0)-U55*Initiatives!$F$9,U$5*Initiatives!$F$22*U50+U53*Inputs!$C$8))</f>
        <v>194275536.705411</v>
      </c>
      <c r="V56" s="8" t="n">
        <f aca="false">IF(Initiatives!$F$6="adoption",V54*Initiatives!$F$14+V53*Initiatives!$F$9-V55*Initiatives!$F$9,IF(Initiatives!$F$6="reprice",IF(V$3&gt;=Initiatives!$F$33,(Initiatives!$F$41*Initiatives!$F$44+Initiatives!$F$42*Initiatives!$F$20)*(1-Inputs!$C$9)^(V$3-Initiatives!$F$33),0)-V55*Initiatives!$F$9,V$5*Initiatives!$F$22*V50+V53*Inputs!$C$8))</f>
        <v>192020385.016597</v>
      </c>
      <c r="W56" s="8" t="n">
        <f aca="false">IF(Initiatives!$F$6="adoption",W54*Initiatives!$F$14+W53*Initiatives!$F$9-W55*Initiatives!$F$9,IF(Initiatives!$F$6="reprice",IF(W$3&gt;=Initiatives!$F$33,(Initiatives!$F$41*Initiatives!$F$44+Initiatives!$F$42*Initiatives!$F$20)*(1-Inputs!$C$9)^(W$3-Initiatives!$F$33),0)-W55*Initiatives!$F$9,W$5*Initiatives!$F$22*W50+W53*Inputs!$C$8))</f>
        <v>189789670.11871</v>
      </c>
      <c r="X56" s="8" t="n">
        <f aca="false">IF(Initiatives!$F$6="adoption",X54*Initiatives!$F$14+X53*Initiatives!$F$9-X55*Initiatives!$F$9,IF(Initiatives!$F$6="reprice",IF(X$3&gt;=Initiatives!$F$33,(Initiatives!$F$41*Initiatives!$F$44+Initiatives!$F$42*Initiatives!$F$20)*(1-Inputs!$C$9)^(X$3-Initiatives!$F$33),0)-X55*Initiatives!$F$9,X$5*Initiatives!$F$22*X50+X53*Inputs!$C$8))</f>
        <v>187583159.274289</v>
      </c>
      <c r="Y56" s="8" t="n">
        <f aca="false">IF(Initiatives!$F$6="adoption",Y54*Initiatives!$F$14+Y53*Initiatives!$F$9-Y55*Initiatives!$F$9,IF(Initiatives!$F$6="reprice",IF(Y$3&gt;=Initiatives!$F$33,(Initiatives!$F$41*Initiatives!$F$44+Initiatives!$F$42*Initiatives!$F$20)*(1-Inputs!$C$9)^(Y$3-Initiatives!$F$33),0)-Y55*Initiatives!$F$9,Y$5*Initiatives!$F$22*Y50+Y53*Inputs!$C$8))</f>
        <v>185400621.330079</v>
      </c>
      <c r="Z56" s="8" t="n">
        <f aca="false">IF(Initiatives!$F$6="adoption",Z54*Initiatives!$F$14+Z53*Initiatives!$F$9-Z55*Initiatives!$F$9,IF(Initiatives!$F$6="reprice",IF(Z$3&gt;=Initiatives!$F$33,(Initiatives!$F$41*Initiatives!$F$44+Initiatives!$F$42*Initiatives!$F$20)*(1-Inputs!$C$9)^(Z$3-Initiatives!$F$33),0)-Z55*Initiatives!$F$9,Z$5*Initiatives!$F$22*Z50+Z53*Inputs!$C$8))</f>
        <v>183241826.720442</v>
      </c>
    </row>
    <row r="57" customFormat="false" ht="15" hidden="false" customHeight="false" outlineLevel="0" collapsed="false">
      <c r="A57" s="4" t="s">
        <v>227</v>
      </c>
      <c r="B57" s="4" t="s">
        <v>228</v>
      </c>
      <c r="C57" s="8" t="n">
        <f aca="false">C54*Initiatives!$F$24*Initiatives!$F$25</f>
        <v>0</v>
      </c>
      <c r="D57" s="8" t="n">
        <f aca="false">D54*Initiatives!$F$24*Initiatives!$F$25</f>
        <v>0</v>
      </c>
      <c r="E57" s="8" t="n">
        <f aca="false">E54*Initiatives!$F$24*Initiatives!$F$25</f>
        <v>0</v>
      </c>
      <c r="F57" s="8" t="n">
        <f aca="false">F54*Initiatives!$F$24*Initiatives!$F$25</f>
        <v>0</v>
      </c>
      <c r="G57" s="8" t="n">
        <f aca="false">G54*Initiatives!$F$24*Initiatives!$F$25</f>
        <v>0</v>
      </c>
      <c r="H57" s="8" t="n">
        <f aca="false">H54*Initiatives!$F$24*Initiatives!$F$25</f>
        <v>0</v>
      </c>
      <c r="I57" s="8" t="n">
        <f aca="false">I54*Initiatives!$F$24*Initiatives!$F$25</f>
        <v>0</v>
      </c>
      <c r="J57" s="8" t="n">
        <f aca="false">J54*Initiatives!$F$24*Initiatives!$F$25</f>
        <v>0</v>
      </c>
      <c r="K57" s="8" t="n">
        <f aca="false">K54*Initiatives!$F$24*Initiatives!$F$25</f>
        <v>0</v>
      </c>
      <c r="L57" s="8" t="n">
        <f aca="false">L54*Initiatives!$F$24*Initiatives!$F$25</f>
        <v>0</v>
      </c>
      <c r="M57" s="8" t="n">
        <f aca="false">M54*Initiatives!$F$24*Initiatives!$F$25</f>
        <v>0</v>
      </c>
      <c r="N57" s="8" t="n">
        <f aca="false">N54*Initiatives!$F$24*Initiatives!$F$25</f>
        <v>0</v>
      </c>
      <c r="O57" s="8" t="n">
        <f aca="false">O54*Initiatives!$F$24*Initiatives!$F$25</f>
        <v>0</v>
      </c>
      <c r="P57" s="8" t="n">
        <f aca="false">P54*Initiatives!$F$24*Initiatives!$F$25</f>
        <v>0</v>
      </c>
      <c r="Q57" s="8" t="n">
        <f aca="false">Q54*Initiatives!$F$24*Initiatives!$F$25</f>
        <v>0</v>
      </c>
      <c r="R57" s="8" t="n">
        <f aca="false">R54*Initiatives!$F$24*Initiatives!$F$25</f>
        <v>0</v>
      </c>
      <c r="S57" s="8" t="n">
        <f aca="false">S54*Initiatives!$F$24*Initiatives!$F$25</f>
        <v>0</v>
      </c>
      <c r="T57" s="8" t="n">
        <f aca="false">T54*Initiatives!$F$24*Initiatives!$F$25</f>
        <v>0</v>
      </c>
      <c r="U57" s="8" t="n">
        <f aca="false">U54*Initiatives!$F$24*Initiatives!$F$25</f>
        <v>0</v>
      </c>
      <c r="V57" s="8" t="n">
        <f aca="false">V54*Initiatives!$F$24*Initiatives!$F$25</f>
        <v>0</v>
      </c>
      <c r="W57" s="8" t="n">
        <f aca="false">W54*Initiatives!$F$24*Initiatives!$F$25</f>
        <v>0</v>
      </c>
      <c r="X57" s="8" t="n">
        <f aca="false">X54*Initiatives!$F$24*Initiatives!$F$25</f>
        <v>0</v>
      </c>
      <c r="Y57" s="8" t="n">
        <f aca="false">Y54*Initiatives!$F$24*Initiatives!$F$25</f>
        <v>0</v>
      </c>
      <c r="Z57" s="8" t="n">
        <f aca="false">Z54*Initiatives!$F$24*Initiatives!$F$25</f>
        <v>0</v>
      </c>
    </row>
    <row r="58" customFormat="false" ht="15" hidden="false" customHeight="false" outlineLevel="0" collapsed="false">
      <c r="A58" s="4" t="s">
        <v>229</v>
      </c>
      <c r="B58" s="4" t="s">
        <v>230</v>
      </c>
      <c r="C58" s="8" t="n">
        <f aca="false">IF(C$3&lt;=Initiatives!$F$46,Initiatives!$F$29/Initiatives!$F$46,0)+IF(C$3&gt;=Initiatives!$F$33,Initiatives!$F$30,0)+IF(C$3=Initiatives!$F$33,Initiatives!$F$39*Initiatives!$F$26,0)+C52*Initiatives!$F$27+C54*Initiatives!$F$28+IF(AND(Initiatives!$F$6="reprice",C$3&gt;=Initiatives!$F$33),Initiatives!$F$41*Initiatives!$F$21*(1-Inputs!$C$9)^(C$3-Initiatives!$F$33)-Initiatives!$F$31,0)</f>
        <v>350000000</v>
      </c>
      <c r="D58" s="8" t="n">
        <f aca="false">IF(D$3&lt;=Initiatives!$F$46,Initiatives!$F$29/Initiatives!$F$46,0)+IF(D$3&gt;=Initiatives!$F$33,Initiatives!$F$30,0)+IF(D$3=Initiatives!$F$33,Initiatives!$F$39*Initiatives!$F$26,0)+D52*Initiatives!$F$27+D54*Initiatives!$F$28+IF(AND(Initiatives!$F$6="reprice",D$3&gt;=Initiatives!$F$33),Initiatives!$F$41*Initiatives!$F$21*(1-Inputs!$C$9)^(D$3-Initiatives!$F$33)-Initiatives!$F$31,0)</f>
        <v>41600800</v>
      </c>
      <c r="E58" s="8" t="n">
        <f aca="false">IF(E$3&lt;=Initiatives!$F$46,Initiatives!$F$29/Initiatives!$F$46,0)+IF(E$3&gt;=Initiatives!$F$33,Initiatives!$F$30,0)+IF(E$3=Initiatives!$F$33,Initiatives!$F$39*Initiatives!$F$26,0)+E52*Initiatives!$F$27+E54*Initiatives!$F$28+IF(AND(Initiatives!$F$6="reprice",E$3&gt;=Initiatives!$F$33),Initiatives!$F$41*Initiatives!$F$21*(1-Inputs!$C$9)^(E$3-Initiatives!$F$33)-Initiatives!$F$31,0)</f>
        <v>25569868.6</v>
      </c>
      <c r="F58" s="8" t="n">
        <f aca="false">IF(F$3&lt;=Initiatives!$F$46,Initiatives!$F$29/Initiatives!$F$46,0)+IF(F$3&gt;=Initiatives!$F$33,Initiatives!$F$30,0)+IF(F$3=Initiatives!$F$33,Initiatives!$F$39*Initiatives!$F$26,0)+F52*Initiatives!$F$27+F54*Initiatives!$F$28+IF(AND(Initiatives!$F$6="reprice",F$3&gt;=Initiatives!$F$33),Initiatives!$F$41*Initiatives!$F$21*(1-Inputs!$C$9)^(F$3-Initiatives!$F$33)-Initiatives!$F$31,0)</f>
        <v>25347997.97245</v>
      </c>
      <c r="G58" s="8" t="n">
        <f aca="false">IF(G$3&lt;=Initiatives!$F$46,Initiatives!$F$29/Initiatives!$F$46,0)+IF(G$3&gt;=Initiatives!$F$33,Initiatives!$F$30,0)+IF(G$3=Initiatives!$F$33,Initiatives!$F$39*Initiatives!$F$26,0)+G52*Initiatives!$F$27+G54*Initiatives!$F$28+IF(AND(Initiatives!$F$6="reprice",G$3&gt;=Initiatives!$F$33),Initiatives!$F$41*Initiatives!$F$21*(1-Inputs!$C$9)^(G$3-Initiatives!$F$33)-Initiatives!$F$31,0)</f>
        <v>25129289.0013426</v>
      </c>
      <c r="H58" s="8" t="n">
        <f aca="false">IF(H$3&lt;=Initiatives!$F$46,Initiatives!$F$29/Initiatives!$F$46,0)+IF(H$3&gt;=Initiatives!$F$33,Initiatives!$F$30,0)+IF(H$3=Initiatives!$F$33,Initiatives!$F$39*Initiatives!$F$26,0)+H52*Initiatives!$F$27+H54*Initiatives!$F$28+IF(AND(Initiatives!$F$6="reprice",H$3&gt;=Initiatives!$F$33),Initiatives!$F$41*Initiatives!$F$21*(1-Inputs!$C$9)^(H$3-Initiatives!$F$33)-Initiatives!$F$31,0)</f>
        <v>24913696.6330735</v>
      </c>
      <c r="I58" s="8" t="n">
        <f aca="false">IF(I$3&lt;=Initiatives!$F$46,Initiatives!$F$29/Initiatives!$F$46,0)+IF(I$3&gt;=Initiatives!$F$33,Initiatives!$F$30,0)+IF(I$3=Initiatives!$F$33,Initiatives!$F$39*Initiatives!$F$26,0)+I52*Initiatives!$F$27+I54*Initiatives!$F$28+IF(AND(Initiatives!$F$6="reprice",I$3&gt;=Initiatives!$F$33),Initiatives!$F$41*Initiatives!$F$21*(1-Inputs!$C$9)^(I$3-Initiatives!$F$33)-Initiatives!$F$31,0)</f>
        <v>24701176.4560522</v>
      </c>
      <c r="J58" s="8" t="n">
        <f aca="false">IF(J$3&lt;=Initiatives!$F$46,Initiatives!$F$29/Initiatives!$F$46,0)+IF(J$3&gt;=Initiatives!$F$33,Initiatives!$F$30,0)+IF(J$3=Initiatives!$F$33,Initiatives!$F$39*Initiatives!$F$26,0)+J52*Initiatives!$F$27+J54*Initiatives!$F$28+IF(AND(Initiatives!$F$6="reprice",J$3&gt;=Initiatives!$F$33),Initiatives!$F$41*Initiatives!$F$21*(1-Inputs!$C$9)^(J$3-Initiatives!$F$33)-Initiatives!$F$31,0)</f>
        <v>24491684.6915534</v>
      </c>
      <c r="K58" s="8" t="n">
        <f aca="false">IF(K$3&lt;=Initiatives!$F$46,Initiatives!$F$29/Initiatives!$F$46,0)+IF(K$3&gt;=Initiatives!$F$33,Initiatives!$F$30,0)+IF(K$3=Initiatives!$F$33,Initiatives!$F$39*Initiatives!$F$26,0)+K52*Initiatives!$F$27+K54*Initiatives!$F$28+IF(AND(Initiatives!$F$6="reprice",K$3&gt;=Initiatives!$F$33),Initiatives!$F$41*Initiatives!$F$21*(1-Inputs!$C$9)^(K$3-Initiatives!$F$33)-Initiatives!$F$31,0)</f>
        <v>24285178.1846988</v>
      </c>
      <c r="L58" s="8" t="n">
        <f aca="false">IF(L$3&lt;=Initiatives!$F$46,Initiatives!$F$29/Initiatives!$F$46,0)+IF(L$3&gt;=Initiatives!$F$33,Initiatives!$F$30,0)+IF(L$3=Initiatives!$F$33,Initiatives!$F$39*Initiatives!$F$26,0)+L52*Initiatives!$F$27+L54*Initiatives!$F$28+IF(AND(Initiatives!$F$6="reprice",L$3&gt;=Initiatives!$F$33),Initiatives!$F$41*Initiatives!$F$21*(1-Inputs!$C$9)^(L$3-Initiatives!$F$33)-Initiatives!$F$31,0)</f>
        <v>24081614.3955668</v>
      </c>
      <c r="M58" s="8" t="n">
        <f aca="false">IF(M$3&lt;=Initiatives!$F$46,Initiatives!$F$29/Initiatives!$F$46,0)+IF(M$3&gt;=Initiatives!$F$33,Initiatives!$F$30,0)+IF(M$3=Initiatives!$F$33,Initiatives!$F$39*Initiatives!$F$26,0)+M52*Initiatives!$F$27+M54*Initiatives!$F$28+IF(AND(Initiatives!$F$6="reprice",M$3&gt;=Initiatives!$F$33),Initiatives!$F$41*Initiatives!$F$21*(1-Inputs!$C$9)^(M$3-Initiatives!$F$33)-Initiatives!$F$31,0)</f>
        <v>23880951.39043</v>
      </c>
      <c r="N58" s="8" t="n">
        <f aca="false">IF(N$3&lt;=Initiatives!$F$46,Initiatives!$F$29/Initiatives!$F$46,0)+IF(N$3&gt;=Initiatives!$F$33,Initiatives!$F$30,0)+IF(N$3=Initiatives!$F$33,Initiatives!$F$39*Initiatives!$F$26,0)+N52*Initiatives!$F$27+N54*Initiatives!$F$28+IF(AND(Initiatives!$F$6="reprice",N$3&gt;=Initiatives!$F$33),Initiatives!$F$41*Initiatives!$F$21*(1-Inputs!$C$9)^(N$3-Initiatives!$F$33)-Initiatives!$F$31,0)</f>
        <v>23683147.8331164</v>
      </c>
      <c r="O58" s="8" t="n">
        <f aca="false">IF(O$3&lt;=Initiatives!$F$46,Initiatives!$F$29/Initiatives!$F$46,0)+IF(O$3&gt;=Initiatives!$F$33,Initiatives!$F$30,0)+IF(O$3=Initiatives!$F$33,Initiatives!$F$39*Initiatives!$F$26,0)+O52*Initiatives!$F$27+O54*Initiatives!$F$28+IF(AND(Initiatives!$F$6="reprice",O$3&gt;=Initiatives!$F$33),Initiatives!$F$41*Initiatives!$F$21*(1-Inputs!$C$9)^(O$3-Initiatives!$F$33)-Initiatives!$F$31,0)</f>
        <v>23488162.9764945</v>
      </c>
      <c r="P58" s="8" t="n">
        <f aca="false">IF(P$3&lt;=Initiatives!$F$46,Initiatives!$F$29/Initiatives!$F$46,0)+IF(P$3&gt;=Initiatives!$F$33,Initiatives!$F$30,0)+IF(P$3=Initiatives!$F$33,Initiatives!$F$39*Initiatives!$F$26,0)+P52*Initiatives!$F$27+P54*Initiatives!$F$28+IF(AND(Initiatives!$F$6="reprice",P$3&gt;=Initiatives!$F$33),Initiatives!$F$41*Initiatives!$F$21*(1-Inputs!$C$9)^(P$3-Initiatives!$F$33)-Initiatives!$F$31,0)</f>
        <v>23295956.6540794</v>
      </c>
      <c r="Q58" s="8" t="n">
        <f aca="false">IF(Q$3&lt;=Initiatives!$F$46,Initiatives!$F$29/Initiatives!$F$46,0)+IF(Q$3&gt;=Initiatives!$F$33,Initiatives!$F$30,0)+IF(Q$3=Initiatives!$F$33,Initiatives!$F$39*Initiatives!$F$26,0)+Q52*Initiatives!$F$27+Q54*Initiatives!$F$28+IF(AND(Initiatives!$F$6="reprice",Q$3&gt;=Initiatives!$F$33),Initiatives!$F$41*Initiatives!$F$21*(1-Inputs!$C$9)^(Q$3-Initiatives!$F$33)-Initiatives!$F$31,0)</f>
        <v>23106489.2717588</v>
      </c>
      <c r="R58" s="8" t="n">
        <f aca="false">IF(R$3&lt;=Initiatives!$F$46,Initiatives!$F$29/Initiatives!$F$46,0)+IF(R$3&gt;=Initiatives!$F$33,Initiatives!$F$30,0)+IF(R$3=Initiatives!$F$33,Initiatives!$F$39*Initiatives!$F$26,0)+R52*Initiatives!$F$27+R54*Initiatives!$F$28+IF(AND(Initiatives!$F$6="reprice",R$3&gt;=Initiatives!$F$33),Initiatives!$F$41*Initiatives!$F$21*(1-Inputs!$C$9)^(R$3-Initiatives!$F$33)-Initiatives!$F$31,0)</f>
        <v>22919721.7996362</v>
      </c>
      <c r="S58" s="8" t="n">
        <f aca="false">IF(S$3&lt;=Initiatives!$F$46,Initiatives!$F$29/Initiatives!$F$46,0)+IF(S$3&gt;=Initiatives!$F$33,Initiatives!$F$30,0)+IF(S$3=Initiatives!$F$33,Initiatives!$F$39*Initiatives!$F$26,0)+S52*Initiatives!$F$27+S54*Initiatives!$F$28+IF(AND(Initiatives!$F$6="reprice",S$3&gt;=Initiatives!$F$33),Initiatives!$F$41*Initiatives!$F$21*(1-Inputs!$C$9)^(S$3-Initiatives!$F$33)-Initiatives!$F$31,0)</f>
        <v>22735615.7639914</v>
      </c>
      <c r="T58" s="8" t="n">
        <f aca="false">IF(T$3&lt;=Initiatives!$F$46,Initiatives!$F$29/Initiatives!$F$46,0)+IF(T$3&gt;=Initiatives!$F$33,Initiatives!$F$30,0)+IF(T$3=Initiatives!$F$33,Initiatives!$F$39*Initiatives!$F$26,0)+T52*Initiatives!$F$27+T54*Initiatives!$F$28+IF(AND(Initiatives!$F$6="reprice",T$3&gt;=Initiatives!$F$33),Initiatives!$F$41*Initiatives!$F$21*(1-Inputs!$C$9)^(T$3-Initiatives!$F$33)-Initiatives!$F$31,0)</f>
        <v>22554133.2393545</v>
      </c>
      <c r="U58" s="8" t="n">
        <f aca="false">IF(U$3&lt;=Initiatives!$F$46,Initiatives!$F$29/Initiatives!$F$46,0)+IF(U$3&gt;=Initiatives!$F$33,Initiatives!$F$30,0)+IF(U$3=Initiatives!$F$33,Initiatives!$F$39*Initiatives!$F$26,0)+U52*Initiatives!$F$27+U54*Initiatives!$F$28+IF(AND(Initiatives!$F$6="reprice",U$3&gt;=Initiatives!$F$33),Initiatives!$F$41*Initiatives!$F$21*(1-Inputs!$C$9)^(U$3-Initiatives!$F$33)-Initiatives!$F$31,0)</f>
        <v>22375236.8406937</v>
      </c>
      <c r="V58" s="8" t="n">
        <f aca="false">IF(V$3&lt;=Initiatives!$F$46,Initiatives!$F$29/Initiatives!$F$46,0)+IF(V$3&gt;=Initiatives!$F$33,Initiatives!$F$30,0)+IF(V$3=Initiatives!$F$33,Initiatives!$F$39*Initiatives!$F$26,0)+V52*Initiatives!$F$27+V54*Initiatives!$F$28+IF(AND(Initiatives!$F$6="reprice",V$3&gt;=Initiatives!$F$33),Initiatives!$F$41*Initiatives!$F$21*(1-Inputs!$C$9)^(V$3-Initiatives!$F$33)-Initiatives!$F$31,0)</f>
        <v>22198889.7157138</v>
      </c>
      <c r="W58" s="8" t="n">
        <f aca="false">IF(W$3&lt;=Initiatives!$F$46,Initiatives!$F$29/Initiatives!$F$46,0)+IF(W$3&gt;=Initiatives!$F$33,Initiatives!$F$30,0)+IF(W$3=Initiatives!$F$33,Initiatives!$F$39*Initiatives!$F$26,0)+W52*Initiatives!$F$27+W54*Initiatives!$F$28+IF(AND(Initiatives!$F$6="reprice",W$3&gt;=Initiatives!$F$33),Initiatives!$F$41*Initiatives!$F$21*(1-Inputs!$C$9)^(W$3-Initiatives!$F$33)-Initiatives!$F$31,0)</f>
        <v>22025055.5372649</v>
      </c>
      <c r="X58" s="8" t="n">
        <f aca="false">IF(X$3&lt;=Initiatives!$F$46,Initiatives!$F$29/Initiatives!$F$46,0)+IF(X$3&gt;=Initiatives!$F$33,Initiatives!$F$30,0)+IF(X$3=Initiatives!$F$33,Initiatives!$F$39*Initiatives!$F$26,0)+X52*Initiatives!$F$27+X54*Initiatives!$F$28+IF(AND(Initiatives!$F$6="reprice",X$3&gt;=Initiatives!$F$33),Initiatives!$F$41*Initiatives!$F$21*(1-Inputs!$C$9)^(X$3-Initiatives!$F$33)-Initiatives!$F$31,0)</f>
        <v>21853698.4958589</v>
      </c>
      <c r="Y58" s="8" t="n">
        <f aca="false">IF(Y$3&lt;=Initiatives!$F$46,Initiatives!$F$29/Initiatives!$F$46,0)+IF(Y$3&gt;=Initiatives!$F$33,Initiatives!$F$30,0)+IF(Y$3=Initiatives!$F$33,Initiatives!$F$39*Initiatives!$F$26,0)+Y52*Initiatives!$F$27+Y54*Initiatives!$F$28+IF(AND(Initiatives!$F$6="reprice",Y$3&gt;=Initiatives!$F$33),Initiatives!$F$41*Initiatives!$F$21*(1-Inputs!$C$9)^(Y$3-Initiatives!$F$33)-Initiatives!$F$31,0)</f>
        <v>21684783.2922929</v>
      </c>
      <c r="Z58" s="8" t="n">
        <f aca="false">IF(Z$3&lt;=Initiatives!$F$46,Initiatives!$F$29/Initiatives!$F$46,0)+IF(Z$3&gt;=Initiatives!$F$33,Initiatives!$F$30,0)+IF(Z$3=Initiatives!$F$33,Initiatives!$F$39*Initiatives!$F$26,0)+Z52*Initiatives!$F$27+Z54*Initiatives!$F$28+IF(AND(Initiatives!$F$6="reprice",Z$3&gt;=Initiatives!$F$33),Initiatives!$F$41*Initiatives!$F$21*(1-Inputs!$C$9)^(Z$3-Initiatives!$F$33)-Initiatives!$F$31,0)</f>
        <v>21518275.1303777</v>
      </c>
    </row>
    <row r="59" customFormat="false" ht="15" hidden="false" customHeight="false" outlineLevel="0" collapsed="false">
      <c r="A59" s="4" t="s">
        <v>231</v>
      </c>
      <c r="B59" s="4" t="s">
        <v>232</v>
      </c>
      <c r="C59" s="8" t="n">
        <f aca="false">(C56+C57)*Initiatives!$F$32-C58</f>
        <v>-350000000</v>
      </c>
      <c r="D59" s="8" t="n">
        <f aca="false">(D56+D57)*Initiatives!$F$32-D58</f>
        <v>58369400</v>
      </c>
      <c r="E59" s="8" t="n">
        <f aca="false">(E56+E57)*Initiatives!$F$32-E58</f>
        <v>173225872.61</v>
      </c>
      <c r="F59" s="8" t="n">
        <f aca="false">(F56+F57)*Initiatives!$F$32-F58</f>
        <v>171170538.296908</v>
      </c>
      <c r="G59" s="8" t="n">
        <f aca="false">(G56+G57)*Initiatives!$F$32-G58</f>
        <v>169136157.982203</v>
      </c>
      <c r="H59" s="8" t="n">
        <f aca="false">(H56+H57)*Initiatives!$F$32-H58</f>
        <v>167122558.089142</v>
      </c>
      <c r="I59" s="8" t="n">
        <f aca="false">(I56+I57)*Initiatives!$F$32-I58</f>
        <v>165129565.639184</v>
      </c>
      <c r="J59" s="8" t="n">
        <f aca="false">(J56+J57)*Initiatives!$F$32-J58</f>
        <v>163157008.271597</v>
      </c>
      <c r="K59" s="8" t="n">
        <f aca="false">(K56+K57)*Initiatives!$F$32-K58</f>
        <v>161204714.262355</v>
      </c>
      <c r="L59" s="8" t="n">
        <f aca="false">(L56+L57)*Initiatives!$F$32-L58</f>
        <v>159272512.542367</v>
      </c>
      <c r="M59" s="8" t="n">
        <f aca="false">(M56+M57)*Initiatives!$F$32-M58</f>
        <v>157360232.715014</v>
      </c>
      <c r="N59" s="8" t="n">
        <f aca="false">(N56+N57)*Initiatives!$F$32-N58</f>
        <v>155467705.073055</v>
      </c>
      <c r="O59" s="8" t="n">
        <f aca="false">(O56+O57)*Initiatives!$F$32-O58</f>
        <v>153594760.614881</v>
      </c>
      <c r="P59" s="8" t="n">
        <f aca="false">(P56+P57)*Initiatives!$F$32-P58</f>
        <v>151741231.060149</v>
      </c>
      <c r="Q59" s="8" t="n">
        <f aca="false">(Q56+Q57)*Initiatives!$F$32-Q58</f>
        <v>149906948.864811</v>
      </c>
      <c r="R59" s="8" t="n">
        <f aca="false">(R56+R57)*Initiatives!$F$32-R58</f>
        <v>148091747.235548</v>
      </c>
      <c r="S59" s="8" t="n">
        <f aca="false">(S56+S57)*Initiatives!$F$32-S58</f>
        <v>146295460.143621</v>
      </c>
      <c r="T59" s="8" t="n">
        <f aca="false">(T56+T57)*Initiatives!$F$32-T58</f>
        <v>144517922.338162</v>
      </c>
      <c r="U59" s="8" t="n">
        <f aca="false">(U56+U57)*Initiatives!$F$32-U58</f>
        <v>142758969.358906</v>
      </c>
      <c r="V59" s="8" t="n">
        <f aca="false">(V56+V57)*Initiatives!$F$32-V58</f>
        <v>141018437.548394</v>
      </c>
      <c r="W59" s="8" t="n">
        <f aca="false">(W56+W57)*Initiatives!$F$32-W58</f>
        <v>139296164.063639</v>
      </c>
      <c r="X59" s="8" t="n">
        <f aca="false">(X56+X57)*Initiatives!$F$32-X58</f>
        <v>137591986.887287</v>
      </c>
      <c r="Y59" s="8" t="n">
        <f aca="false">(Y56+Y57)*Initiatives!$F$32-Y58</f>
        <v>135905744.838274</v>
      </c>
      <c r="Z59" s="8" t="n">
        <f aca="false">(Z56+Z57)*Initiatives!$F$32-Z58</f>
        <v>134237277.581998</v>
      </c>
    </row>
    <row r="60" customFormat="false" ht="15" hidden="false" customHeight="false" outlineLevel="0" collapsed="false">
      <c r="A60" s="4" t="s">
        <v>233</v>
      </c>
      <c r="B60" s="4" t="s">
        <v>234</v>
      </c>
      <c r="C60" s="8" t="n">
        <f aca="false">C53-C55</f>
        <v>0</v>
      </c>
      <c r="D60" s="8" t="n">
        <f aca="false">D53-D55</f>
        <v>0</v>
      </c>
      <c r="E60" s="8" t="n">
        <f aca="false">E53-E55</f>
        <v>11.7612</v>
      </c>
      <c r="F60" s="8" t="n">
        <f aca="false">F53-F55</f>
        <v>34.9395849</v>
      </c>
      <c r="G60" s="8" t="n">
        <f aca="false">G53-G55</f>
        <v>57.437488085175</v>
      </c>
      <c r="H60" s="8" t="n">
        <f aca="false">H53-H55</f>
        <v>79.2698592659113</v>
      </c>
      <c r="I60" s="8" t="n">
        <f aca="false">I53-I55</f>
        <v>100.451356326533</v>
      </c>
      <c r="J60" s="8" t="n">
        <f aca="false">J53-J55</f>
        <v>120.996350665713</v>
      </c>
      <c r="K60" s="8" t="n">
        <f aca="false">K53-K55</f>
        <v>140.918932443057</v>
      </c>
      <c r="L60" s="8" t="n">
        <f aca="false">L53-L55</f>
        <v>160.23291573346</v>
      </c>
      <c r="M60" s="8" t="n">
        <f aca="false">M53-M55</f>
        <v>178.951843590808</v>
      </c>
      <c r="N60" s="8" t="n">
        <f aca="false">N53-N55</f>
        <v>197.088993022591</v>
      </c>
      <c r="O60" s="8" t="n">
        <f aca="false">O53-O55</f>
        <v>214.657379876927</v>
      </c>
      <c r="P60" s="8" t="n">
        <f aca="false">P53-P55</f>
        <v>231.669763643514</v>
      </c>
      <c r="Q60" s="8" t="n">
        <f aca="false">Q53-Q55</f>
        <v>248.138652169981</v>
      </c>
      <c r="R60" s="8" t="n">
        <f aca="false">R53-R55</f>
        <v>264.076306295069</v>
      </c>
      <c r="S60" s="8" t="n">
        <f aca="false">S53-S55</f>
        <v>279.494744400098</v>
      </c>
      <c r="T60" s="8" t="n">
        <f aca="false">T53-T55</f>
        <v>294.405746880083</v>
      </c>
      <c r="U60" s="8" t="n">
        <f aca="false">U53-U55</f>
        <v>308.820860535914</v>
      </c>
      <c r="V60" s="8" t="n">
        <f aca="false">V53-V55</f>
        <v>322.751402888916</v>
      </c>
      <c r="W60" s="8" t="n">
        <f aca="false">W53-W55</f>
        <v>336.208466419153</v>
      </c>
      <c r="X60" s="8" t="n">
        <f aca="false">X53-X55</f>
        <v>349.202922728763</v>
      </c>
      <c r="Y60" s="8" t="n">
        <f aca="false">Y53-Y55</f>
        <v>361.74542663162</v>
      </c>
      <c r="Z60" s="8" t="n">
        <f aca="false">Z53-Z55</f>
        <v>373.846420170585</v>
      </c>
    </row>
    <row r="61" customFormat="false" ht="15" hidden="false" customHeight="false" outlineLevel="0" collapsed="false">
      <c r="A61" s="4" t="s">
        <v>235</v>
      </c>
      <c r="B61" s="4" t="s">
        <v>236</v>
      </c>
      <c r="C61" s="8" t="n">
        <f aca="false">C54*Initiatives!$F$24</f>
        <v>0</v>
      </c>
      <c r="D61" s="8" t="n">
        <f aca="false">D54*Initiatives!$F$24</f>
        <v>0</v>
      </c>
      <c r="E61" s="8" t="n">
        <f aca="false">E54*Initiatives!$F$24</f>
        <v>0</v>
      </c>
      <c r="F61" s="8" t="n">
        <f aca="false">F54*Initiatives!$F$24</f>
        <v>0</v>
      </c>
      <c r="G61" s="8" t="n">
        <f aca="false">G54*Initiatives!$F$24</f>
        <v>0</v>
      </c>
      <c r="H61" s="8" t="n">
        <f aca="false">H54*Initiatives!$F$24</f>
        <v>0</v>
      </c>
      <c r="I61" s="8" t="n">
        <f aca="false">I54*Initiatives!$F$24</f>
        <v>0</v>
      </c>
      <c r="J61" s="8" t="n">
        <f aca="false">J54*Initiatives!$F$24</f>
        <v>0</v>
      </c>
      <c r="K61" s="8" t="n">
        <f aca="false">K54*Initiatives!$F$24</f>
        <v>0</v>
      </c>
      <c r="L61" s="8" t="n">
        <f aca="false">L54*Initiatives!$F$24</f>
        <v>0</v>
      </c>
      <c r="M61" s="8" t="n">
        <f aca="false">M54*Initiatives!$F$24</f>
        <v>0</v>
      </c>
      <c r="N61" s="8" t="n">
        <f aca="false">N54*Initiatives!$F$24</f>
        <v>0</v>
      </c>
      <c r="O61" s="8" t="n">
        <f aca="false">O54*Initiatives!$F$24</f>
        <v>0</v>
      </c>
      <c r="P61" s="8" t="n">
        <f aca="false">P54*Initiatives!$F$24</f>
        <v>0</v>
      </c>
      <c r="Q61" s="8" t="n">
        <f aca="false">Q54*Initiatives!$F$24</f>
        <v>0</v>
      </c>
      <c r="R61" s="8" t="n">
        <f aca="false">R54*Initiatives!$F$24</f>
        <v>0</v>
      </c>
      <c r="S61" s="8" t="n">
        <f aca="false">S54*Initiatives!$F$24</f>
        <v>0</v>
      </c>
      <c r="T61" s="8" t="n">
        <f aca="false">T54*Initiatives!$F$24</f>
        <v>0</v>
      </c>
      <c r="U61" s="8" t="n">
        <f aca="false">U54*Initiatives!$F$24</f>
        <v>0</v>
      </c>
      <c r="V61" s="8" t="n">
        <f aca="false">V54*Initiatives!$F$24</f>
        <v>0</v>
      </c>
      <c r="W61" s="8" t="n">
        <f aca="false">W54*Initiatives!$F$24</f>
        <v>0</v>
      </c>
      <c r="X61" s="8" t="n">
        <f aca="false">X54*Initiatives!$F$24</f>
        <v>0</v>
      </c>
      <c r="Y61" s="8" t="n">
        <f aca="false">Y54*Initiatives!$F$24</f>
        <v>0</v>
      </c>
      <c r="Z61" s="8" t="n">
        <f aca="false">Z54*Initiatives!$F$24</f>
        <v>0</v>
      </c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" hidden="false" customHeight="false" outlineLevel="0" collapsed="false">
      <c r="A63" s="17" t="s">
        <v>240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customFormat="false" ht="15" hidden="false" customHeight="false" outlineLevel="0" collapsed="false">
      <c r="A64" s="4" t="s">
        <v>213</v>
      </c>
      <c r="B64" s="4" t="s">
        <v>214</v>
      </c>
      <c r="C64" s="24" t="n">
        <f aca="false">IF(C$3&lt;Initiatives!$G$33,0,MIN((C$3-Initiatives!$G$33+1)/Initiatives!$G$34,1))</f>
        <v>0</v>
      </c>
      <c r="D64" s="24" t="n">
        <f aca="false">IF(D$3&lt;Initiatives!$G$33,0,MIN((D$3-Initiatives!$G$33+1)/Initiatives!$G$34,1))</f>
        <v>0</v>
      </c>
      <c r="E64" s="24" t="n">
        <f aca="false">IF(E$3&lt;Initiatives!$G$33,0,MIN((E$3-Initiatives!$G$33+1)/Initiatives!$G$34,1))</f>
        <v>0.25</v>
      </c>
      <c r="F64" s="24" t="n">
        <f aca="false">IF(F$3&lt;Initiatives!$G$33,0,MIN((F$3-Initiatives!$G$33+1)/Initiatives!$G$34,1))</f>
        <v>0.5</v>
      </c>
      <c r="G64" s="24" t="n">
        <f aca="false">IF(G$3&lt;Initiatives!$G$33,0,MIN((G$3-Initiatives!$G$33+1)/Initiatives!$G$34,1))</f>
        <v>0.75</v>
      </c>
      <c r="H64" s="24" t="n">
        <f aca="false">IF(H$3&lt;Initiatives!$G$33,0,MIN((H$3-Initiatives!$G$33+1)/Initiatives!$G$34,1))</f>
        <v>1</v>
      </c>
      <c r="I64" s="24" t="n">
        <f aca="false">IF(I$3&lt;Initiatives!$G$33,0,MIN((I$3-Initiatives!$G$33+1)/Initiatives!$G$34,1))</f>
        <v>1</v>
      </c>
      <c r="J64" s="24" t="n">
        <f aca="false">IF(J$3&lt;Initiatives!$G$33,0,MIN((J$3-Initiatives!$G$33+1)/Initiatives!$G$34,1))</f>
        <v>1</v>
      </c>
      <c r="K64" s="24" t="n">
        <f aca="false">IF(K$3&lt;Initiatives!$G$33,0,MIN((K$3-Initiatives!$G$33+1)/Initiatives!$G$34,1))</f>
        <v>1</v>
      </c>
      <c r="L64" s="24" t="n">
        <f aca="false">IF(L$3&lt;Initiatives!$G$33,0,MIN((L$3-Initiatives!$G$33+1)/Initiatives!$G$34,1))</f>
        <v>1</v>
      </c>
      <c r="M64" s="24" t="n">
        <f aca="false">IF(M$3&lt;Initiatives!$G$33,0,MIN((M$3-Initiatives!$G$33+1)/Initiatives!$G$34,1))</f>
        <v>1</v>
      </c>
      <c r="N64" s="24" t="n">
        <f aca="false">IF(N$3&lt;Initiatives!$G$33,0,MIN((N$3-Initiatives!$G$33+1)/Initiatives!$G$34,1))</f>
        <v>1</v>
      </c>
      <c r="O64" s="24" t="n">
        <f aca="false">IF(O$3&lt;Initiatives!$G$33,0,MIN((O$3-Initiatives!$G$33+1)/Initiatives!$G$34,1))</f>
        <v>1</v>
      </c>
      <c r="P64" s="24" t="n">
        <f aca="false">IF(P$3&lt;Initiatives!$G$33,0,MIN((P$3-Initiatives!$G$33+1)/Initiatives!$G$34,1))</f>
        <v>1</v>
      </c>
      <c r="Q64" s="24" t="n">
        <f aca="false">IF(Q$3&lt;Initiatives!$G$33,0,MIN((Q$3-Initiatives!$G$33+1)/Initiatives!$G$34,1))</f>
        <v>1</v>
      </c>
      <c r="R64" s="24" t="n">
        <f aca="false">IF(R$3&lt;Initiatives!$G$33,0,MIN((R$3-Initiatives!$G$33+1)/Initiatives!$G$34,1))</f>
        <v>1</v>
      </c>
      <c r="S64" s="24" t="n">
        <f aca="false">IF(S$3&lt;Initiatives!$G$33,0,MIN((S$3-Initiatives!$G$33+1)/Initiatives!$G$34,1))</f>
        <v>1</v>
      </c>
      <c r="T64" s="24" t="n">
        <f aca="false">IF(T$3&lt;Initiatives!$G$33,0,MIN((T$3-Initiatives!$G$33+1)/Initiatives!$G$34,1))</f>
        <v>1</v>
      </c>
      <c r="U64" s="24" t="n">
        <f aca="false">IF(U$3&lt;Initiatives!$G$33,0,MIN((U$3-Initiatives!$G$33+1)/Initiatives!$G$34,1))</f>
        <v>1</v>
      </c>
      <c r="V64" s="24" t="n">
        <f aca="false">IF(V$3&lt;Initiatives!$G$33,0,MIN((V$3-Initiatives!$G$33+1)/Initiatives!$G$34,1))</f>
        <v>1</v>
      </c>
      <c r="W64" s="24" t="n">
        <f aca="false">IF(W$3&lt;Initiatives!$G$33,0,MIN((W$3-Initiatives!$G$33+1)/Initiatives!$G$34,1))</f>
        <v>1</v>
      </c>
      <c r="X64" s="24" t="n">
        <f aca="false">IF(X$3&lt;Initiatives!$G$33,0,MIN((X$3-Initiatives!$G$33+1)/Initiatives!$G$34,1))</f>
        <v>1</v>
      </c>
      <c r="Y64" s="24" t="n">
        <f aca="false">IF(Y$3&lt;Initiatives!$G$33,0,MIN((Y$3-Initiatives!$G$33+1)/Initiatives!$G$34,1))</f>
        <v>1</v>
      </c>
      <c r="Z64" s="24" t="n">
        <f aca="false">IF(Z$3&lt;Initiatives!$G$33,0,MIN((Z$3-Initiatives!$G$33+1)/Initiatives!$G$34,1))</f>
        <v>1</v>
      </c>
    </row>
    <row r="65" customFormat="false" ht="15" hidden="false" customHeight="false" outlineLevel="0" collapsed="false">
      <c r="A65" s="4" t="s">
        <v>215</v>
      </c>
      <c r="B65" s="4" t="s">
        <v>216</v>
      </c>
      <c r="C65" s="8" t="n">
        <f aca="false">Initiatives!$G$40*C64</f>
        <v>0</v>
      </c>
      <c r="D65" s="8" t="n">
        <f aca="false">Initiatives!$G$40*D64</f>
        <v>0</v>
      </c>
      <c r="E65" s="8" t="n">
        <f aca="false">Initiatives!$G$40*E64</f>
        <v>4928</v>
      </c>
      <c r="F65" s="8" t="n">
        <f aca="false">Initiatives!$G$40*F64</f>
        <v>9856</v>
      </c>
      <c r="G65" s="8" t="n">
        <f aca="false">Initiatives!$G$40*G64</f>
        <v>14784</v>
      </c>
      <c r="H65" s="8" t="n">
        <f aca="false">Initiatives!$G$40*H64</f>
        <v>19712</v>
      </c>
      <c r="I65" s="8" t="n">
        <f aca="false">Initiatives!$G$40*I64</f>
        <v>19712</v>
      </c>
      <c r="J65" s="8" t="n">
        <f aca="false">Initiatives!$G$40*J64</f>
        <v>19712</v>
      </c>
      <c r="K65" s="8" t="n">
        <f aca="false">Initiatives!$G$40*K64</f>
        <v>19712</v>
      </c>
      <c r="L65" s="8" t="n">
        <f aca="false">Initiatives!$G$40*L64</f>
        <v>19712</v>
      </c>
      <c r="M65" s="8" t="n">
        <f aca="false">Initiatives!$G$40*M64</f>
        <v>19712</v>
      </c>
      <c r="N65" s="8" t="n">
        <f aca="false">Initiatives!$G$40*N64</f>
        <v>19712</v>
      </c>
      <c r="O65" s="8" t="n">
        <f aca="false">Initiatives!$G$40*O64</f>
        <v>19712</v>
      </c>
      <c r="P65" s="8" t="n">
        <f aca="false">Initiatives!$G$40*P64</f>
        <v>19712</v>
      </c>
      <c r="Q65" s="8" t="n">
        <f aca="false">Initiatives!$G$40*Q64</f>
        <v>19712</v>
      </c>
      <c r="R65" s="8" t="n">
        <f aca="false">Initiatives!$G$40*R64</f>
        <v>19712</v>
      </c>
      <c r="S65" s="8" t="n">
        <f aca="false">Initiatives!$G$40*S64</f>
        <v>19712</v>
      </c>
      <c r="T65" s="8" t="n">
        <f aca="false">Initiatives!$G$40*T64</f>
        <v>19712</v>
      </c>
      <c r="U65" s="8" t="n">
        <f aca="false">Initiatives!$G$40*U64</f>
        <v>19712</v>
      </c>
      <c r="V65" s="8" t="n">
        <f aca="false">Initiatives!$G$40*V64</f>
        <v>19712</v>
      </c>
      <c r="W65" s="8" t="n">
        <f aca="false">Initiatives!$G$40*W64</f>
        <v>19712</v>
      </c>
      <c r="X65" s="8" t="n">
        <f aca="false">Initiatives!$G$40*X64</f>
        <v>19712</v>
      </c>
      <c r="Y65" s="8" t="n">
        <f aca="false">Initiatives!$G$40*Y64</f>
        <v>19712</v>
      </c>
      <c r="Z65" s="8" t="n">
        <f aca="false">Initiatives!$G$40*Z64</f>
        <v>19712</v>
      </c>
    </row>
    <row r="66" customFormat="false" ht="15" hidden="false" customHeight="false" outlineLevel="0" collapsed="false">
      <c r="A66" s="4" t="s">
        <v>217</v>
      </c>
      <c r="B66" s="4" t="s">
        <v>218</v>
      </c>
      <c r="C66" s="8" t="n">
        <f aca="false">MAX(C65-N(B65),0)</f>
        <v>0</v>
      </c>
      <c r="D66" s="8" t="n">
        <f aca="false">MAX(D65-N(C65),0)</f>
        <v>0</v>
      </c>
      <c r="E66" s="8" t="n">
        <f aca="false">MAX(E65-N(D65),0)</f>
        <v>4928</v>
      </c>
      <c r="F66" s="8" t="n">
        <f aca="false">MAX(F65-N(E65),0)</f>
        <v>4928</v>
      </c>
      <c r="G66" s="8" t="n">
        <f aca="false">MAX(G65-N(F65),0)</f>
        <v>4928</v>
      </c>
      <c r="H66" s="8" t="n">
        <f aca="false">MAX(H65-N(G65),0)</f>
        <v>4928</v>
      </c>
      <c r="I66" s="8" t="n">
        <f aca="false">MAX(I65-N(H65),0)</f>
        <v>0</v>
      </c>
      <c r="J66" s="8" t="n">
        <f aca="false">MAX(J65-N(I65),0)</f>
        <v>0</v>
      </c>
      <c r="K66" s="8" t="n">
        <f aca="false">MAX(K65-N(J65),0)</f>
        <v>0</v>
      </c>
      <c r="L66" s="8" t="n">
        <f aca="false">MAX(L65-N(K65),0)</f>
        <v>0</v>
      </c>
      <c r="M66" s="8" t="n">
        <f aca="false">MAX(M65-N(L65),0)</f>
        <v>0</v>
      </c>
      <c r="N66" s="8" t="n">
        <f aca="false">MAX(N65-N(M65),0)</f>
        <v>0</v>
      </c>
      <c r="O66" s="8" t="n">
        <f aca="false">MAX(O65-N(N65),0)</f>
        <v>0</v>
      </c>
      <c r="P66" s="8" t="n">
        <f aca="false">MAX(P65-N(O65),0)</f>
        <v>0</v>
      </c>
      <c r="Q66" s="8" t="n">
        <f aca="false">MAX(Q65-N(P65),0)</f>
        <v>0</v>
      </c>
      <c r="R66" s="8" t="n">
        <f aca="false">MAX(R65-N(Q65),0)</f>
        <v>0</v>
      </c>
      <c r="S66" s="8" t="n">
        <f aca="false">MAX(S65-N(R65),0)</f>
        <v>0</v>
      </c>
      <c r="T66" s="8" t="n">
        <f aca="false">MAX(T65-N(S65),0)</f>
        <v>0</v>
      </c>
      <c r="U66" s="8" t="n">
        <f aca="false">MAX(U65-N(T65),0)</f>
        <v>0</v>
      </c>
      <c r="V66" s="8" t="n">
        <f aca="false">MAX(V65-N(U65),0)</f>
        <v>0</v>
      </c>
      <c r="W66" s="8" t="n">
        <f aca="false">MAX(W65-N(V65),0)</f>
        <v>0</v>
      </c>
      <c r="X66" s="8" t="n">
        <f aca="false">MAX(X65-N(W65),0)</f>
        <v>0</v>
      </c>
      <c r="Y66" s="8" t="n">
        <f aca="false">MAX(Y65-N(X65),0)</f>
        <v>0</v>
      </c>
      <c r="Z66" s="8" t="n">
        <f aca="false">MAX(Z65-N(Y65),0)</f>
        <v>0</v>
      </c>
    </row>
    <row r="67" customFormat="false" ht="15" hidden="false" customHeight="false" outlineLevel="0" collapsed="false">
      <c r="A67" s="4" t="s">
        <v>219</v>
      </c>
      <c r="B67" s="4" t="s">
        <v>220</v>
      </c>
      <c r="C67" s="8" t="n">
        <f aca="false">IF(Initiatives!$G$6="adoption",N(B67)*(1-Inputs!$C$9)+N(B68)*Inputs!$C$9*Initiatives!$G$16,IF(Initiatives!$G$6="relative",N(B67)*(1-Inputs!$C$9)+C$4*Inputs!$C$9*Initiatives!$G$23*C64,0))</f>
        <v>0</v>
      </c>
      <c r="D67" s="8" t="n">
        <f aca="false">IF(Initiatives!$G$6="adoption",N(C67)*(1-Inputs!$C$9)+N(C68)*Inputs!$C$9*Initiatives!$G$16,IF(Initiatives!$G$6="relative",N(C67)*(1-Inputs!$C$9)+D$4*Inputs!$C$9*Initiatives!$G$23*D64,0))</f>
        <v>0</v>
      </c>
      <c r="E67" s="8" t="n">
        <f aca="false">IF(Initiatives!$G$6="adoption",N(D67)*(1-Inputs!$C$9)+N(D68)*Inputs!$C$9*Initiatives!$G$16,IF(Initiatives!$G$6="relative",N(D67)*(1-Inputs!$C$9)+E$4*Inputs!$C$9*Initiatives!$G$23*E64,0))</f>
        <v>0</v>
      </c>
      <c r="F67" s="8" t="n">
        <f aca="false">IF(Initiatives!$G$6="adoption",N(E67)*(1-Inputs!$C$9)+N(E68)*Inputs!$C$9*Initiatives!$G$16,IF(Initiatives!$G$6="relative",N(E67)*(1-Inputs!$C$9)+F$4*Inputs!$C$9*Initiatives!$G$23*F64,0))</f>
        <v>18.48</v>
      </c>
      <c r="G67" s="8" t="n">
        <f aca="false">IF(Initiatives!$G$6="adoption",N(F67)*(1-Inputs!$C$9)+N(F68)*Inputs!$C$9*Initiatives!$G$16,IF(Initiatives!$G$6="relative",N(F67)*(1-Inputs!$C$9)+G$4*Inputs!$C$9*Initiatives!$G$23*G64,0))</f>
        <v>54.9549</v>
      </c>
      <c r="H67" s="8" t="n">
        <f aca="false">IF(Initiatives!$G$6="adoption",N(G67)*(1-Inputs!$C$9)+N(G68)*Inputs!$C$9*Initiatives!$G$16,IF(Initiatives!$G$6="relative",N(G67)*(1-Inputs!$C$9)+H$4*Inputs!$C$9*Initiatives!$G$23*H64,0))</f>
        <v>108.949215375</v>
      </c>
      <c r="I67" s="8" t="n">
        <f aca="false">IF(Initiatives!$G$6="adoption",N(H67)*(1-Inputs!$C$9)+N(H68)*Inputs!$C$9*Initiatives!$G$16,IF(Initiatives!$G$6="relative",N(H67)*(1-Inputs!$C$9)+I$4*Inputs!$C$9*Initiatives!$G$23*I64,0))</f>
        <v>179.996906332031</v>
      </c>
      <c r="J67" s="8" t="n">
        <f aca="false">IF(Initiatives!$G$6="adoption",N(I67)*(1-Inputs!$C$9)+N(I68)*Inputs!$C$9*Initiatives!$G$16,IF(Initiatives!$G$6="relative",N(I67)*(1-Inputs!$C$9)+J$4*Inputs!$C$9*Initiatives!$G$23*J64,0))</f>
        <v>249.161210221346</v>
      </c>
      <c r="K67" s="8" t="n">
        <f aca="false">IF(Initiatives!$G$6="adoption",N(J67)*(1-Inputs!$C$9)+N(J68)*Inputs!$C$9*Initiatives!$G$16,IF(Initiatives!$G$6="relative",N(J67)*(1-Inputs!$C$9)+K$4*Inputs!$C$9*Initiatives!$G$23*K64,0))</f>
        <v>316.479576655623</v>
      </c>
      <c r="L67" s="8" t="n">
        <f aca="false">IF(Initiatives!$G$6="adoption",N(K67)*(1-Inputs!$C$9)+N(K68)*Inputs!$C$9*Initiatives!$G$16,IF(Initiatives!$G$6="relative",N(K67)*(1-Inputs!$C$9)+L$4*Inputs!$C$9*Initiatives!$G$23*L64,0))</f>
        <v>381.988790016775</v>
      </c>
      <c r="M67" s="8" t="n">
        <f aca="false">IF(Initiatives!$G$6="adoption",N(L67)*(1-Inputs!$C$9)+N(L68)*Inputs!$C$9*Initiatives!$G$16,IF(Initiatives!$G$6="relative",N(L67)*(1-Inputs!$C$9)+M$4*Inputs!$C$9*Initiatives!$G$23*M64,0))</f>
        <v>445.724980598636</v>
      </c>
      <c r="N67" s="8" t="n">
        <f aca="false">IF(Initiatives!$G$6="adoption",N(M67)*(1-Inputs!$C$9)+N(M68)*Inputs!$C$9*Initiatives!$G$16,IF(Initiatives!$G$6="relative",N(M67)*(1-Inputs!$C$9)+N$4*Inputs!$C$9*Initiatives!$G$23*N64,0))</f>
        <v>507.723635569408</v>
      </c>
      <c r="O67" s="8" t="n">
        <f aca="false">IF(Initiatives!$G$6="adoption",N(N67)*(1-Inputs!$C$9)+N(N68)*Inputs!$C$9*Initiatives!$G$16,IF(Initiatives!$G$6="relative",N(N67)*(1-Inputs!$C$9)+O$4*Inputs!$C$9*Initiatives!$G$23*O64,0))</f>
        <v>568.019609756721</v>
      </c>
      <c r="P67" s="8" t="n">
        <f aca="false">IF(Initiatives!$G$6="adoption",N(O67)*(1-Inputs!$C$9)+N(O68)*Inputs!$C$9*Initiatives!$G$16,IF(Initiatives!$G$6="relative",N(O67)*(1-Inputs!$C$9)+P$4*Inputs!$C$9*Initiatives!$G$23*P64,0))</f>
        <v>626.647136258115</v>
      </c>
      <c r="Q67" s="8" t="n">
        <f aca="false">IF(Initiatives!$G$6="adoption",N(P67)*(1-Inputs!$C$9)+N(P68)*Inputs!$C$9*Initiatives!$G$16,IF(Initiatives!$G$6="relative",N(P67)*(1-Inputs!$C$9)+Q$4*Inputs!$C$9*Initiatives!$G$23*Q64,0))</f>
        <v>683.6398368797</v>
      </c>
      <c r="R67" s="8" t="n">
        <f aca="false">IF(Initiatives!$G$6="adoption",N(Q67)*(1-Inputs!$C$9)+N(Q68)*Inputs!$C$9*Initiatives!$G$16,IF(Initiatives!$G$6="relative",N(Q67)*(1-Inputs!$C$9)+R$4*Inputs!$C$9*Initiatives!$G$23*R64,0))</f>
        <v>739.030732405726</v>
      </c>
      <c r="S67" s="8" t="n">
        <f aca="false">IF(Initiatives!$G$6="adoption",N(R67)*(1-Inputs!$C$9)+N(R68)*Inputs!$C$9*Initiatives!$G$16,IF(Initiatives!$G$6="relative",N(R67)*(1-Inputs!$C$9)+S$4*Inputs!$C$9*Initiatives!$G$23*S64,0))</f>
        <v>792.85225270172</v>
      </c>
      <c r="T67" s="8" t="n">
        <f aca="false">IF(Initiatives!$G$6="adoption",N(S67)*(1-Inputs!$C$9)+N(S68)*Inputs!$C$9*Initiatives!$G$16,IF(Initiatives!$G$6="relative",N(S67)*(1-Inputs!$C$9)+T$4*Inputs!$C$9*Initiatives!$G$23*T64,0))</f>
        <v>845.136246653851</v>
      </c>
      <c r="U67" s="8" t="n">
        <f aca="false">IF(Initiatives!$G$6="adoption",N(T67)*(1-Inputs!$C$9)+N(T68)*Inputs!$C$9*Initiatives!$G$16,IF(Initiatives!$G$6="relative",N(T67)*(1-Inputs!$C$9)+U$4*Inputs!$C$9*Initiatives!$G$23*U64,0))</f>
        <v>895.913991947095</v>
      </c>
      <c r="V67" s="8" t="n">
        <f aca="false">IF(Initiatives!$G$6="adoption",N(U67)*(1-Inputs!$C$9)+N(U68)*Inputs!$C$9*Initiatives!$G$16,IF(Initiatives!$G$6="relative",N(U67)*(1-Inputs!$C$9)+V$4*Inputs!$C$9*Initiatives!$G$23*V64,0))</f>
        <v>945.216204684768</v>
      </c>
      <c r="W67" s="8" t="n">
        <f aca="false">IF(Initiatives!$G$6="adoption",N(V67)*(1-Inputs!$C$9)+N(V68)*Inputs!$C$9*Initiatives!$G$16,IF(Initiatives!$G$6="relative",N(V67)*(1-Inputs!$C$9)+W$4*Inputs!$C$9*Initiatives!$G$23*W64,0))</f>
        <v>993.073048851937</v>
      </c>
      <c r="X67" s="8" t="n">
        <f aca="false">IF(Initiatives!$G$6="adoption",N(W67)*(1-Inputs!$C$9)+N(W68)*Inputs!$C$9*Initiatives!$G$16,IF(Initiatives!$G$6="relative",N(W67)*(1-Inputs!$C$9)+X$4*Inputs!$C$9*Initiatives!$G$23*X64,0))</f>
        <v>1039.51414562518</v>
      </c>
      <c r="Y67" s="8" t="n">
        <f aca="false">IF(Initiatives!$G$6="adoption",N(X67)*(1-Inputs!$C$9)+N(X68)*Inputs!$C$9*Initiatives!$G$16,IF(Initiatives!$G$6="relative",N(X67)*(1-Inputs!$C$9)+Y$4*Inputs!$C$9*Initiatives!$G$23*Y64,0))</f>
        <v>1084.56858253112</v>
      </c>
      <c r="Z67" s="8" t="n">
        <f aca="false">IF(Initiatives!$G$6="adoption",N(Y67)*(1-Inputs!$C$9)+N(Y68)*Inputs!$C$9*Initiatives!$G$16,IF(Initiatives!$G$6="relative",N(Y67)*(1-Inputs!$C$9)+Z$4*Inputs!$C$9*Initiatives!$G$23*Z64,0))</f>
        <v>1128.26492245622</v>
      </c>
    </row>
    <row r="68" customFormat="false" ht="15" hidden="false" customHeight="false" outlineLevel="0" collapsed="false">
      <c r="A68" s="4" t="s">
        <v>221</v>
      </c>
      <c r="B68" s="4" t="s">
        <v>222</v>
      </c>
      <c r="C68" s="8" t="n">
        <f aca="false">N(B68)*(1-Initiatives!$G$45)*(1-Inputs!$C$9*(1-Initiatives!$G$16))+C66</f>
        <v>0</v>
      </c>
      <c r="D68" s="8" t="n">
        <f aca="false">N(C68)*(1-Initiatives!$G$45)*(1-Inputs!$C$9*(1-Initiatives!$G$16))+D66</f>
        <v>0</v>
      </c>
      <c r="E68" s="8" t="n">
        <f aca="false">N(D68)*(1-Initiatives!$G$45)*(1-Inputs!$C$9*(1-Initiatives!$G$16))+E66</f>
        <v>4928</v>
      </c>
      <c r="F68" s="8" t="n">
        <f aca="false">N(E68)*(1-Initiatives!$G$45)*(1-Inputs!$C$9*(1-Initiatives!$G$16))+F66</f>
        <v>9800.56</v>
      </c>
      <c r="G68" s="8" t="n">
        <f aca="false">N(F68)*(1-Initiatives!$G$45)*(1-Inputs!$C$9*(1-Initiatives!$G$16))+G66</f>
        <v>14618.3037</v>
      </c>
      <c r="H68" s="8" t="n">
        <f aca="false">N(G68)*(1-Initiatives!$G$45)*(1-Inputs!$C$9*(1-Initiatives!$G$16))+H66</f>
        <v>19381.847783375</v>
      </c>
      <c r="I68" s="8" t="n">
        <f aca="false">N(H68)*(1-Initiatives!$G$45)*(1-Inputs!$C$9*(1-Initiatives!$G$16))+I66</f>
        <v>19163.801995812</v>
      </c>
      <c r="J68" s="8" t="n">
        <f aca="false">N(I68)*(1-Initiatives!$G$45)*(1-Inputs!$C$9*(1-Initiatives!$G$16))+J66</f>
        <v>18948.2092233591</v>
      </c>
      <c r="K68" s="8" t="n">
        <f aca="false">N(J68)*(1-Initiatives!$G$45)*(1-Inputs!$C$9*(1-Initiatives!$G$16))+K66</f>
        <v>18735.0418695964</v>
      </c>
      <c r="L68" s="8" t="n">
        <f aca="false">N(K68)*(1-Initiatives!$G$45)*(1-Inputs!$C$9*(1-Initiatives!$G$16))+L66</f>
        <v>18524.2726485634</v>
      </c>
      <c r="M68" s="8" t="n">
        <f aca="false">N(L68)*(1-Initiatives!$G$45)*(1-Inputs!$C$9*(1-Initiatives!$G$16))+M66</f>
        <v>18315.8745812671</v>
      </c>
      <c r="N68" s="8" t="n">
        <f aca="false">N(M68)*(1-Initiatives!$G$45)*(1-Inputs!$C$9*(1-Initiatives!$G$16))+N66</f>
        <v>18109.8209922278</v>
      </c>
      <c r="O68" s="8" t="n">
        <f aca="false">N(N68)*(1-Initiatives!$G$45)*(1-Inputs!$C$9*(1-Initiatives!$G$16))+O66</f>
        <v>17906.0855060652</v>
      </c>
      <c r="P68" s="8" t="n">
        <f aca="false">N(O68)*(1-Initiatives!$G$45)*(1-Inputs!$C$9*(1-Initiatives!$G$16))+P66</f>
        <v>17704.642044122</v>
      </c>
      <c r="Q68" s="8" t="n">
        <f aca="false">N(P68)*(1-Initiatives!$G$45)*(1-Inputs!$C$9*(1-Initiatives!$G$16))+Q66</f>
        <v>17505.4648211256</v>
      </c>
      <c r="R68" s="8" t="n">
        <f aca="false">N(Q68)*(1-Initiatives!$G$45)*(1-Inputs!$C$9*(1-Initiatives!$G$16))+R66</f>
        <v>17308.528341888</v>
      </c>
      <c r="S68" s="8" t="n">
        <f aca="false">N(R68)*(1-Initiatives!$G$45)*(1-Inputs!$C$9*(1-Initiatives!$G$16))+S66</f>
        <v>17113.8073980417</v>
      </c>
      <c r="T68" s="8" t="n">
        <f aca="false">N(S68)*(1-Initiatives!$G$45)*(1-Inputs!$C$9*(1-Initiatives!$G$16))+T66</f>
        <v>16921.2770648138</v>
      </c>
      <c r="U68" s="8" t="n">
        <f aca="false">N(T68)*(1-Initiatives!$G$45)*(1-Inputs!$C$9*(1-Initiatives!$G$16))+U66</f>
        <v>16730.9126978346</v>
      </c>
      <c r="V68" s="8" t="n">
        <f aca="false">N(U68)*(1-Initiatives!$G$45)*(1-Inputs!$C$9*(1-Initiatives!$G$16))+V66</f>
        <v>16542.689929984</v>
      </c>
      <c r="W68" s="8" t="n">
        <f aca="false">N(V68)*(1-Initiatives!$G$45)*(1-Inputs!$C$9*(1-Initiatives!$G$16))+W66</f>
        <v>16356.5846682717</v>
      </c>
      <c r="X68" s="8" t="n">
        <f aca="false">N(W68)*(1-Initiatives!$G$45)*(1-Inputs!$C$9*(1-Initiatives!$G$16))+X66</f>
        <v>16172.5730907536</v>
      </c>
      <c r="Y68" s="8" t="n">
        <f aca="false">N(X68)*(1-Initiatives!$G$45)*(1-Inputs!$C$9*(1-Initiatives!$G$16))+Y66</f>
        <v>15990.6316434826</v>
      </c>
      <c r="Z68" s="8" t="n">
        <f aca="false">N(Y68)*(1-Initiatives!$G$45)*(1-Inputs!$C$9*(1-Initiatives!$G$16))+Z66</f>
        <v>15810.7370374934</v>
      </c>
    </row>
    <row r="69" customFormat="false" ht="15" hidden="false" customHeight="false" outlineLevel="0" collapsed="false">
      <c r="A69" s="4" t="s">
        <v>223</v>
      </c>
      <c r="B69" s="4" t="s">
        <v>224</v>
      </c>
      <c r="C69" s="8" t="n">
        <f aca="false">N(B69)*(1-Inputs!$C$9)+IF(AND(C$3&gt;=Initiatives!$G$33,C$3&lt;Initiatives!$G$33+Initiatives!$G$47),Initiatives!$G$43/Initiatives!$G$47,0)</f>
        <v>0</v>
      </c>
      <c r="D69" s="8" t="n">
        <f aca="false">N(C69)*(1-Inputs!$C$9)+IF(AND(D$3&gt;=Initiatives!$G$33,D$3&lt;Initiatives!$G$33+Initiatives!$G$47),Initiatives!$G$43/Initiatives!$G$47,0)</f>
        <v>0</v>
      </c>
      <c r="E69" s="8" t="n">
        <f aca="false">N(D69)*(1-Inputs!$C$9)+IF(AND(E$3&gt;=Initiatives!$G$33,E$3&lt;Initiatives!$G$33+Initiatives!$G$47),Initiatives!$G$43/Initiatives!$G$47,0)</f>
        <v>0</v>
      </c>
      <c r="F69" s="8" t="n">
        <f aca="false">N(E69)*(1-Inputs!$C$9)+IF(AND(F$3&gt;=Initiatives!$G$33,F$3&lt;Initiatives!$G$33+Initiatives!$G$47),Initiatives!$G$43/Initiatives!$G$47,0)</f>
        <v>0</v>
      </c>
      <c r="G69" s="8" t="n">
        <f aca="false">N(F69)*(1-Inputs!$C$9)+IF(AND(G$3&gt;=Initiatives!$G$33,G$3&lt;Initiatives!$G$33+Initiatives!$G$47),Initiatives!$G$43/Initiatives!$G$47,0)</f>
        <v>0</v>
      </c>
      <c r="H69" s="8" t="n">
        <f aca="false">N(G69)*(1-Inputs!$C$9)+IF(AND(H$3&gt;=Initiatives!$G$33,H$3&lt;Initiatives!$G$33+Initiatives!$G$47),Initiatives!$G$43/Initiatives!$G$47,0)</f>
        <v>0</v>
      </c>
      <c r="I69" s="8" t="n">
        <f aca="false">N(H69)*(1-Inputs!$C$9)+IF(AND(I$3&gt;=Initiatives!$G$33,I$3&lt;Initiatives!$G$33+Initiatives!$G$47),Initiatives!$G$43/Initiatives!$G$47,0)</f>
        <v>0</v>
      </c>
      <c r="J69" s="8" t="n">
        <f aca="false">N(I69)*(1-Inputs!$C$9)+IF(AND(J$3&gt;=Initiatives!$G$33,J$3&lt;Initiatives!$G$33+Initiatives!$G$47),Initiatives!$G$43/Initiatives!$G$47,0)</f>
        <v>0</v>
      </c>
      <c r="K69" s="8" t="n">
        <f aca="false">N(J69)*(1-Inputs!$C$9)+IF(AND(K$3&gt;=Initiatives!$G$33,K$3&lt;Initiatives!$G$33+Initiatives!$G$47),Initiatives!$G$43/Initiatives!$G$47,0)</f>
        <v>0</v>
      </c>
      <c r="L69" s="8" t="n">
        <f aca="false">N(K69)*(1-Inputs!$C$9)+IF(AND(L$3&gt;=Initiatives!$G$33,L$3&lt;Initiatives!$G$33+Initiatives!$G$47),Initiatives!$G$43/Initiatives!$G$47,0)</f>
        <v>0</v>
      </c>
      <c r="M69" s="8" t="n">
        <f aca="false">N(L69)*(1-Inputs!$C$9)+IF(AND(M$3&gt;=Initiatives!$G$33,M$3&lt;Initiatives!$G$33+Initiatives!$G$47),Initiatives!$G$43/Initiatives!$G$47,0)</f>
        <v>0</v>
      </c>
      <c r="N69" s="8" t="n">
        <f aca="false">N(M69)*(1-Inputs!$C$9)+IF(AND(N$3&gt;=Initiatives!$G$33,N$3&lt;Initiatives!$G$33+Initiatives!$G$47),Initiatives!$G$43/Initiatives!$G$47,0)</f>
        <v>0</v>
      </c>
      <c r="O69" s="8" t="n">
        <f aca="false">N(N69)*(1-Inputs!$C$9)+IF(AND(O$3&gt;=Initiatives!$G$33,O$3&lt;Initiatives!$G$33+Initiatives!$G$47),Initiatives!$G$43/Initiatives!$G$47,0)</f>
        <v>0</v>
      </c>
      <c r="P69" s="8" t="n">
        <f aca="false">N(O69)*(1-Inputs!$C$9)+IF(AND(P$3&gt;=Initiatives!$G$33,P$3&lt;Initiatives!$G$33+Initiatives!$G$47),Initiatives!$G$43/Initiatives!$G$47,0)</f>
        <v>0</v>
      </c>
      <c r="Q69" s="8" t="n">
        <f aca="false">N(P69)*(1-Inputs!$C$9)+IF(AND(Q$3&gt;=Initiatives!$G$33,Q$3&lt;Initiatives!$G$33+Initiatives!$G$47),Initiatives!$G$43/Initiatives!$G$47,0)</f>
        <v>0</v>
      </c>
      <c r="R69" s="8" t="n">
        <f aca="false">N(Q69)*(1-Inputs!$C$9)+IF(AND(R$3&gt;=Initiatives!$G$33,R$3&lt;Initiatives!$G$33+Initiatives!$G$47),Initiatives!$G$43/Initiatives!$G$47,0)</f>
        <v>0</v>
      </c>
      <c r="S69" s="8" t="n">
        <f aca="false">N(R69)*(1-Inputs!$C$9)+IF(AND(S$3&gt;=Initiatives!$G$33,S$3&lt;Initiatives!$G$33+Initiatives!$G$47),Initiatives!$G$43/Initiatives!$G$47,0)</f>
        <v>0</v>
      </c>
      <c r="T69" s="8" t="n">
        <f aca="false">N(S69)*(1-Inputs!$C$9)+IF(AND(T$3&gt;=Initiatives!$G$33,T$3&lt;Initiatives!$G$33+Initiatives!$G$47),Initiatives!$G$43/Initiatives!$G$47,0)</f>
        <v>0</v>
      </c>
      <c r="U69" s="8" t="n">
        <f aca="false">N(T69)*(1-Inputs!$C$9)+IF(AND(U$3&gt;=Initiatives!$G$33,U$3&lt;Initiatives!$G$33+Initiatives!$G$47),Initiatives!$G$43/Initiatives!$G$47,0)</f>
        <v>0</v>
      </c>
      <c r="V69" s="8" t="n">
        <f aca="false">N(U69)*(1-Inputs!$C$9)+IF(AND(V$3&gt;=Initiatives!$G$33,V$3&lt;Initiatives!$G$33+Initiatives!$G$47),Initiatives!$G$43/Initiatives!$G$47,0)</f>
        <v>0</v>
      </c>
      <c r="W69" s="8" t="n">
        <f aca="false">N(V69)*(1-Inputs!$C$9)+IF(AND(W$3&gt;=Initiatives!$G$33,W$3&lt;Initiatives!$G$33+Initiatives!$G$47),Initiatives!$G$43/Initiatives!$G$47,0)</f>
        <v>0</v>
      </c>
      <c r="X69" s="8" t="n">
        <f aca="false">N(W69)*(1-Inputs!$C$9)+IF(AND(X$3&gt;=Initiatives!$G$33,X$3&lt;Initiatives!$G$33+Initiatives!$G$47),Initiatives!$G$43/Initiatives!$G$47,0)</f>
        <v>0</v>
      </c>
      <c r="Y69" s="8" t="n">
        <f aca="false">N(X69)*(1-Inputs!$C$9)+IF(AND(Y$3&gt;=Initiatives!$G$33,Y$3&lt;Initiatives!$G$33+Initiatives!$G$47),Initiatives!$G$43/Initiatives!$G$47,0)</f>
        <v>0</v>
      </c>
      <c r="Z69" s="8" t="n">
        <f aca="false">N(Y69)*(1-Inputs!$C$9)+IF(AND(Z$3&gt;=Initiatives!$G$33,Z$3&lt;Initiatives!$G$33+Initiatives!$G$47),Initiatives!$G$43/Initiatives!$G$47,0)</f>
        <v>0</v>
      </c>
    </row>
    <row r="70" customFormat="false" ht="15" hidden="false" customHeight="false" outlineLevel="0" collapsed="false">
      <c r="A70" s="4" t="s">
        <v>225</v>
      </c>
      <c r="B70" s="4" t="s">
        <v>226</v>
      </c>
      <c r="C70" s="8" t="n">
        <f aca="false">IF(Initiatives!$G$6="adoption",C68*Initiatives!$G$14+C67*Initiatives!$G$9-C69*Initiatives!$G$9,IF(Initiatives!$G$6="reprice",IF(C$3&gt;=Initiatives!$G$33,(Initiatives!$G$41*Initiatives!$G$44+Initiatives!$G$42*Initiatives!$G$20)*(1-Inputs!$C$9)^(C$3-Initiatives!$G$33),0)-C69*Initiatives!$G$9,C$5*Initiatives!$G$22*C64+C67*Inputs!$C$8))</f>
        <v>0</v>
      </c>
      <c r="D70" s="8" t="n">
        <f aca="false">IF(Initiatives!$G$6="adoption",D68*Initiatives!$G$14+D67*Initiatives!$G$9-D69*Initiatives!$G$9,IF(Initiatives!$G$6="reprice",IF(D$3&gt;=Initiatives!$G$33,(Initiatives!$G$41*Initiatives!$G$44+Initiatives!$G$42*Initiatives!$G$20)*(1-Inputs!$C$9)^(D$3-Initiatives!$G$33),0)-D69*Initiatives!$G$9,D$5*Initiatives!$G$22*D64+D67*Inputs!$C$8))</f>
        <v>0</v>
      </c>
      <c r="E70" s="8" t="n">
        <f aca="false">IF(Initiatives!$G$6="adoption",E68*Initiatives!$G$14+E67*Initiatives!$G$9-E69*Initiatives!$G$9,IF(Initiatives!$G$6="reprice",IF(E$3&gt;=Initiatives!$G$33,(Initiatives!$G$41*Initiatives!$G$44+Initiatives!$G$42*Initiatives!$G$20)*(1-Inputs!$C$9)^(E$3-Initiatives!$G$33),0)-E69*Initiatives!$G$9,E$5*Initiatives!$G$22*E64+E67*Inputs!$C$8))</f>
        <v>59136000</v>
      </c>
      <c r="F70" s="8" t="n">
        <f aca="false">IF(Initiatives!$G$6="adoption",F68*Initiatives!$G$14+F67*Initiatives!$G$9-F69*Initiatives!$G$9,IF(Initiatives!$G$6="reprice",IF(F$3&gt;=Initiatives!$G$33,(Initiatives!$G$41*Initiatives!$G$44+Initiatives!$G$42*Initiatives!$G$20)*(1-Inputs!$C$9)^(F$3-Initiatives!$G$33),0)-F69*Initiatives!$G$9,F$5*Initiatives!$G$22*F64+F67*Inputs!$C$8))</f>
        <v>118124160</v>
      </c>
      <c r="G70" s="8" t="n">
        <f aca="false">IF(Initiatives!$G$6="adoption",G68*Initiatives!$G$14+G67*Initiatives!$G$9-G69*Initiatives!$G$9,IF(Initiatives!$G$6="reprice",IF(G$3&gt;=Initiatives!$G$33,(Initiatives!$G$41*Initiatives!$G$44+Initiatives!$G$42*Initiatives!$G$20)*(1-Inputs!$C$9)^(G$3-Initiatives!$G$33),0)-G69*Initiatives!$G$9,G$5*Initiatives!$G$22*G64+G67*Inputs!$C$8))</f>
        <v>176958381.6</v>
      </c>
      <c r="H70" s="8" t="n">
        <f aca="false">IF(Initiatives!$G$6="adoption",H68*Initiatives!$G$14+H67*Initiatives!$G$9-H69*Initiatives!$G$9,IF(Initiatives!$G$6="reprice",IF(H$3&gt;=Initiatives!$G$33,(Initiatives!$G$41*Initiatives!$G$44+Initiatives!$G$42*Initiatives!$G$20)*(1-Inputs!$C$9)^(H$3-Initiatives!$G$33),0)-H69*Initiatives!$G$9,H$5*Initiatives!$G$22*H64+H67*Inputs!$C$8))</f>
        <v>235632751.431</v>
      </c>
      <c r="I70" s="8" t="n">
        <f aca="false">IF(Initiatives!$G$6="adoption",I68*Initiatives!$G$14+I67*Initiatives!$G$9-I69*Initiatives!$G$9,IF(Initiatives!$G$6="reprice",IF(I$3&gt;=Initiatives!$G$33,(Initiatives!$G$41*Initiatives!$G$44+Initiatives!$G$42*Initiatives!$G$20)*(1-Inputs!$C$9)^(I$3-Initiatives!$G$33),0)-I69*Initiatives!$G$9,I$5*Initiatives!$G$22*I64+I67*Inputs!$C$8))</f>
        <v>235005537.327041</v>
      </c>
      <c r="J70" s="8" t="n">
        <f aca="false">IF(Initiatives!$G$6="adoption",J68*Initiatives!$G$14+J67*Initiatives!$G$9-J69*Initiatives!$G$9,IF(Initiatives!$G$6="reprice",IF(J$3&gt;=Initiatives!$G$33,(Initiatives!$G$41*Initiatives!$G$44+Initiatives!$G$42*Initiatives!$G$20)*(1-Inputs!$C$9)^(J$3-Initiatives!$G$33),0)-J69*Initiatives!$G$9,J$5*Initiatives!$G$22*J64+J67*Inputs!$C$8))</f>
        <v>234355024.566507</v>
      </c>
      <c r="K70" s="8" t="n">
        <f aca="false">IF(Initiatives!$G$6="adoption",K68*Initiatives!$G$14+K67*Initiatives!$G$9-K69*Initiatives!$G$9,IF(Initiatives!$G$6="reprice",IF(K$3&gt;=Initiatives!$G$33,(Initiatives!$G$41*Initiatives!$G$44+Initiatives!$G$42*Initiatives!$G$20)*(1-Inputs!$C$9)^(K$3-Initiatives!$G$33),0)-K69*Initiatives!$G$9,K$5*Initiatives!$G$22*K64+K67*Inputs!$C$8))</f>
        <v>233681930.581514</v>
      </c>
      <c r="L70" s="8" t="n">
        <f aca="false">IF(Initiatives!$G$6="adoption",L68*Initiatives!$G$14+L67*Initiatives!$G$9-L69*Initiatives!$G$9,IF(Initiatives!$G$6="reprice",IF(L$3&gt;=Initiatives!$G$33,(Initiatives!$G$41*Initiatives!$G$44+Initiatives!$G$42*Initiatives!$G$20)*(1-Inputs!$C$9)^(L$3-Initiatives!$G$33),0)-L69*Initiatives!$G$9,L$5*Initiatives!$G$22*L64+L67*Inputs!$C$8))</f>
        <v>232986957.90323</v>
      </c>
      <c r="M70" s="8" t="n">
        <f aca="false">IF(Initiatives!$G$6="adoption",M68*Initiatives!$G$14+M67*Initiatives!$G$9-M69*Initiatives!$G$9,IF(Initiatives!$G$6="reprice",IF(M$3&gt;=Initiatives!$G$33,(Initiatives!$G$41*Initiatives!$G$44+Initiatives!$G$42*Initiatives!$G$20)*(1-Inputs!$C$9)^(M$3-Initiatives!$G$33),0)-M69*Initiatives!$G$9,M$5*Initiatives!$G$22*M64+M67*Inputs!$C$8))</f>
        <v>232270794.431967</v>
      </c>
      <c r="N70" s="8" t="n">
        <f aca="false">IF(Initiatives!$G$6="adoption",N68*Initiatives!$G$14+N67*Initiatives!$G$9-N69*Initiatives!$G$9,IF(Initiatives!$G$6="reprice",IF(N$3&gt;=Initiatives!$G$33,(Initiatives!$G$41*Initiatives!$G$44+Initiatives!$G$42*Initiatives!$G$20)*(1-Inputs!$C$9)^(N$3-Initiatives!$G$33),0)-N69*Initiatives!$G$9,N$5*Initiatives!$G$22*N64+N67*Inputs!$C$8))</f>
        <v>231534113.702677</v>
      </c>
      <c r="O70" s="8" t="n">
        <f aca="false">IF(Initiatives!$G$6="adoption",O68*Initiatives!$G$14+O67*Initiatives!$G$9-O69*Initiatives!$G$9,IF(Initiatives!$G$6="reprice",IF(O$3&gt;=Initiatives!$G$33,(Initiatives!$G$41*Initiatives!$G$44+Initiatives!$G$42*Initiatives!$G$20)*(1-Inputs!$C$9)^(O$3-Initiatives!$G$33),0)-O69*Initiatives!$G$9,O$5*Initiatives!$G$22*O64+O67*Inputs!$C$8))</f>
        <v>230777575.145971</v>
      </c>
      <c r="P70" s="8" t="n">
        <f aca="false">IF(Initiatives!$G$6="adoption",P68*Initiatives!$G$14+P67*Initiatives!$G$9-P69*Initiatives!$G$9,IF(Initiatives!$G$6="reprice",IF(P$3&gt;=Initiatives!$G$33,(Initiatives!$G$41*Initiatives!$G$44+Initiatives!$G$42*Initiatives!$G$20)*(1-Inputs!$C$9)^(P$3-Initiatives!$G$33),0)-P69*Initiatives!$G$9,P$5*Initiatives!$G$22*P64+P67*Inputs!$C$8))</f>
        <v>230001824.344691</v>
      </c>
      <c r="Q70" s="8" t="n">
        <f aca="false">IF(Initiatives!$G$6="adoption",Q68*Initiatives!$G$14+Q67*Initiatives!$G$9-Q69*Initiatives!$G$9,IF(Initiatives!$G$6="reprice",IF(Q$3&gt;=Initiatives!$G$33,(Initiatives!$G$41*Initiatives!$G$44+Initiatives!$G$42*Initiatives!$G$20)*(1-Inputs!$C$9)^(Q$3-Initiatives!$G$33),0)-Q69*Initiatives!$G$9,Q$5*Initiatives!$G$22*Q64+Q67*Inputs!$C$8))</f>
        <v>229207493.286139</v>
      </c>
      <c r="R70" s="8" t="n">
        <f aca="false">IF(Initiatives!$G$6="adoption",R68*Initiatives!$G$14+R67*Initiatives!$G$9-R69*Initiatives!$G$9,IF(Initiatives!$G$6="reprice",IF(R$3&gt;=Initiatives!$G$33,(Initiatives!$G$41*Initiatives!$G$44+Initiatives!$G$42*Initiatives!$G$20)*(1-Inputs!$C$9)^(R$3-Initiatives!$G$33),0)-R69*Initiatives!$G$9,R$5*Initiatives!$G$22*R64+R67*Inputs!$C$8))</f>
        <v>228395200.610016</v>
      </c>
      <c r="S70" s="8" t="n">
        <f aca="false">IF(Initiatives!$G$6="adoption",S68*Initiatives!$G$14+S67*Initiatives!$G$9-S69*Initiatives!$G$9,IF(Initiatives!$G$6="reprice",IF(S$3&gt;=Initiatives!$G$33,(Initiatives!$G$41*Initiatives!$G$44+Initiatives!$G$42*Initiatives!$G$20)*(1-Inputs!$C$9)^(S$3-Initiatives!$G$33),0)-S69*Initiatives!$G$9,S$5*Initiatives!$G$22*S64+S67*Inputs!$C$8))</f>
        <v>227565551.852149</v>
      </c>
      <c r="T70" s="8" t="n">
        <f aca="false">IF(Initiatives!$G$6="adoption",T68*Initiatives!$G$14+T67*Initiatives!$G$9-T69*Initiatives!$G$9,IF(Initiatives!$G$6="reprice",IF(T$3&gt;=Initiatives!$G$33,(Initiatives!$G$41*Initiatives!$G$44+Initiatives!$G$42*Initiatives!$G$20)*(1-Inputs!$C$9)^(T$3-Initiatives!$G$33),0)-T69*Initiatives!$G$9,T$5*Initiatives!$G$22*T64+T67*Inputs!$C$8))</f>
        <v>226719139.684073</v>
      </c>
      <c r="U70" s="8" t="n">
        <f aca="false">IF(Initiatives!$G$6="adoption",U68*Initiatives!$G$14+U67*Initiatives!$G$9-U69*Initiatives!$G$9,IF(Initiatives!$G$6="reprice",IF(U$3&gt;=Initiatives!$G$33,(Initiatives!$G$41*Initiatives!$G$44+Initiatives!$G$42*Initiatives!$G$20)*(1-Inputs!$C$9)^(U$3-Initiatives!$G$33),0)-U69*Initiatives!$G$9,U$5*Initiatives!$G$22*U64+U67*Inputs!$C$8))</f>
        <v>225856544.148534</v>
      </c>
      <c r="V70" s="8" t="n">
        <f aca="false">IF(Initiatives!$G$6="adoption",V68*Initiatives!$G$14+V67*Initiatives!$G$9-V69*Initiatives!$G$9,IF(Initiatives!$G$6="reprice",IF(V$3&gt;=Initiatives!$G$33,(Initiatives!$G$41*Initiatives!$G$44+Initiatives!$G$42*Initiatives!$G$20)*(1-Inputs!$C$9)^(V$3-Initiatives!$G$33),0)-V69*Initiatives!$G$9,V$5*Initiatives!$G$22*V64+V67*Inputs!$C$8))</f>
        <v>224978332.890981</v>
      </c>
      <c r="W70" s="8" t="n">
        <f aca="false">IF(Initiatives!$G$6="adoption",W68*Initiatives!$G$14+W67*Initiatives!$G$9-W69*Initiatives!$G$9,IF(Initiatives!$G$6="reprice",IF(W$3&gt;=Initiatives!$G$33,(Initiatives!$G$41*Initiatives!$G$44+Initiatives!$G$42*Initiatives!$G$20)*(1-Inputs!$C$9)^(W$3-Initiatives!$G$33),0)-W69*Initiatives!$G$9,W$5*Initiatives!$G$22*W64+W67*Inputs!$C$8))</f>
        <v>224085061.387114</v>
      </c>
      <c r="X70" s="8" t="n">
        <f aca="false">IF(Initiatives!$G$6="adoption",X68*Initiatives!$G$14+X67*Initiatives!$G$9-X69*Initiatives!$G$9,IF(Initiatives!$G$6="reprice",IF(X$3&gt;=Initiatives!$G$33,(Initiatives!$G$41*Initiatives!$G$44+Initiatives!$G$42*Initiatives!$G$20)*(1-Inputs!$C$9)^(X$3-Initiatives!$G$33),0)-X69*Initiatives!$G$9,X$5*Initiatives!$G$22*X64+X67*Inputs!$C$8))</f>
        <v>223177273.166548</v>
      </c>
      <c r="Y70" s="8" t="n">
        <f aca="false">IF(Initiatives!$G$6="adoption",Y68*Initiatives!$G$14+Y67*Initiatives!$G$9-Y69*Initiatives!$G$9,IF(Initiatives!$G$6="reprice",IF(Y$3&gt;=Initiatives!$G$33,(Initiatives!$G$41*Initiatives!$G$44+Initiatives!$G$42*Initiatives!$G$20)*(1-Inputs!$C$9)^(Y$3-Initiatives!$G$33),0)-Y69*Initiatives!$G$9,Y$5*Initiatives!$G$22*Y64+Y67*Inputs!$C$8))</f>
        <v>222255500.032663</v>
      </c>
      <c r="Z70" s="8" t="n">
        <f aca="false">IF(Initiatives!$G$6="adoption",Z68*Initiatives!$G$14+Z67*Initiatives!$G$9-Z69*Initiatives!$G$9,IF(Initiatives!$G$6="reprice",IF(Z$3&gt;=Initiatives!$G$33,(Initiatives!$G$41*Initiatives!$G$44+Initiatives!$G$42*Initiatives!$G$20)*(1-Inputs!$C$9)^(Z$3-Initiatives!$G$33),0)-Z69*Initiatives!$G$9,Z$5*Initiatives!$G$22*Z64+Z67*Inputs!$C$8))</f>
        <v>221320262.278695</v>
      </c>
    </row>
    <row r="71" customFormat="false" ht="15" hidden="false" customHeight="false" outlineLevel="0" collapsed="false">
      <c r="A71" s="4" t="s">
        <v>227</v>
      </c>
      <c r="B71" s="4" t="s">
        <v>228</v>
      </c>
      <c r="C71" s="8" t="n">
        <f aca="false">C68*Initiatives!$G$24*Initiatives!$G$25</f>
        <v>0</v>
      </c>
      <c r="D71" s="8" t="n">
        <f aca="false">D68*Initiatives!$G$24*Initiatives!$G$25</f>
        <v>0</v>
      </c>
      <c r="E71" s="8" t="n">
        <f aca="false">E68*Initiatives!$G$24*Initiatives!$G$25</f>
        <v>0</v>
      </c>
      <c r="F71" s="8" t="n">
        <f aca="false">F68*Initiatives!$G$24*Initiatives!$G$25</f>
        <v>0</v>
      </c>
      <c r="G71" s="8" t="n">
        <f aca="false">G68*Initiatives!$G$24*Initiatives!$G$25</f>
        <v>0</v>
      </c>
      <c r="H71" s="8" t="n">
        <f aca="false">H68*Initiatives!$G$24*Initiatives!$G$25</f>
        <v>0</v>
      </c>
      <c r="I71" s="8" t="n">
        <f aca="false">I68*Initiatives!$G$24*Initiatives!$G$25</f>
        <v>0</v>
      </c>
      <c r="J71" s="8" t="n">
        <f aca="false">J68*Initiatives!$G$24*Initiatives!$G$25</f>
        <v>0</v>
      </c>
      <c r="K71" s="8" t="n">
        <f aca="false">K68*Initiatives!$G$24*Initiatives!$G$25</f>
        <v>0</v>
      </c>
      <c r="L71" s="8" t="n">
        <f aca="false">L68*Initiatives!$G$24*Initiatives!$G$25</f>
        <v>0</v>
      </c>
      <c r="M71" s="8" t="n">
        <f aca="false">M68*Initiatives!$G$24*Initiatives!$G$25</f>
        <v>0</v>
      </c>
      <c r="N71" s="8" t="n">
        <f aca="false">N68*Initiatives!$G$24*Initiatives!$G$25</f>
        <v>0</v>
      </c>
      <c r="O71" s="8" t="n">
        <f aca="false">O68*Initiatives!$G$24*Initiatives!$G$25</f>
        <v>0</v>
      </c>
      <c r="P71" s="8" t="n">
        <f aca="false">P68*Initiatives!$G$24*Initiatives!$G$25</f>
        <v>0</v>
      </c>
      <c r="Q71" s="8" t="n">
        <f aca="false">Q68*Initiatives!$G$24*Initiatives!$G$25</f>
        <v>0</v>
      </c>
      <c r="R71" s="8" t="n">
        <f aca="false">R68*Initiatives!$G$24*Initiatives!$G$25</f>
        <v>0</v>
      </c>
      <c r="S71" s="8" t="n">
        <f aca="false">S68*Initiatives!$G$24*Initiatives!$G$25</f>
        <v>0</v>
      </c>
      <c r="T71" s="8" t="n">
        <f aca="false">T68*Initiatives!$G$24*Initiatives!$G$25</f>
        <v>0</v>
      </c>
      <c r="U71" s="8" t="n">
        <f aca="false">U68*Initiatives!$G$24*Initiatives!$G$25</f>
        <v>0</v>
      </c>
      <c r="V71" s="8" t="n">
        <f aca="false">V68*Initiatives!$G$24*Initiatives!$G$25</f>
        <v>0</v>
      </c>
      <c r="W71" s="8" t="n">
        <f aca="false">W68*Initiatives!$G$24*Initiatives!$G$25</f>
        <v>0</v>
      </c>
      <c r="X71" s="8" t="n">
        <f aca="false">X68*Initiatives!$G$24*Initiatives!$G$25</f>
        <v>0</v>
      </c>
      <c r="Y71" s="8" t="n">
        <f aca="false">Y68*Initiatives!$G$24*Initiatives!$G$25</f>
        <v>0</v>
      </c>
      <c r="Z71" s="8" t="n">
        <f aca="false">Z68*Initiatives!$G$24*Initiatives!$G$25</f>
        <v>0</v>
      </c>
    </row>
    <row r="72" customFormat="false" ht="15" hidden="false" customHeight="false" outlineLevel="0" collapsed="false">
      <c r="A72" s="4" t="s">
        <v>229</v>
      </c>
      <c r="B72" s="4" t="s">
        <v>230</v>
      </c>
      <c r="C72" s="8" t="n">
        <f aca="false">IF(C$3&lt;=Initiatives!$G$46,Initiatives!$G$29/Initiatives!$G$46,0)+IF(C$3&gt;=Initiatives!$G$33,Initiatives!$G$30,0)+IF(C$3=Initiatives!$G$33,Initiatives!$G$39*Initiatives!$G$26,0)+C66*Initiatives!$G$27+C68*Initiatives!$G$28+IF(AND(Initiatives!$G$6="reprice",C$3&gt;=Initiatives!$G$33),Initiatives!$G$41*Initiatives!$G$21*(1-Inputs!$C$9)^(C$3-Initiatives!$G$33)-Initiatives!$G$31,0)</f>
        <v>100000000</v>
      </c>
      <c r="D72" s="8" t="n">
        <f aca="false">IF(D$3&lt;=Initiatives!$G$46,Initiatives!$G$29/Initiatives!$G$46,0)+IF(D$3&gt;=Initiatives!$G$33,Initiatives!$G$30,0)+IF(D$3=Initiatives!$G$33,Initiatives!$G$39*Initiatives!$G$26,0)+D66*Initiatives!$G$27+D68*Initiatives!$G$28+IF(AND(Initiatives!$G$6="reprice",D$3&gt;=Initiatives!$G$33),Initiatives!$G$41*Initiatives!$G$21*(1-Inputs!$C$9)^(D$3-Initiatives!$G$33)-Initiatives!$G$31,0)</f>
        <v>100000000</v>
      </c>
      <c r="E72" s="8" t="n">
        <f aca="false">IF(E$3&lt;=Initiatives!$G$46,Initiatives!$G$29/Initiatives!$G$46,0)+IF(E$3&gt;=Initiatives!$G$33,Initiatives!$G$30,0)+IF(E$3=Initiatives!$G$33,Initiatives!$G$39*Initiatives!$G$26,0)+E66*Initiatives!$G$27+E68*Initiatives!$G$28+IF(AND(Initiatives!$G$6="reprice",E$3&gt;=Initiatives!$G$33),Initiatives!$G$41*Initiatives!$G$21*(1-Inputs!$C$9)^(E$3-Initiatives!$G$33)-Initiatives!$G$31,0)</f>
        <v>157840000</v>
      </c>
      <c r="F72" s="8" t="n">
        <f aca="false">IF(F$3&lt;=Initiatives!$G$46,Initiatives!$G$29/Initiatives!$G$46,0)+IF(F$3&gt;=Initiatives!$G$33,Initiatives!$G$30,0)+IF(F$3=Initiatives!$G$33,Initiatives!$G$39*Initiatives!$G$26,0)+F66*Initiatives!$G$27+F68*Initiatives!$G$28+IF(AND(Initiatives!$G$6="reprice",F$3&gt;=Initiatives!$G$33),Initiatives!$G$41*Initiatives!$G$21*(1-Inputs!$C$9)^(F$3-Initiatives!$G$33)-Initiatives!$G$31,0)</f>
        <v>10000000</v>
      </c>
      <c r="G72" s="8" t="n">
        <f aca="false">IF(G$3&lt;=Initiatives!$G$46,Initiatives!$G$29/Initiatives!$G$46,0)+IF(G$3&gt;=Initiatives!$G$33,Initiatives!$G$30,0)+IF(G$3=Initiatives!$G$33,Initiatives!$G$39*Initiatives!$G$26,0)+G66*Initiatives!$G$27+G68*Initiatives!$G$28+IF(AND(Initiatives!$G$6="reprice",G$3&gt;=Initiatives!$G$33),Initiatives!$G$41*Initiatives!$G$21*(1-Inputs!$C$9)^(G$3-Initiatives!$G$33)-Initiatives!$G$31,0)</f>
        <v>10000000</v>
      </c>
      <c r="H72" s="8" t="n">
        <f aca="false">IF(H$3&lt;=Initiatives!$G$46,Initiatives!$G$29/Initiatives!$G$46,0)+IF(H$3&gt;=Initiatives!$G$33,Initiatives!$G$30,0)+IF(H$3=Initiatives!$G$33,Initiatives!$G$39*Initiatives!$G$26,0)+H66*Initiatives!$G$27+H68*Initiatives!$G$28+IF(AND(Initiatives!$G$6="reprice",H$3&gt;=Initiatives!$G$33),Initiatives!$G$41*Initiatives!$G$21*(1-Inputs!$C$9)^(H$3-Initiatives!$G$33)-Initiatives!$G$31,0)</f>
        <v>10000000</v>
      </c>
      <c r="I72" s="8" t="n">
        <f aca="false">IF(I$3&lt;=Initiatives!$G$46,Initiatives!$G$29/Initiatives!$G$46,0)+IF(I$3&gt;=Initiatives!$G$33,Initiatives!$G$30,0)+IF(I$3=Initiatives!$G$33,Initiatives!$G$39*Initiatives!$G$26,0)+I66*Initiatives!$G$27+I68*Initiatives!$G$28+IF(AND(Initiatives!$G$6="reprice",I$3&gt;=Initiatives!$G$33),Initiatives!$G$41*Initiatives!$G$21*(1-Inputs!$C$9)^(I$3-Initiatives!$G$33)-Initiatives!$G$31,0)</f>
        <v>10000000</v>
      </c>
      <c r="J72" s="8" t="n">
        <f aca="false">IF(J$3&lt;=Initiatives!$G$46,Initiatives!$G$29/Initiatives!$G$46,0)+IF(J$3&gt;=Initiatives!$G$33,Initiatives!$G$30,0)+IF(J$3=Initiatives!$G$33,Initiatives!$G$39*Initiatives!$G$26,0)+J66*Initiatives!$G$27+J68*Initiatives!$G$28+IF(AND(Initiatives!$G$6="reprice",J$3&gt;=Initiatives!$G$33),Initiatives!$G$41*Initiatives!$G$21*(1-Inputs!$C$9)^(J$3-Initiatives!$G$33)-Initiatives!$G$31,0)</f>
        <v>10000000</v>
      </c>
      <c r="K72" s="8" t="n">
        <f aca="false">IF(K$3&lt;=Initiatives!$G$46,Initiatives!$G$29/Initiatives!$G$46,0)+IF(K$3&gt;=Initiatives!$G$33,Initiatives!$G$30,0)+IF(K$3=Initiatives!$G$33,Initiatives!$G$39*Initiatives!$G$26,0)+K66*Initiatives!$G$27+K68*Initiatives!$G$28+IF(AND(Initiatives!$G$6="reprice",K$3&gt;=Initiatives!$G$33),Initiatives!$G$41*Initiatives!$G$21*(1-Inputs!$C$9)^(K$3-Initiatives!$G$33)-Initiatives!$G$31,0)</f>
        <v>10000000</v>
      </c>
      <c r="L72" s="8" t="n">
        <f aca="false">IF(L$3&lt;=Initiatives!$G$46,Initiatives!$G$29/Initiatives!$G$46,0)+IF(L$3&gt;=Initiatives!$G$33,Initiatives!$G$30,0)+IF(L$3=Initiatives!$G$33,Initiatives!$G$39*Initiatives!$G$26,0)+L66*Initiatives!$G$27+L68*Initiatives!$G$28+IF(AND(Initiatives!$G$6="reprice",L$3&gt;=Initiatives!$G$33),Initiatives!$G$41*Initiatives!$G$21*(1-Inputs!$C$9)^(L$3-Initiatives!$G$33)-Initiatives!$G$31,0)</f>
        <v>10000000</v>
      </c>
      <c r="M72" s="8" t="n">
        <f aca="false">IF(M$3&lt;=Initiatives!$G$46,Initiatives!$G$29/Initiatives!$G$46,0)+IF(M$3&gt;=Initiatives!$G$33,Initiatives!$G$30,0)+IF(M$3=Initiatives!$G$33,Initiatives!$G$39*Initiatives!$G$26,0)+M66*Initiatives!$G$27+M68*Initiatives!$G$28+IF(AND(Initiatives!$G$6="reprice",M$3&gt;=Initiatives!$G$33),Initiatives!$G$41*Initiatives!$G$21*(1-Inputs!$C$9)^(M$3-Initiatives!$G$33)-Initiatives!$G$31,0)</f>
        <v>10000000</v>
      </c>
      <c r="N72" s="8" t="n">
        <f aca="false">IF(N$3&lt;=Initiatives!$G$46,Initiatives!$G$29/Initiatives!$G$46,0)+IF(N$3&gt;=Initiatives!$G$33,Initiatives!$G$30,0)+IF(N$3=Initiatives!$G$33,Initiatives!$G$39*Initiatives!$G$26,0)+N66*Initiatives!$G$27+N68*Initiatives!$G$28+IF(AND(Initiatives!$G$6="reprice",N$3&gt;=Initiatives!$G$33),Initiatives!$G$41*Initiatives!$G$21*(1-Inputs!$C$9)^(N$3-Initiatives!$G$33)-Initiatives!$G$31,0)</f>
        <v>10000000</v>
      </c>
      <c r="O72" s="8" t="n">
        <f aca="false">IF(O$3&lt;=Initiatives!$G$46,Initiatives!$G$29/Initiatives!$G$46,0)+IF(O$3&gt;=Initiatives!$G$33,Initiatives!$G$30,0)+IF(O$3=Initiatives!$G$33,Initiatives!$G$39*Initiatives!$G$26,0)+O66*Initiatives!$G$27+O68*Initiatives!$G$28+IF(AND(Initiatives!$G$6="reprice",O$3&gt;=Initiatives!$G$33),Initiatives!$G$41*Initiatives!$G$21*(1-Inputs!$C$9)^(O$3-Initiatives!$G$33)-Initiatives!$G$31,0)</f>
        <v>10000000</v>
      </c>
      <c r="P72" s="8" t="n">
        <f aca="false">IF(P$3&lt;=Initiatives!$G$46,Initiatives!$G$29/Initiatives!$G$46,0)+IF(P$3&gt;=Initiatives!$G$33,Initiatives!$G$30,0)+IF(P$3=Initiatives!$G$33,Initiatives!$G$39*Initiatives!$G$26,0)+P66*Initiatives!$G$27+P68*Initiatives!$G$28+IF(AND(Initiatives!$G$6="reprice",P$3&gt;=Initiatives!$G$33),Initiatives!$G$41*Initiatives!$G$21*(1-Inputs!$C$9)^(P$3-Initiatives!$G$33)-Initiatives!$G$31,0)</f>
        <v>10000000</v>
      </c>
      <c r="Q72" s="8" t="n">
        <f aca="false">IF(Q$3&lt;=Initiatives!$G$46,Initiatives!$G$29/Initiatives!$G$46,0)+IF(Q$3&gt;=Initiatives!$G$33,Initiatives!$G$30,0)+IF(Q$3=Initiatives!$G$33,Initiatives!$G$39*Initiatives!$G$26,0)+Q66*Initiatives!$G$27+Q68*Initiatives!$G$28+IF(AND(Initiatives!$G$6="reprice",Q$3&gt;=Initiatives!$G$33),Initiatives!$G$41*Initiatives!$G$21*(1-Inputs!$C$9)^(Q$3-Initiatives!$G$33)-Initiatives!$G$31,0)</f>
        <v>10000000</v>
      </c>
      <c r="R72" s="8" t="n">
        <f aca="false">IF(R$3&lt;=Initiatives!$G$46,Initiatives!$G$29/Initiatives!$G$46,0)+IF(R$3&gt;=Initiatives!$G$33,Initiatives!$G$30,0)+IF(R$3=Initiatives!$G$33,Initiatives!$G$39*Initiatives!$G$26,0)+R66*Initiatives!$G$27+R68*Initiatives!$G$28+IF(AND(Initiatives!$G$6="reprice",R$3&gt;=Initiatives!$G$33),Initiatives!$G$41*Initiatives!$G$21*(1-Inputs!$C$9)^(R$3-Initiatives!$G$33)-Initiatives!$G$31,0)</f>
        <v>10000000</v>
      </c>
      <c r="S72" s="8" t="n">
        <f aca="false">IF(S$3&lt;=Initiatives!$G$46,Initiatives!$G$29/Initiatives!$G$46,0)+IF(S$3&gt;=Initiatives!$G$33,Initiatives!$G$30,0)+IF(S$3=Initiatives!$G$33,Initiatives!$G$39*Initiatives!$G$26,0)+S66*Initiatives!$G$27+S68*Initiatives!$G$28+IF(AND(Initiatives!$G$6="reprice",S$3&gt;=Initiatives!$G$33),Initiatives!$G$41*Initiatives!$G$21*(1-Inputs!$C$9)^(S$3-Initiatives!$G$33)-Initiatives!$G$31,0)</f>
        <v>10000000</v>
      </c>
      <c r="T72" s="8" t="n">
        <f aca="false">IF(T$3&lt;=Initiatives!$G$46,Initiatives!$G$29/Initiatives!$G$46,0)+IF(T$3&gt;=Initiatives!$G$33,Initiatives!$G$30,0)+IF(T$3=Initiatives!$G$33,Initiatives!$G$39*Initiatives!$G$26,0)+T66*Initiatives!$G$27+T68*Initiatives!$G$28+IF(AND(Initiatives!$G$6="reprice",T$3&gt;=Initiatives!$G$33),Initiatives!$G$41*Initiatives!$G$21*(1-Inputs!$C$9)^(T$3-Initiatives!$G$33)-Initiatives!$G$31,0)</f>
        <v>10000000</v>
      </c>
      <c r="U72" s="8" t="n">
        <f aca="false">IF(U$3&lt;=Initiatives!$G$46,Initiatives!$G$29/Initiatives!$G$46,0)+IF(U$3&gt;=Initiatives!$G$33,Initiatives!$G$30,0)+IF(U$3=Initiatives!$G$33,Initiatives!$G$39*Initiatives!$G$26,0)+U66*Initiatives!$G$27+U68*Initiatives!$G$28+IF(AND(Initiatives!$G$6="reprice",U$3&gt;=Initiatives!$G$33),Initiatives!$G$41*Initiatives!$G$21*(1-Inputs!$C$9)^(U$3-Initiatives!$G$33)-Initiatives!$G$31,0)</f>
        <v>10000000</v>
      </c>
      <c r="V72" s="8" t="n">
        <f aca="false">IF(V$3&lt;=Initiatives!$G$46,Initiatives!$G$29/Initiatives!$G$46,0)+IF(V$3&gt;=Initiatives!$G$33,Initiatives!$G$30,0)+IF(V$3=Initiatives!$G$33,Initiatives!$G$39*Initiatives!$G$26,0)+V66*Initiatives!$G$27+V68*Initiatives!$G$28+IF(AND(Initiatives!$G$6="reprice",V$3&gt;=Initiatives!$G$33),Initiatives!$G$41*Initiatives!$G$21*(1-Inputs!$C$9)^(V$3-Initiatives!$G$33)-Initiatives!$G$31,0)</f>
        <v>10000000</v>
      </c>
      <c r="W72" s="8" t="n">
        <f aca="false">IF(W$3&lt;=Initiatives!$G$46,Initiatives!$G$29/Initiatives!$G$46,0)+IF(W$3&gt;=Initiatives!$G$33,Initiatives!$G$30,0)+IF(W$3=Initiatives!$G$33,Initiatives!$G$39*Initiatives!$G$26,0)+W66*Initiatives!$G$27+W68*Initiatives!$G$28+IF(AND(Initiatives!$G$6="reprice",W$3&gt;=Initiatives!$G$33),Initiatives!$G$41*Initiatives!$G$21*(1-Inputs!$C$9)^(W$3-Initiatives!$G$33)-Initiatives!$G$31,0)</f>
        <v>10000000</v>
      </c>
      <c r="X72" s="8" t="n">
        <f aca="false">IF(X$3&lt;=Initiatives!$G$46,Initiatives!$G$29/Initiatives!$G$46,0)+IF(X$3&gt;=Initiatives!$G$33,Initiatives!$G$30,0)+IF(X$3=Initiatives!$G$33,Initiatives!$G$39*Initiatives!$G$26,0)+X66*Initiatives!$G$27+X68*Initiatives!$G$28+IF(AND(Initiatives!$G$6="reprice",X$3&gt;=Initiatives!$G$33),Initiatives!$G$41*Initiatives!$G$21*(1-Inputs!$C$9)^(X$3-Initiatives!$G$33)-Initiatives!$G$31,0)</f>
        <v>10000000</v>
      </c>
      <c r="Y72" s="8" t="n">
        <f aca="false">IF(Y$3&lt;=Initiatives!$G$46,Initiatives!$G$29/Initiatives!$G$46,0)+IF(Y$3&gt;=Initiatives!$G$33,Initiatives!$G$30,0)+IF(Y$3=Initiatives!$G$33,Initiatives!$G$39*Initiatives!$G$26,0)+Y66*Initiatives!$G$27+Y68*Initiatives!$G$28+IF(AND(Initiatives!$G$6="reprice",Y$3&gt;=Initiatives!$G$33),Initiatives!$G$41*Initiatives!$G$21*(1-Inputs!$C$9)^(Y$3-Initiatives!$G$33)-Initiatives!$G$31,0)</f>
        <v>10000000</v>
      </c>
      <c r="Z72" s="8" t="n">
        <f aca="false">IF(Z$3&lt;=Initiatives!$G$46,Initiatives!$G$29/Initiatives!$G$46,0)+IF(Z$3&gt;=Initiatives!$G$33,Initiatives!$G$30,0)+IF(Z$3=Initiatives!$G$33,Initiatives!$G$39*Initiatives!$G$26,0)+Z66*Initiatives!$G$27+Z68*Initiatives!$G$28+IF(AND(Initiatives!$G$6="reprice",Z$3&gt;=Initiatives!$G$33),Initiatives!$G$41*Initiatives!$G$21*(1-Inputs!$C$9)^(Z$3-Initiatives!$G$33)-Initiatives!$G$31,0)</f>
        <v>10000000</v>
      </c>
    </row>
    <row r="73" customFormat="false" ht="15" hidden="false" customHeight="false" outlineLevel="0" collapsed="false">
      <c r="A73" s="4" t="s">
        <v>231</v>
      </c>
      <c r="B73" s="4" t="s">
        <v>232</v>
      </c>
      <c r="C73" s="8" t="n">
        <f aca="false">(C70+C71)*Initiatives!$G$32-C72</f>
        <v>-100000000</v>
      </c>
      <c r="D73" s="8" t="n">
        <f aca="false">(D70+D71)*Initiatives!$G$32-D72</f>
        <v>-100000000</v>
      </c>
      <c r="E73" s="8" t="n">
        <f aca="false">(E70+E71)*Initiatives!$G$32-E72</f>
        <v>-140099200</v>
      </c>
      <c r="F73" s="8" t="n">
        <f aca="false">(F70+F71)*Initiatives!$G$32-F72</f>
        <v>25437248</v>
      </c>
      <c r="G73" s="8" t="n">
        <f aca="false">(G70+G71)*Initiatives!$G$32-G72</f>
        <v>43087514.48</v>
      </c>
      <c r="H73" s="8" t="n">
        <f aca="false">(H70+H71)*Initiatives!$G$32-H72</f>
        <v>60689825.4293</v>
      </c>
      <c r="I73" s="8" t="n">
        <f aca="false">(I70+I71)*Initiatives!$G$32-I72</f>
        <v>60501661.1981124</v>
      </c>
      <c r="J73" s="8" t="n">
        <f aca="false">(J70+J71)*Initiatives!$G$32-J72</f>
        <v>60306507.3699522</v>
      </c>
      <c r="K73" s="8" t="n">
        <f aca="false">(K70+K71)*Initiatives!$G$32-K72</f>
        <v>60104579.1744541</v>
      </c>
      <c r="L73" s="8" t="n">
        <f aca="false">(L70+L71)*Initiatives!$G$32-L72</f>
        <v>59896087.3709691</v>
      </c>
      <c r="M73" s="8" t="n">
        <f aca="false">(M70+M71)*Initiatives!$G$32-M72</f>
        <v>59681238.32959</v>
      </c>
      <c r="N73" s="8" t="n">
        <f aca="false">(N70+N71)*Initiatives!$G$32-N72</f>
        <v>59460234.1108031</v>
      </c>
      <c r="O73" s="8" t="n">
        <f aca="false">(O70+O71)*Initiatives!$G$32-O72</f>
        <v>59233272.5437913</v>
      </c>
      <c r="P73" s="8" t="n">
        <f aca="false">(P70+P71)*Initiatives!$G$32-P72</f>
        <v>59000547.3034074</v>
      </c>
      <c r="Q73" s="8" t="n">
        <f aca="false">(Q70+Q71)*Initiatives!$G$32-Q72</f>
        <v>58762247.9858418</v>
      </c>
      <c r="R73" s="8" t="n">
        <f aca="false">(R70+R71)*Initiatives!$G$32-R72</f>
        <v>58518560.1830048</v>
      </c>
      <c r="S73" s="8" t="n">
        <f aca="false">(S70+S71)*Initiatives!$G$32-S72</f>
        <v>58269665.5556447</v>
      </c>
      <c r="T73" s="8" t="n">
        <f aca="false">(T70+T71)*Initiatives!$G$32-T72</f>
        <v>58015741.9052219</v>
      </c>
      <c r="U73" s="8" t="n">
        <f aca="false">(U70+U71)*Initiatives!$G$32-U72</f>
        <v>57756963.2445602</v>
      </c>
      <c r="V73" s="8" t="n">
        <f aca="false">(V70+V71)*Initiatives!$G$32-V72</f>
        <v>57493499.8672944</v>
      </c>
      <c r="W73" s="8" t="n">
        <f aca="false">(W70+W71)*Initiatives!$G$32-W72</f>
        <v>57225518.4161343</v>
      </c>
      <c r="X73" s="8" t="n">
        <f aca="false">(X70+X71)*Initiatives!$G$32-X72</f>
        <v>56953181.9499645</v>
      </c>
      <c r="Y73" s="8" t="n">
        <f aca="false">(Y70+Y71)*Initiatives!$G$32-Y72</f>
        <v>56676650.0097989</v>
      </c>
      <c r="Z73" s="8" t="n">
        <f aca="false">(Z70+Z71)*Initiatives!$G$32-Z72</f>
        <v>56396078.6836086</v>
      </c>
    </row>
    <row r="74" customFormat="false" ht="15" hidden="false" customHeight="false" outlineLevel="0" collapsed="false">
      <c r="A74" s="4" t="s">
        <v>233</v>
      </c>
      <c r="B74" s="4" t="s">
        <v>234</v>
      </c>
      <c r="C74" s="8" t="n">
        <f aca="false">C67-C69</f>
        <v>0</v>
      </c>
      <c r="D74" s="8" t="n">
        <f aca="false">D67-D69</f>
        <v>0</v>
      </c>
      <c r="E74" s="8" t="n">
        <f aca="false">E67-E69</f>
        <v>0</v>
      </c>
      <c r="F74" s="8" t="n">
        <f aca="false">F67-F69</f>
        <v>18.48</v>
      </c>
      <c r="G74" s="8" t="n">
        <f aca="false">G67-G69</f>
        <v>54.9549</v>
      </c>
      <c r="H74" s="8" t="n">
        <f aca="false">H67-H69</f>
        <v>108.949215375</v>
      </c>
      <c r="I74" s="8" t="n">
        <f aca="false">I67-I69</f>
        <v>179.996906332031</v>
      </c>
      <c r="J74" s="8" t="n">
        <f aca="false">J67-J69</f>
        <v>249.161210221346</v>
      </c>
      <c r="K74" s="8" t="n">
        <f aca="false">K67-K69</f>
        <v>316.479576655623</v>
      </c>
      <c r="L74" s="8" t="n">
        <f aca="false">L67-L69</f>
        <v>381.988790016775</v>
      </c>
      <c r="M74" s="8" t="n">
        <f aca="false">M67-M69</f>
        <v>445.724980598636</v>
      </c>
      <c r="N74" s="8" t="n">
        <f aca="false">N67-N69</f>
        <v>507.723635569408</v>
      </c>
      <c r="O74" s="8" t="n">
        <f aca="false">O67-O69</f>
        <v>568.019609756721</v>
      </c>
      <c r="P74" s="8" t="n">
        <f aca="false">P67-P69</f>
        <v>626.647136258115</v>
      </c>
      <c r="Q74" s="8" t="n">
        <f aca="false">Q67-Q69</f>
        <v>683.6398368797</v>
      </c>
      <c r="R74" s="8" t="n">
        <f aca="false">R67-R69</f>
        <v>739.030732405726</v>
      </c>
      <c r="S74" s="8" t="n">
        <f aca="false">S67-S69</f>
        <v>792.85225270172</v>
      </c>
      <c r="T74" s="8" t="n">
        <f aca="false">T67-T69</f>
        <v>845.136246653851</v>
      </c>
      <c r="U74" s="8" t="n">
        <f aca="false">U67-U69</f>
        <v>895.913991947095</v>
      </c>
      <c r="V74" s="8" t="n">
        <f aca="false">V67-V69</f>
        <v>945.216204684768</v>
      </c>
      <c r="W74" s="8" t="n">
        <f aca="false">W67-W69</f>
        <v>993.073048851937</v>
      </c>
      <c r="X74" s="8" t="n">
        <f aca="false">X67-X69</f>
        <v>1039.51414562518</v>
      </c>
      <c r="Y74" s="8" t="n">
        <f aca="false">Y67-Y69</f>
        <v>1084.56858253112</v>
      </c>
      <c r="Z74" s="8" t="n">
        <f aca="false">Z67-Z69</f>
        <v>1128.26492245622</v>
      </c>
    </row>
    <row r="75" customFormat="false" ht="15" hidden="false" customHeight="false" outlineLevel="0" collapsed="false">
      <c r="A75" s="4" t="s">
        <v>235</v>
      </c>
      <c r="B75" s="4" t="s">
        <v>236</v>
      </c>
      <c r="C75" s="8" t="n">
        <f aca="false">C68*Initiatives!$G$24</f>
        <v>0</v>
      </c>
      <c r="D75" s="8" t="n">
        <f aca="false">D68*Initiatives!$G$24</f>
        <v>0</v>
      </c>
      <c r="E75" s="8" t="n">
        <f aca="false">E68*Initiatives!$G$24</f>
        <v>0</v>
      </c>
      <c r="F75" s="8" t="n">
        <f aca="false">F68*Initiatives!$G$24</f>
        <v>0</v>
      </c>
      <c r="G75" s="8" t="n">
        <f aca="false">G68*Initiatives!$G$24</f>
        <v>0</v>
      </c>
      <c r="H75" s="8" t="n">
        <f aca="false">H68*Initiatives!$G$24</f>
        <v>0</v>
      </c>
      <c r="I75" s="8" t="n">
        <f aca="false">I68*Initiatives!$G$24</f>
        <v>0</v>
      </c>
      <c r="J75" s="8" t="n">
        <f aca="false">J68*Initiatives!$G$24</f>
        <v>0</v>
      </c>
      <c r="K75" s="8" t="n">
        <f aca="false">K68*Initiatives!$G$24</f>
        <v>0</v>
      </c>
      <c r="L75" s="8" t="n">
        <f aca="false">L68*Initiatives!$G$24</f>
        <v>0</v>
      </c>
      <c r="M75" s="8" t="n">
        <f aca="false">M68*Initiatives!$G$24</f>
        <v>0</v>
      </c>
      <c r="N75" s="8" t="n">
        <f aca="false">N68*Initiatives!$G$24</f>
        <v>0</v>
      </c>
      <c r="O75" s="8" t="n">
        <f aca="false">O68*Initiatives!$G$24</f>
        <v>0</v>
      </c>
      <c r="P75" s="8" t="n">
        <f aca="false">P68*Initiatives!$G$24</f>
        <v>0</v>
      </c>
      <c r="Q75" s="8" t="n">
        <f aca="false">Q68*Initiatives!$G$24</f>
        <v>0</v>
      </c>
      <c r="R75" s="8" t="n">
        <f aca="false">R68*Initiatives!$G$24</f>
        <v>0</v>
      </c>
      <c r="S75" s="8" t="n">
        <f aca="false">S68*Initiatives!$G$24</f>
        <v>0</v>
      </c>
      <c r="T75" s="8" t="n">
        <f aca="false">T68*Initiatives!$G$24</f>
        <v>0</v>
      </c>
      <c r="U75" s="8" t="n">
        <f aca="false">U68*Initiatives!$G$24</f>
        <v>0</v>
      </c>
      <c r="V75" s="8" t="n">
        <f aca="false">V68*Initiatives!$G$24</f>
        <v>0</v>
      </c>
      <c r="W75" s="8" t="n">
        <f aca="false">W68*Initiatives!$G$24</f>
        <v>0</v>
      </c>
      <c r="X75" s="8" t="n">
        <f aca="false">X68*Initiatives!$G$24</f>
        <v>0</v>
      </c>
      <c r="Y75" s="8" t="n">
        <f aca="false">Y68*Initiatives!$G$24</f>
        <v>0</v>
      </c>
      <c r="Z75" s="8" t="n">
        <f aca="false">Z68*Initiatives!$G$24</f>
        <v>0</v>
      </c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" hidden="false" customHeight="false" outlineLevel="0" collapsed="false">
      <c r="A77" s="17" t="s">
        <v>241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customFormat="false" ht="15" hidden="false" customHeight="false" outlineLevel="0" collapsed="false">
      <c r="A78" s="4" t="s">
        <v>213</v>
      </c>
      <c r="B78" s="4" t="s">
        <v>214</v>
      </c>
      <c r="C78" s="24" t="n">
        <f aca="false">IF(C$3&lt;Initiatives!$H$33,0,MIN((C$3-Initiatives!$H$33+1)/Initiatives!$H$34,1))</f>
        <v>0</v>
      </c>
      <c r="D78" s="24" t="n">
        <f aca="false">IF(D$3&lt;Initiatives!$H$33,0,MIN((D$3-Initiatives!$H$33+1)/Initiatives!$H$34,1))</f>
        <v>0.333333333333333</v>
      </c>
      <c r="E78" s="24" t="n">
        <f aca="false">IF(E$3&lt;Initiatives!$H$33,0,MIN((E$3-Initiatives!$H$33+1)/Initiatives!$H$34,1))</f>
        <v>0.666666666666667</v>
      </c>
      <c r="F78" s="24" t="n">
        <f aca="false">IF(F$3&lt;Initiatives!$H$33,0,MIN((F$3-Initiatives!$H$33+1)/Initiatives!$H$34,1))</f>
        <v>1</v>
      </c>
      <c r="G78" s="24" t="n">
        <f aca="false">IF(G$3&lt;Initiatives!$H$33,0,MIN((G$3-Initiatives!$H$33+1)/Initiatives!$H$34,1))</f>
        <v>1</v>
      </c>
      <c r="H78" s="24" t="n">
        <f aca="false">IF(H$3&lt;Initiatives!$H$33,0,MIN((H$3-Initiatives!$H$33+1)/Initiatives!$H$34,1))</f>
        <v>1</v>
      </c>
      <c r="I78" s="24" t="n">
        <f aca="false">IF(I$3&lt;Initiatives!$H$33,0,MIN((I$3-Initiatives!$H$33+1)/Initiatives!$H$34,1))</f>
        <v>1</v>
      </c>
      <c r="J78" s="24" t="n">
        <f aca="false">IF(J$3&lt;Initiatives!$H$33,0,MIN((J$3-Initiatives!$H$33+1)/Initiatives!$H$34,1))</f>
        <v>1</v>
      </c>
      <c r="K78" s="24" t="n">
        <f aca="false">IF(K$3&lt;Initiatives!$H$33,0,MIN((K$3-Initiatives!$H$33+1)/Initiatives!$H$34,1))</f>
        <v>1</v>
      </c>
      <c r="L78" s="24" t="n">
        <f aca="false">IF(L$3&lt;Initiatives!$H$33,0,MIN((L$3-Initiatives!$H$33+1)/Initiatives!$H$34,1))</f>
        <v>1</v>
      </c>
      <c r="M78" s="24" t="n">
        <f aca="false">IF(M$3&lt;Initiatives!$H$33,0,MIN((M$3-Initiatives!$H$33+1)/Initiatives!$H$34,1))</f>
        <v>1</v>
      </c>
      <c r="N78" s="24" t="n">
        <f aca="false">IF(N$3&lt;Initiatives!$H$33,0,MIN((N$3-Initiatives!$H$33+1)/Initiatives!$H$34,1))</f>
        <v>1</v>
      </c>
      <c r="O78" s="24" t="n">
        <f aca="false">IF(O$3&lt;Initiatives!$H$33,0,MIN((O$3-Initiatives!$H$33+1)/Initiatives!$H$34,1))</f>
        <v>1</v>
      </c>
      <c r="P78" s="24" t="n">
        <f aca="false">IF(P$3&lt;Initiatives!$H$33,0,MIN((P$3-Initiatives!$H$33+1)/Initiatives!$H$34,1))</f>
        <v>1</v>
      </c>
      <c r="Q78" s="24" t="n">
        <f aca="false">IF(Q$3&lt;Initiatives!$H$33,0,MIN((Q$3-Initiatives!$H$33+1)/Initiatives!$H$34,1))</f>
        <v>1</v>
      </c>
      <c r="R78" s="24" t="n">
        <f aca="false">IF(R$3&lt;Initiatives!$H$33,0,MIN((R$3-Initiatives!$H$33+1)/Initiatives!$H$34,1))</f>
        <v>1</v>
      </c>
      <c r="S78" s="24" t="n">
        <f aca="false">IF(S$3&lt;Initiatives!$H$33,0,MIN((S$3-Initiatives!$H$33+1)/Initiatives!$H$34,1))</f>
        <v>1</v>
      </c>
      <c r="T78" s="24" t="n">
        <f aca="false">IF(T$3&lt;Initiatives!$H$33,0,MIN((T$3-Initiatives!$H$33+1)/Initiatives!$H$34,1))</f>
        <v>1</v>
      </c>
      <c r="U78" s="24" t="n">
        <f aca="false">IF(U$3&lt;Initiatives!$H$33,0,MIN((U$3-Initiatives!$H$33+1)/Initiatives!$H$34,1))</f>
        <v>1</v>
      </c>
      <c r="V78" s="24" t="n">
        <f aca="false">IF(V$3&lt;Initiatives!$H$33,0,MIN((V$3-Initiatives!$H$33+1)/Initiatives!$H$34,1))</f>
        <v>1</v>
      </c>
      <c r="W78" s="24" t="n">
        <f aca="false">IF(W$3&lt;Initiatives!$H$33,0,MIN((W$3-Initiatives!$H$33+1)/Initiatives!$H$34,1))</f>
        <v>1</v>
      </c>
      <c r="X78" s="24" t="n">
        <f aca="false">IF(X$3&lt;Initiatives!$H$33,0,MIN((X$3-Initiatives!$H$33+1)/Initiatives!$H$34,1))</f>
        <v>1</v>
      </c>
      <c r="Y78" s="24" t="n">
        <f aca="false">IF(Y$3&lt;Initiatives!$H$33,0,MIN((Y$3-Initiatives!$H$33+1)/Initiatives!$H$34,1))</f>
        <v>1</v>
      </c>
      <c r="Z78" s="24" t="n">
        <f aca="false">IF(Z$3&lt;Initiatives!$H$33,0,MIN((Z$3-Initiatives!$H$33+1)/Initiatives!$H$34,1))</f>
        <v>1</v>
      </c>
    </row>
    <row r="79" customFormat="false" ht="15" hidden="false" customHeight="false" outlineLevel="0" collapsed="false">
      <c r="A79" s="4" t="s">
        <v>215</v>
      </c>
      <c r="B79" s="4" t="s">
        <v>216</v>
      </c>
      <c r="C79" s="8" t="n">
        <f aca="false">Initiatives!$H$40*C78</f>
        <v>0</v>
      </c>
      <c r="D79" s="8" t="n">
        <f aca="false">Initiatives!$H$40*D78</f>
        <v>7884.8</v>
      </c>
      <c r="E79" s="8" t="n">
        <f aca="false">Initiatives!$H$40*E78</f>
        <v>15769.6</v>
      </c>
      <c r="F79" s="8" t="n">
        <f aca="false">Initiatives!$H$40*F78</f>
        <v>23654.4</v>
      </c>
      <c r="G79" s="8" t="n">
        <f aca="false">Initiatives!$H$40*G78</f>
        <v>23654.4</v>
      </c>
      <c r="H79" s="8" t="n">
        <f aca="false">Initiatives!$H$40*H78</f>
        <v>23654.4</v>
      </c>
      <c r="I79" s="8" t="n">
        <f aca="false">Initiatives!$H$40*I78</f>
        <v>23654.4</v>
      </c>
      <c r="J79" s="8" t="n">
        <f aca="false">Initiatives!$H$40*J78</f>
        <v>23654.4</v>
      </c>
      <c r="K79" s="8" t="n">
        <f aca="false">Initiatives!$H$40*K78</f>
        <v>23654.4</v>
      </c>
      <c r="L79" s="8" t="n">
        <f aca="false">Initiatives!$H$40*L78</f>
        <v>23654.4</v>
      </c>
      <c r="M79" s="8" t="n">
        <f aca="false">Initiatives!$H$40*M78</f>
        <v>23654.4</v>
      </c>
      <c r="N79" s="8" t="n">
        <f aca="false">Initiatives!$H$40*N78</f>
        <v>23654.4</v>
      </c>
      <c r="O79" s="8" t="n">
        <f aca="false">Initiatives!$H$40*O78</f>
        <v>23654.4</v>
      </c>
      <c r="P79" s="8" t="n">
        <f aca="false">Initiatives!$H$40*P78</f>
        <v>23654.4</v>
      </c>
      <c r="Q79" s="8" t="n">
        <f aca="false">Initiatives!$H$40*Q78</f>
        <v>23654.4</v>
      </c>
      <c r="R79" s="8" t="n">
        <f aca="false">Initiatives!$H$40*R78</f>
        <v>23654.4</v>
      </c>
      <c r="S79" s="8" t="n">
        <f aca="false">Initiatives!$H$40*S78</f>
        <v>23654.4</v>
      </c>
      <c r="T79" s="8" t="n">
        <f aca="false">Initiatives!$H$40*T78</f>
        <v>23654.4</v>
      </c>
      <c r="U79" s="8" t="n">
        <f aca="false">Initiatives!$H$40*U78</f>
        <v>23654.4</v>
      </c>
      <c r="V79" s="8" t="n">
        <f aca="false">Initiatives!$H$40*V78</f>
        <v>23654.4</v>
      </c>
      <c r="W79" s="8" t="n">
        <f aca="false">Initiatives!$H$40*W78</f>
        <v>23654.4</v>
      </c>
      <c r="X79" s="8" t="n">
        <f aca="false">Initiatives!$H$40*X78</f>
        <v>23654.4</v>
      </c>
      <c r="Y79" s="8" t="n">
        <f aca="false">Initiatives!$H$40*Y78</f>
        <v>23654.4</v>
      </c>
      <c r="Z79" s="8" t="n">
        <f aca="false">Initiatives!$H$40*Z78</f>
        <v>23654.4</v>
      </c>
    </row>
    <row r="80" customFormat="false" ht="15" hidden="false" customHeight="false" outlineLevel="0" collapsed="false">
      <c r="A80" s="4" t="s">
        <v>217</v>
      </c>
      <c r="B80" s="4" t="s">
        <v>218</v>
      </c>
      <c r="C80" s="8" t="n">
        <f aca="false">MAX(C79-N(B79),0)</f>
        <v>0</v>
      </c>
      <c r="D80" s="8" t="n">
        <f aca="false">MAX(D79-N(C79),0)</f>
        <v>7884.8</v>
      </c>
      <c r="E80" s="8" t="n">
        <f aca="false">MAX(E79-N(D79),0)</f>
        <v>7884.8</v>
      </c>
      <c r="F80" s="8" t="n">
        <f aca="false">MAX(F79-N(E79),0)</f>
        <v>7884.8</v>
      </c>
      <c r="G80" s="8" t="n">
        <f aca="false">MAX(G79-N(F79),0)</f>
        <v>0</v>
      </c>
      <c r="H80" s="8" t="n">
        <f aca="false">MAX(H79-N(G79),0)</f>
        <v>0</v>
      </c>
      <c r="I80" s="8" t="n">
        <f aca="false">MAX(I79-N(H79),0)</f>
        <v>0</v>
      </c>
      <c r="J80" s="8" t="n">
        <f aca="false">MAX(J79-N(I79),0)</f>
        <v>0</v>
      </c>
      <c r="K80" s="8" t="n">
        <f aca="false">MAX(K79-N(J79),0)</f>
        <v>0</v>
      </c>
      <c r="L80" s="8" t="n">
        <f aca="false">MAX(L79-N(K79),0)</f>
        <v>0</v>
      </c>
      <c r="M80" s="8" t="n">
        <f aca="false">MAX(M79-N(L79),0)</f>
        <v>0</v>
      </c>
      <c r="N80" s="8" t="n">
        <f aca="false">MAX(N79-N(M79),0)</f>
        <v>0</v>
      </c>
      <c r="O80" s="8" t="n">
        <f aca="false">MAX(O79-N(N79),0)</f>
        <v>0</v>
      </c>
      <c r="P80" s="8" t="n">
        <f aca="false">MAX(P79-N(O79),0)</f>
        <v>0</v>
      </c>
      <c r="Q80" s="8" t="n">
        <f aca="false">MAX(Q79-N(P79),0)</f>
        <v>0</v>
      </c>
      <c r="R80" s="8" t="n">
        <f aca="false">MAX(R79-N(Q79),0)</f>
        <v>0</v>
      </c>
      <c r="S80" s="8" t="n">
        <f aca="false">MAX(S79-N(R79),0)</f>
        <v>0</v>
      </c>
      <c r="T80" s="8" t="n">
        <f aca="false">MAX(T79-N(S79),0)</f>
        <v>0</v>
      </c>
      <c r="U80" s="8" t="n">
        <f aca="false">MAX(U79-N(T79),0)</f>
        <v>0</v>
      </c>
      <c r="V80" s="8" t="n">
        <f aca="false">MAX(V79-N(U79),0)</f>
        <v>0</v>
      </c>
      <c r="W80" s="8" t="n">
        <f aca="false">MAX(W79-N(V79),0)</f>
        <v>0</v>
      </c>
      <c r="X80" s="8" t="n">
        <f aca="false">MAX(X79-N(W79),0)</f>
        <v>0</v>
      </c>
      <c r="Y80" s="8" t="n">
        <f aca="false">MAX(Y79-N(X79),0)</f>
        <v>0</v>
      </c>
      <c r="Z80" s="8" t="n">
        <f aca="false">MAX(Z79-N(Y79),0)</f>
        <v>0</v>
      </c>
    </row>
    <row r="81" customFormat="false" ht="15" hidden="false" customHeight="false" outlineLevel="0" collapsed="false">
      <c r="A81" s="4" t="s">
        <v>219</v>
      </c>
      <c r="B81" s="4" t="s">
        <v>220</v>
      </c>
      <c r="C81" s="8" t="n">
        <f aca="false">IF(Initiatives!$H$6="adoption",N(B81)*(1-Inputs!$C$9)+N(B82)*Inputs!$C$9*Initiatives!$H$16,IF(Initiatives!$H$6="relative",N(B81)*(1-Inputs!$C$9)+C$4*Inputs!$C$9*Initiatives!$H$23*C78,0))</f>
        <v>0</v>
      </c>
      <c r="D81" s="8" t="n">
        <f aca="false">IF(Initiatives!$H$6="adoption",N(C81)*(1-Inputs!$C$9)+N(C82)*Inputs!$C$9*Initiatives!$H$16,IF(Initiatives!$H$6="relative",N(C81)*(1-Inputs!$C$9)+D$4*Inputs!$C$9*Initiatives!$H$23*D78,0))</f>
        <v>0</v>
      </c>
      <c r="E81" s="8" t="n">
        <f aca="false">IF(Initiatives!$H$6="adoption",N(D81)*(1-Inputs!$C$9)+N(D82)*Inputs!$C$9*Initiatives!$H$16,IF(Initiatives!$H$6="relative",N(D81)*(1-Inputs!$C$9)+E$4*Inputs!$C$9*Initiatives!$H$23*E78,0))</f>
        <v>0</v>
      </c>
      <c r="F81" s="8" t="n">
        <f aca="false">IF(Initiatives!$H$6="adoption",N(E81)*(1-Inputs!$C$9)+N(E82)*Inputs!$C$9*Initiatives!$H$16,IF(Initiatives!$H$6="relative",N(E81)*(1-Inputs!$C$9)+F$4*Inputs!$C$9*Initiatives!$H$23*F78,0))</f>
        <v>0</v>
      </c>
      <c r="G81" s="8" t="n">
        <f aca="false">IF(Initiatives!$H$6="adoption",N(F81)*(1-Inputs!$C$9)+N(F82)*Inputs!$C$9*Initiatives!$H$16,IF(Initiatives!$H$6="relative",N(F81)*(1-Inputs!$C$9)+G$4*Inputs!$C$9*Initiatives!$H$23*G78,0))</f>
        <v>0</v>
      </c>
      <c r="H81" s="8" t="n">
        <f aca="false">IF(Initiatives!$H$6="adoption",N(G81)*(1-Inputs!$C$9)+N(G82)*Inputs!$C$9*Initiatives!$H$16,IF(Initiatives!$H$6="relative",N(G81)*(1-Inputs!$C$9)+H$4*Inputs!$C$9*Initiatives!$H$23*H78,0))</f>
        <v>0</v>
      </c>
      <c r="I81" s="8" t="n">
        <f aca="false">IF(Initiatives!$H$6="adoption",N(H81)*(1-Inputs!$C$9)+N(H82)*Inputs!$C$9*Initiatives!$H$16,IF(Initiatives!$H$6="relative",N(H81)*(1-Inputs!$C$9)+I$4*Inputs!$C$9*Initiatives!$H$23*I78,0))</f>
        <v>0</v>
      </c>
      <c r="J81" s="8" t="n">
        <f aca="false">IF(Initiatives!$H$6="adoption",N(I81)*(1-Inputs!$C$9)+N(I82)*Inputs!$C$9*Initiatives!$H$16,IF(Initiatives!$H$6="relative",N(I81)*(1-Inputs!$C$9)+J$4*Inputs!$C$9*Initiatives!$H$23*J78,0))</f>
        <v>0</v>
      </c>
      <c r="K81" s="8" t="n">
        <f aca="false">IF(Initiatives!$H$6="adoption",N(J81)*(1-Inputs!$C$9)+N(J82)*Inputs!$C$9*Initiatives!$H$16,IF(Initiatives!$H$6="relative",N(J81)*(1-Inputs!$C$9)+K$4*Inputs!$C$9*Initiatives!$H$23*K78,0))</f>
        <v>0</v>
      </c>
      <c r="L81" s="8" t="n">
        <f aca="false">IF(Initiatives!$H$6="adoption",N(K81)*(1-Inputs!$C$9)+N(K82)*Inputs!$C$9*Initiatives!$H$16,IF(Initiatives!$H$6="relative",N(K81)*(1-Inputs!$C$9)+L$4*Inputs!$C$9*Initiatives!$H$23*L78,0))</f>
        <v>0</v>
      </c>
      <c r="M81" s="8" t="n">
        <f aca="false">IF(Initiatives!$H$6="adoption",N(L81)*(1-Inputs!$C$9)+N(L82)*Inputs!$C$9*Initiatives!$H$16,IF(Initiatives!$H$6="relative",N(L81)*(1-Inputs!$C$9)+M$4*Inputs!$C$9*Initiatives!$H$23*M78,0))</f>
        <v>0</v>
      </c>
      <c r="N81" s="8" t="n">
        <f aca="false">IF(Initiatives!$H$6="adoption",N(M81)*(1-Inputs!$C$9)+N(M82)*Inputs!$C$9*Initiatives!$H$16,IF(Initiatives!$H$6="relative",N(M81)*(1-Inputs!$C$9)+N$4*Inputs!$C$9*Initiatives!$H$23*N78,0))</f>
        <v>0</v>
      </c>
      <c r="O81" s="8" t="n">
        <f aca="false">IF(Initiatives!$H$6="adoption",N(N81)*(1-Inputs!$C$9)+N(N82)*Inputs!$C$9*Initiatives!$H$16,IF(Initiatives!$H$6="relative",N(N81)*(1-Inputs!$C$9)+O$4*Inputs!$C$9*Initiatives!$H$23*O78,0))</f>
        <v>0</v>
      </c>
      <c r="P81" s="8" t="n">
        <f aca="false">IF(Initiatives!$H$6="adoption",N(O81)*(1-Inputs!$C$9)+N(O82)*Inputs!$C$9*Initiatives!$H$16,IF(Initiatives!$H$6="relative",N(O81)*(1-Inputs!$C$9)+P$4*Inputs!$C$9*Initiatives!$H$23*P78,0))</f>
        <v>0</v>
      </c>
      <c r="Q81" s="8" t="n">
        <f aca="false">IF(Initiatives!$H$6="adoption",N(P81)*(1-Inputs!$C$9)+N(P82)*Inputs!$C$9*Initiatives!$H$16,IF(Initiatives!$H$6="relative",N(P81)*(1-Inputs!$C$9)+Q$4*Inputs!$C$9*Initiatives!$H$23*Q78,0))</f>
        <v>0</v>
      </c>
      <c r="R81" s="8" t="n">
        <f aca="false">IF(Initiatives!$H$6="adoption",N(Q81)*(1-Inputs!$C$9)+N(Q82)*Inputs!$C$9*Initiatives!$H$16,IF(Initiatives!$H$6="relative",N(Q81)*(1-Inputs!$C$9)+R$4*Inputs!$C$9*Initiatives!$H$23*R78,0))</f>
        <v>0</v>
      </c>
      <c r="S81" s="8" t="n">
        <f aca="false">IF(Initiatives!$H$6="adoption",N(R81)*(1-Inputs!$C$9)+N(R82)*Inputs!$C$9*Initiatives!$H$16,IF(Initiatives!$H$6="relative",N(R81)*(1-Inputs!$C$9)+S$4*Inputs!$C$9*Initiatives!$H$23*S78,0))</f>
        <v>0</v>
      </c>
      <c r="T81" s="8" t="n">
        <f aca="false">IF(Initiatives!$H$6="adoption",N(S81)*(1-Inputs!$C$9)+N(S82)*Inputs!$C$9*Initiatives!$H$16,IF(Initiatives!$H$6="relative",N(S81)*(1-Inputs!$C$9)+T$4*Inputs!$C$9*Initiatives!$H$23*T78,0))</f>
        <v>0</v>
      </c>
      <c r="U81" s="8" t="n">
        <f aca="false">IF(Initiatives!$H$6="adoption",N(T81)*(1-Inputs!$C$9)+N(T82)*Inputs!$C$9*Initiatives!$H$16,IF(Initiatives!$H$6="relative",N(T81)*(1-Inputs!$C$9)+U$4*Inputs!$C$9*Initiatives!$H$23*U78,0))</f>
        <v>0</v>
      </c>
      <c r="V81" s="8" t="n">
        <f aca="false">IF(Initiatives!$H$6="adoption",N(U81)*(1-Inputs!$C$9)+N(U82)*Inputs!$C$9*Initiatives!$H$16,IF(Initiatives!$H$6="relative",N(U81)*(1-Inputs!$C$9)+V$4*Inputs!$C$9*Initiatives!$H$23*V78,0))</f>
        <v>0</v>
      </c>
      <c r="W81" s="8" t="n">
        <f aca="false">IF(Initiatives!$H$6="adoption",N(V81)*(1-Inputs!$C$9)+N(V82)*Inputs!$C$9*Initiatives!$H$16,IF(Initiatives!$H$6="relative",N(V81)*(1-Inputs!$C$9)+W$4*Inputs!$C$9*Initiatives!$H$23*W78,0))</f>
        <v>0</v>
      </c>
      <c r="X81" s="8" t="n">
        <f aca="false">IF(Initiatives!$H$6="adoption",N(W81)*(1-Inputs!$C$9)+N(W82)*Inputs!$C$9*Initiatives!$H$16,IF(Initiatives!$H$6="relative",N(W81)*(1-Inputs!$C$9)+X$4*Inputs!$C$9*Initiatives!$H$23*X78,0))</f>
        <v>0</v>
      </c>
      <c r="Y81" s="8" t="n">
        <f aca="false">IF(Initiatives!$H$6="adoption",N(X81)*(1-Inputs!$C$9)+N(X82)*Inputs!$C$9*Initiatives!$H$16,IF(Initiatives!$H$6="relative",N(X81)*(1-Inputs!$C$9)+Y$4*Inputs!$C$9*Initiatives!$H$23*Y78,0))</f>
        <v>0</v>
      </c>
      <c r="Z81" s="8" t="n">
        <f aca="false">IF(Initiatives!$H$6="adoption",N(Y81)*(1-Inputs!$C$9)+N(Y82)*Inputs!$C$9*Initiatives!$H$16,IF(Initiatives!$H$6="relative",N(Y81)*(1-Inputs!$C$9)+Z$4*Inputs!$C$9*Initiatives!$H$23*Z78,0))</f>
        <v>0</v>
      </c>
    </row>
    <row r="82" customFormat="false" ht="15" hidden="false" customHeight="false" outlineLevel="0" collapsed="false">
      <c r="A82" s="4" t="s">
        <v>221</v>
      </c>
      <c r="B82" s="4" t="s">
        <v>222</v>
      </c>
      <c r="C82" s="8" t="n">
        <f aca="false">N(B82)*(1-Initiatives!$H$45)*(1-Inputs!$C$9*(1-Initiatives!$H$16))+C80</f>
        <v>0</v>
      </c>
      <c r="D82" s="8" t="n">
        <f aca="false">N(C82)*(1-Initiatives!$H$45)*(1-Inputs!$C$9*(1-Initiatives!$H$16))+D80</f>
        <v>7884.8</v>
      </c>
      <c r="E82" s="8" t="n">
        <f aca="false">N(D82)*(1-Initiatives!$H$45)*(1-Inputs!$C$9*(1-Initiatives!$H$16))+E80</f>
        <v>15113.2603822793</v>
      </c>
      <c r="F82" s="8" t="n">
        <f aca="false">N(E82)*(1-Initiatives!$H$45)*(1-Inputs!$C$9*(1-Initiatives!$H$16))+F80</f>
        <v>21740.0155946095</v>
      </c>
      <c r="G82" s="8" t="n">
        <f aca="false">N(F82)*(1-Initiatives!$H$45)*(1-Inputs!$C$9*(1-Initiatives!$H$16))+G80</f>
        <v>19930.3522518984</v>
      </c>
      <c r="H82" s="8" t="n">
        <f aca="false">N(G82)*(1-Initiatives!$H$45)*(1-Inputs!$C$9*(1-Initiatives!$H$16))+H80</f>
        <v>18271.3273206319</v>
      </c>
      <c r="I82" s="8" t="n">
        <f aca="false">N(H82)*(1-Initiatives!$H$45)*(1-Inputs!$C$9*(1-Initiatives!$H$16))+I80</f>
        <v>16750.4014900625</v>
      </c>
      <c r="J82" s="8" t="n">
        <f aca="false">N(I82)*(1-Initiatives!$H$45)*(1-Inputs!$C$9*(1-Initiatives!$H$16))+J80</f>
        <v>15356.0792357686</v>
      </c>
      <c r="K82" s="8" t="n">
        <f aca="false">N(J82)*(1-Initiatives!$H$45)*(1-Inputs!$C$9*(1-Initiatives!$H$16))+K80</f>
        <v>14077.8219337072</v>
      </c>
      <c r="L82" s="8" t="n">
        <f aca="false">N(K82)*(1-Initiatives!$H$45)*(1-Inputs!$C$9*(1-Initiatives!$H$16))+L80</f>
        <v>12905.9682067503</v>
      </c>
      <c r="M82" s="8" t="n">
        <f aca="false">N(L82)*(1-Initiatives!$H$45)*(1-Inputs!$C$9*(1-Initiatives!$H$16))+M80</f>
        <v>11831.6609016653</v>
      </c>
      <c r="N82" s="8" t="n">
        <f aca="false">N(M82)*(1-Initiatives!$H$45)*(1-Inputs!$C$9*(1-Initiatives!$H$16))+N80</f>
        <v>10846.7801446138</v>
      </c>
      <c r="O82" s="8" t="n">
        <f aca="false">N(N82)*(1-Initiatives!$H$45)*(1-Inputs!$C$9*(1-Initiatives!$H$16))+O80</f>
        <v>9943.88196918553</v>
      </c>
      <c r="P82" s="8" t="n">
        <f aca="false">N(O82)*(1-Initiatives!$H$45)*(1-Inputs!$C$9*(1-Initiatives!$H$16))+P80</f>
        <v>9116.14205310457</v>
      </c>
      <c r="Q82" s="8" t="n">
        <f aca="false">N(P82)*(1-Initiatives!$H$45)*(1-Inputs!$C$9*(1-Initiatives!$H$16))+Q80</f>
        <v>8357.30413835436</v>
      </c>
      <c r="R82" s="8" t="n">
        <f aca="false">N(Q82)*(1-Initiatives!$H$45)*(1-Inputs!$C$9*(1-Initiatives!$H$16))+R80</f>
        <v>7661.63274487028</v>
      </c>
      <c r="S82" s="8" t="n">
        <f aca="false">N(R82)*(1-Initiatives!$H$45)*(1-Inputs!$C$9*(1-Initiatives!$H$16))+S80</f>
        <v>7023.86982039728</v>
      </c>
      <c r="T82" s="8" t="n">
        <f aca="false">N(S82)*(1-Initiatives!$H$45)*(1-Inputs!$C$9*(1-Initiatives!$H$16))+T80</f>
        <v>6439.19499886222</v>
      </c>
      <c r="U82" s="8" t="n">
        <f aca="false">N(T82)*(1-Initiatives!$H$45)*(1-Inputs!$C$9*(1-Initiatives!$H$16))+U80</f>
        <v>5903.18916688393</v>
      </c>
      <c r="V82" s="8" t="n">
        <f aca="false">N(U82)*(1-Initiatives!$H$45)*(1-Inputs!$C$9*(1-Initiatives!$H$16))+V80</f>
        <v>5411.80106304799</v>
      </c>
      <c r="W82" s="8" t="n">
        <f aca="false">N(V82)*(1-Initiatives!$H$45)*(1-Inputs!$C$9*(1-Initiatives!$H$16))+W80</f>
        <v>4961.31665749534</v>
      </c>
      <c r="X82" s="8" t="n">
        <f aca="false">N(W82)*(1-Initiatives!$H$45)*(1-Inputs!$C$9*(1-Initiatives!$H$16))+X80</f>
        <v>4548.33108038851</v>
      </c>
      <c r="Y82" s="8" t="n">
        <f aca="false">N(X82)*(1-Initiatives!$H$45)*(1-Inputs!$C$9*(1-Initiatives!$H$16))+Y80</f>
        <v>4169.72288708374</v>
      </c>
      <c r="Z82" s="8" t="n">
        <f aca="false">N(Y82)*(1-Initiatives!$H$45)*(1-Inputs!$C$9*(1-Initiatives!$H$16))+Z80</f>
        <v>3822.63046549919</v>
      </c>
    </row>
    <row r="83" customFormat="false" ht="15" hidden="false" customHeight="false" outlineLevel="0" collapsed="false">
      <c r="A83" s="4" t="s">
        <v>223</v>
      </c>
      <c r="B83" s="4" t="s">
        <v>224</v>
      </c>
      <c r="C83" s="8" t="n">
        <f aca="false">N(B83)*(1-Inputs!$C$9)+IF(AND(C$3&gt;=Initiatives!$H$33,C$3&lt;Initiatives!$H$33+Initiatives!$H$47),Initiatives!$H$43/Initiatives!$H$47,0)</f>
        <v>0</v>
      </c>
      <c r="D83" s="8" t="n">
        <f aca="false">N(C83)*(1-Inputs!$C$9)+IF(AND(D$3&gt;=Initiatives!$H$33,D$3&lt;Initiatives!$H$33+Initiatives!$H$47),Initiatives!$H$43/Initiatives!$H$47,0)</f>
        <v>0</v>
      </c>
      <c r="E83" s="8" t="n">
        <f aca="false">N(D83)*(1-Inputs!$C$9)+IF(AND(E$3&gt;=Initiatives!$H$33,E$3&lt;Initiatives!$H$33+Initiatives!$H$47),Initiatives!$H$43/Initiatives!$H$47,0)</f>
        <v>0</v>
      </c>
      <c r="F83" s="8" t="n">
        <f aca="false">N(E83)*(1-Inputs!$C$9)+IF(AND(F$3&gt;=Initiatives!$H$33,F$3&lt;Initiatives!$H$33+Initiatives!$H$47),Initiatives!$H$43/Initiatives!$H$47,0)</f>
        <v>0</v>
      </c>
      <c r="G83" s="8" t="n">
        <f aca="false">N(F83)*(1-Inputs!$C$9)+IF(AND(G$3&gt;=Initiatives!$H$33,G$3&lt;Initiatives!$H$33+Initiatives!$H$47),Initiatives!$H$43/Initiatives!$H$47,0)</f>
        <v>0</v>
      </c>
      <c r="H83" s="8" t="n">
        <f aca="false">N(G83)*(1-Inputs!$C$9)+IF(AND(H$3&gt;=Initiatives!$H$33,H$3&lt;Initiatives!$H$33+Initiatives!$H$47),Initiatives!$H$43/Initiatives!$H$47,0)</f>
        <v>0</v>
      </c>
      <c r="I83" s="8" t="n">
        <f aca="false">N(H83)*(1-Inputs!$C$9)+IF(AND(I$3&gt;=Initiatives!$H$33,I$3&lt;Initiatives!$H$33+Initiatives!$H$47),Initiatives!$H$43/Initiatives!$H$47,0)</f>
        <v>0</v>
      </c>
      <c r="J83" s="8" t="n">
        <f aca="false">N(I83)*(1-Inputs!$C$9)+IF(AND(J$3&gt;=Initiatives!$H$33,J$3&lt;Initiatives!$H$33+Initiatives!$H$47),Initiatives!$H$43/Initiatives!$H$47,0)</f>
        <v>0</v>
      </c>
      <c r="K83" s="8" t="n">
        <f aca="false">N(J83)*(1-Inputs!$C$9)+IF(AND(K$3&gt;=Initiatives!$H$33,K$3&lt;Initiatives!$H$33+Initiatives!$H$47),Initiatives!$H$43/Initiatives!$H$47,0)</f>
        <v>0</v>
      </c>
      <c r="L83" s="8" t="n">
        <f aca="false">N(K83)*(1-Inputs!$C$9)+IF(AND(L$3&gt;=Initiatives!$H$33,L$3&lt;Initiatives!$H$33+Initiatives!$H$47),Initiatives!$H$43/Initiatives!$H$47,0)</f>
        <v>0</v>
      </c>
      <c r="M83" s="8" t="n">
        <f aca="false">N(L83)*(1-Inputs!$C$9)+IF(AND(M$3&gt;=Initiatives!$H$33,M$3&lt;Initiatives!$H$33+Initiatives!$H$47),Initiatives!$H$43/Initiatives!$H$47,0)</f>
        <v>0</v>
      </c>
      <c r="N83" s="8" t="n">
        <f aca="false">N(M83)*(1-Inputs!$C$9)+IF(AND(N$3&gt;=Initiatives!$H$33,N$3&lt;Initiatives!$H$33+Initiatives!$H$47),Initiatives!$H$43/Initiatives!$H$47,0)</f>
        <v>0</v>
      </c>
      <c r="O83" s="8" t="n">
        <f aca="false">N(N83)*(1-Inputs!$C$9)+IF(AND(O$3&gt;=Initiatives!$H$33,O$3&lt;Initiatives!$H$33+Initiatives!$H$47),Initiatives!$H$43/Initiatives!$H$47,0)</f>
        <v>0</v>
      </c>
      <c r="P83" s="8" t="n">
        <f aca="false">N(O83)*(1-Inputs!$C$9)+IF(AND(P$3&gt;=Initiatives!$H$33,P$3&lt;Initiatives!$H$33+Initiatives!$H$47),Initiatives!$H$43/Initiatives!$H$47,0)</f>
        <v>0</v>
      </c>
      <c r="Q83" s="8" t="n">
        <f aca="false">N(P83)*(1-Inputs!$C$9)+IF(AND(Q$3&gt;=Initiatives!$H$33,Q$3&lt;Initiatives!$H$33+Initiatives!$H$47),Initiatives!$H$43/Initiatives!$H$47,0)</f>
        <v>0</v>
      </c>
      <c r="R83" s="8" t="n">
        <f aca="false">N(Q83)*(1-Inputs!$C$9)+IF(AND(R$3&gt;=Initiatives!$H$33,R$3&lt;Initiatives!$H$33+Initiatives!$H$47),Initiatives!$H$43/Initiatives!$H$47,0)</f>
        <v>0</v>
      </c>
      <c r="S83" s="8" t="n">
        <f aca="false">N(R83)*(1-Inputs!$C$9)+IF(AND(S$3&gt;=Initiatives!$H$33,S$3&lt;Initiatives!$H$33+Initiatives!$H$47),Initiatives!$H$43/Initiatives!$H$47,0)</f>
        <v>0</v>
      </c>
      <c r="T83" s="8" t="n">
        <f aca="false">N(S83)*(1-Inputs!$C$9)+IF(AND(T$3&gt;=Initiatives!$H$33,T$3&lt;Initiatives!$H$33+Initiatives!$H$47),Initiatives!$H$43/Initiatives!$H$47,0)</f>
        <v>0</v>
      </c>
      <c r="U83" s="8" t="n">
        <f aca="false">N(T83)*(1-Inputs!$C$9)+IF(AND(U$3&gt;=Initiatives!$H$33,U$3&lt;Initiatives!$H$33+Initiatives!$H$47),Initiatives!$H$43/Initiatives!$H$47,0)</f>
        <v>0</v>
      </c>
      <c r="V83" s="8" t="n">
        <f aca="false">N(U83)*(1-Inputs!$C$9)+IF(AND(V$3&gt;=Initiatives!$H$33,V$3&lt;Initiatives!$H$33+Initiatives!$H$47),Initiatives!$H$43/Initiatives!$H$47,0)</f>
        <v>0</v>
      </c>
      <c r="W83" s="8" t="n">
        <f aca="false">N(V83)*(1-Inputs!$C$9)+IF(AND(W$3&gt;=Initiatives!$H$33,W$3&lt;Initiatives!$H$33+Initiatives!$H$47),Initiatives!$H$43/Initiatives!$H$47,0)</f>
        <v>0</v>
      </c>
      <c r="X83" s="8" t="n">
        <f aca="false">N(W83)*(1-Inputs!$C$9)+IF(AND(X$3&gt;=Initiatives!$H$33,X$3&lt;Initiatives!$H$33+Initiatives!$H$47),Initiatives!$H$43/Initiatives!$H$47,0)</f>
        <v>0</v>
      </c>
      <c r="Y83" s="8" t="n">
        <f aca="false">N(X83)*(1-Inputs!$C$9)+IF(AND(Y$3&gt;=Initiatives!$H$33,Y$3&lt;Initiatives!$H$33+Initiatives!$H$47),Initiatives!$H$43/Initiatives!$H$47,0)</f>
        <v>0</v>
      </c>
      <c r="Z83" s="8" t="n">
        <f aca="false">N(Y83)*(1-Inputs!$C$9)+IF(AND(Z$3&gt;=Initiatives!$H$33,Z$3&lt;Initiatives!$H$33+Initiatives!$H$47),Initiatives!$H$43/Initiatives!$H$47,0)</f>
        <v>0</v>
      </c>
    </row>
    <row r="84" customFormat="false" ht="15" hidden="false" customHeight="false" outlineLevel="0" collapsed="false">
      <c r="A84" s="4" t="s">
        <v>225</v>
      </c>
      <c r="B84" s="4" t="s">
        <v>226</v>
      </c>
      <c r="C84" s="8" t="n">
        <f aca="false">IF(Initiatives!$H$6="adoption",C82*Initiatives!$H$14+C81*Initiatives!$H$9-C83*Initiatives!$H$9,IF(Initiatives!$H$6="reprice",IF(C$3&gt;=Initiatives!$H$33,(Initiatives!$H$41*Initiatives!$H$44+Initiatives!$H$42*Initiatives!$H$20)*(1-Inputs!$C$9)^(C$3-Initiatives!$H$33),0)-C83*Initiatives!$H$9,C$5*Initiatives!$H$22*C78+C81*Inputs!$C$8))</f>
        <v>0</v>
      </c>
      <c r="D84" s="8" t="n">
        <f aca="false">IF(Initiatives!$H$6="adoption",D82*Initiatives!$H$14+D81*Initiatives!$H$9-D83*Initiatives!$H$9,IF(Initiatives!$H$6="reprice",IF(D$3&gt;=Initiatives!$H$33,(Initiatives!$H$41*Initiatives!$H$44+Initiatives!$H$42*Initiatives!$H$20)*(1-Inputs!$C$9)^(D$3-Initiatives!$H$33),0)-D83*Initiatives!$H$9,D$5*Initiatives!$H$22*D78+D81*Inputs!$C$8))</f>
        <v>55193600</v>
      </c>
      <c r="E84" s="8" t="n">
        <f aca="false">IF(Initiatives!$H$6="adoption",E82*Initiatives!$H$14+E81*Initiatives!$H$9-E83*Initiatives!$H$9,IF(Initiatives!$H$6="reprice",IF(E$3&gt;=Initiatives!$H$33,(Initiatives!$H$41*Initiatives!$H$44+Initiatives!$H$42*Initiatives!$H$20)*(1-Inputs!$C$9)^(E$3-Initiatives!$H$33),0)-E83*Initiatives!$H$9,E$5*Initiatives!$H$22*E78+E81*Inputs!$C$8))</f>
        <v>105792822.675955</v>
      </c>
      <c r="F84" s="8" t="n">
        <f aca="false">IF(Initiatives!$H$6="adoption",F82*Initiatives!$H$14+F81*Initiatives!$H$9-F83*Initiatives!$H$9,IF(Initiatives!$H$6="reprice",IF(F$3&gt;=Initiatives!$H$33,(Initiatives!$H$41*Initiatives!$H$44+Initiatives!$H$42*Initiatives!$H$20)*(1-Inputs!$C$9)^(F$3-Initiatives!$H$33),0)-F83*Initiatives!$H$9,F$5*Initiatives!$H$22*F78+F81*Inputs!$C$8))</f>
        <v>152180109.162266</v>
      </c>
      <c r="G84" s="8" t="n">
        <f aca="false">IF(Initiatives!$H$6="adoption",G82*Initiatives!$H$14+G81*Initiatives!$H$9-G83*Initiatives!$H$9,IF(Initiatives!$H$6="reprice",IF(G$3&gt;=Initiatives!$H$33,(Initiatives!$H$41*Initiatives!$H$44+Initiatives!$H$42*Initiatives!$H$20)*(1-Inputs!$C$9)^(G$3-Initiatives!$H$33),0)-G83*Initiatives!$H$9,G$5*Initiatives!$H$22*G78+G81*Inputs!$C$8))</f>
        <v>139512465.763289</v>
      </c>
      <c r="H84" s="8" t="n">
        <f aca="false">IF(Initiatives!$H$6="adoption",H82*Initiatives!$H$14+H81*Initiatives!$H$9-H83*Initiatives!$H$9,IF(Initiatives!$H$6="reprice",IF(H$3&gt;=Initiatives!$H$33,(Initiatives!$H$41*Initiatives!$H$44+Initiatives!$H$42*Initiatives!$H$20)*(1-Inputs!$C$9)^(H$3-Initiatives!$H$33),0)-H83*Initiatives!$H$9,H$5*Initiatives!$H$22*H78+H81*Inputs!$C$8))</f>
        <v>127899291.244423</v>
      </c>
      <c r="I84" s="8" t="n">
        <f aca="false">IF(Initiatives!$H$6="adoption",I82*Initiatives!$H$14+I81*Initiatives!$H$9-I83*Initiatives!$H$9,IF(Initiatives!$H$6="reprice",IF(I$3&gt;=Initiatives!$H$33,(Initiatives!$H$41*Initiatives!$H$44+Initiatives!$H$42*Initiatives!$H$20)*(1-Inputs!$C$9)^(I$3-Initiatives!$H$33),0)-I83*Initiatives!$H$9,I$5*Initiatives!$H$22*I78+I81*Inputs!$C$8))</f>
        <v>117252810.430437</v>
      </c>
      <c r="J84" s="8" t="n">
        <f aca="false">IF(Initiatives!$H$6="adoption",J82*Initiatives!$H$14+J81*Initiatives!$H$9-J83*Initiatives!$H$9,IF(Initiatives!$H$6="reprice",IF(J$3&gt;=Initiatives!$H$33,(Initiatives!$H$41*Initiatives!$H$44+Initiatives!$H$42*Initiatives!$H$20)*(1-Inputs!$C$9)^(J$3-Initiatives!$H$33),0)-J83*Initiatives!$H$9,J$5*Initiatives!$H$22*J78+J81*Inputs!$C$8))</f>
        <v>107492554.65038</v>
      </c>
      <c r="K84" s="8" t="n">
        <f aca="false">IF(Initiatives!$H$6="adoption",K82*Initiatives!$H$14+K81*Initiatives!$H$9-K83*Initiatives!$H$9,IF(Initiatives!$H$6="reprice",IF(K$3&gt;=Initiatives!$H$33,(Initiatives!$H$41*Initiatives!$H$44+Initiatives!$H$42*Initiatives!$H$20)*(1-Inputs!$C$9)^(K$3-Initiatives!$H$33),0)-K83*Initiatives!$H$9,K$5*Initiatives!$H$22*K78+K81*Inputs!$C$8))</f>
        <v>98544753.5359507</v>
      </c>
      <c r="L84" s="8" t="n">
        <f aca="false">IF(Initiatives!$H$6="adoption",L82*Initiatives!$H$14+L81*Initiatives!$H$9-L83*Initiatives!$H$9,IF(Initiatives!$H$6="reprice",IF(L$3&gt;=Initiatives!$H$33,(Initiatives!$H$41*Initiatives!$H$44+Initiatives!$H$42*Initiatives!$H$20)*(1-Inputs!$C$9)^(L$3-Initiatives!$H$33),0)-L83*Initiatives!$H$9,L$5*Initiatives!$H$22*L78+L81*Inputs!$C$8))</f>
        <v>90341777.4472524</v>
      </c>
      <c r="M84" s="8" t="n">
        <f aca="false">IF(Initiatives!$H$6="adoption",M82*Initiatives!$H$14+M81*Initiatives!$H$9-M83*Initiatives!$H$9,IF(Initiatives!$H$6="reprice",IF(M$3&gt;=Initiatives!$H$33,(Initiatives!$H$41*Initiatives!$H$44+Initiatives!$H$42*Initiatives!$H$20)*(1-Inputs!$C$9)^(M$3-Initiatives!$H$33),0)-M83*Initiatives!$H$9,M$5*Initiatives!$H$22*M78+M81*Inputs!$C$8))</f>
        <v>82821626.3116573</v>
      </c>
      <c r="N84" s="8" t="n">
        <f aca="false">IF(Initiatives!$H$6="adoption",N82*Initiatives!$H$14+N81*Initiatives!$H$9-N83*Initiatives!$H$9,IF(Initiatives!$H$6="reprice",IF(N$3&gt;=Initiatives!$H$33,(Initiatives!$H$41*Initiatives!$H$44+Initiatives!$H$42*Initiatives!$H$20)*(1-Inputs!$C$9)^(N$3-Initiatives!$H$33),0)-N83*Initiatives!$H$9,N$5*Initiatives!$H$22*N78+N81*Inputs!$C$8))</f>
        <v>75927461.0122963</v>
      </c>
      <c r="O84" s="8" t="n">
        <f aca="false">IF(Initiatives!$H$6="adoption",O82*Initiatives!$H$14+O81*Initiatives!$H$9-O83*Initiatives!$H$9,IF(Initiatives!$H$6="reprice",IF(O$3&gt;=Initiatives!$H$33,(Initiatives!$H$41*Initiatives!$H$44+Initiatives!$H$42*Initiatives!$H$20)*(1-Inputs!$C$9)^(O$3-Initiatives!$H$33),0)-O83*Initiatives!$H$9,O$5*Initiatives!$H$22*O78+O81*Inputs!$C$8))</f>
        <v>69607173.7842987</v>
      </c>
      <c r="P84" s="8" t="n">
        <f aca="false">IF(Initiatives!$H$6="adoption",P82*Initiatives!$H$14+P81*Initiatives!$H$9-P83*Initiatives!$H$9,IF(Initiatives!$H$6="reprice",IF(P$3&gt;=Initiatives!$H$33,(Initiatives!$H$41*Initiatives!$H$44+Initiatives!$H$42*Initiatives!$H$20)*(1-Inputs!$C$9)^(P$3-Initiatives!$H$33),0)-P83*Initiatives!$H$9,P$5*Initiatives!$H$22*P78+P81*Inputs!$C$8))</f>
        <v>63812994.371732</v>
      </c>
      <c r="Q84" s="8" t="n">
        <f aca="false">IF(Initiatives!$H$6="adoption",Q82*Initiatives!$H$14+Q81*Initiatives!$H$9-Q83*Initiatives!$H$9,IF(Initiatives!$H$6="reprice",IF(Q$3&gt;=Initiatives!$H$33,(Initiatives!$H$41*Initiatives!$H$44+Initiatives!$H$42*Initiatives!$H$20)*(1-Inputs!$C$9)^(Q$3-Initiatives!$H$33),0)-Q83*Initiatives!$H$9,Q$5*Initiatives!$H$22*Q78+Q81*Inputs!$C$8))</f>
        <v>58501128.9684806</v>
      </c>
      <c r="R84" s="8" t="n">
        <f aca="false">IF(Initiatives!$H$6="adoption",R82*Initiatives!$H$14+R81*Initiatives!$H$9-R83*Initiatives!$H$9,IF(Initiatives!$H$6="reprice",IF(R$3&gt;=Initiatives!$H$33,(Initiatives!$H$41*Initiatives!$H$44+Initiatives!$H$42*Initiatives!$H$20)*(1-Inputs!$C$9)^(R$3-Initiatives!$H$33),0)-R83*Initiatives!$H$9,R$5*Initiatives!$H$22*R78+R81*Inputs!$C$8))</f>
        <v>53631429.214092</v>
      </c>
      <c r="S84" s="8" t="n">
        <f aca="false">IF(Initiatives!$H$6="adoption",S82*Initiatives!$H$14+S81*Initiatives!$H$9-S83*Initiatives!$H$9,IF(Initiatives!$H$6="reprice",IF(S$3&gt;=Initiatives!$H$33,(Initiatives!$H$41*Initiatives!$H$44+Initiatives!$H$42*Initiatives!$H$20)*(1-Inputs!$C$9)^(S$3-Initiatives!$H$33),0)-S83*Initiatives!$H$9,S$5*Initiatives!$H$22*S78+S81*Inputs!$C$8))</f>
        <v>49167088.742781</v>
      </c>
      <c r="T84" s="8" t="n">
        <f aca="false">IF(Initiatives!$H$6="adoption",T82*Initiatives!$H$14+T81*Initiatives!$H$9-T83*Initiatives!$H$9,IF(Initiatives!$H$6="reprice",IF(T$3&gt;=Initiatives!$H$33,(Initiatives!$H$41*Initiatives!$H$44+Initiatives!$H$42*Initiatives!$H$20)*(1-Inputs!$C$9)^(T$3-Initiatives!$H$33),0)-T83*Initiatives!$H$9,T$5*Initiatives!$H$22*T78+T81*Inputs!$C$8))</f>
        <v>45074364.9920355</v>
      </c>
      <c r="U84" s="8" t="n">
        <f aca="false">IF(Initiatives!$H$6="adoption",U82*Initiatives!$H$14+U81*Initiatives!$H$9-U83*Initiatives!$H$9,IF(Initiatives!$H$6="reprice",IF(U$3&gt;=Initiatives!$H$33,(Initiatives!$H$41*Initiatives!$H$44+Initiatives!$H$42*Initiatives!$H$20)*(1-Inputs!$C$9)^(U$3-Initiatives!$H$33),0)-U83*Initiatives!$H$9,U$5*Initiatives!$H$22*U78+U81*Inputs!$C$8))</f>
        <v>41322324.1681875</v>
      </c>
      <c r="V84" s="8" t="n">
        <f aca="false">IF(Initiatives!$H$6="adoption",V82*Initiatives!$H$14+V81*Initiatives!$H$9-V83*Initiatives!$H$9,IF(Initiatives!$H$6="reprice",IF(V$3&gt;=Initiatives!$H$33,(Initiatives!$H$41*Initiatives!$H$44+Initiatives!$H$42*Initiatives!$H$20)*(1-Inputs!$C$9)^(V$3-Initiatives!$H$33),0)-V83*Initiatives!$H$9,V$5*Initiatives!$H$22*V78+V81*Inputs!$C$8))</f>
        <v>37882607.4413359</v>
      </c>
      <c r="W84" s="8" t="n">
        <f aca="false">IF(Initiatives!$H$6="adoption",W82*Initiatives!$H$14+W81*Initiatives!$H$9-W83*Initiatives!$H$9,IF(Initiatives!$H$6="reprice",IF(W$3&gt;=Initiatives!$H$33,(Initiatives!$H$41*Initiatives!$H$44+Initiatives!$H$42*Initiatives!$H$20)*(1-Inputs!$C$9)^(W$3-Initiatives!$H$33),0)-W83*Initiatives!$H$9,W$5*Initiatives!$H$22*W78+W81*Inputs!$C$8))</f>
        <v>34729216.6024674</v>
      </c>
      <c r="X84" s="8" t="n">
        <f aca="false">IF(Initiatives!$H$6="adoption",X82*Initiatives!$H$14+X81*Initiatives!$H$9-X83*Initiatives!$H$9,IF(Initiatives!$H$6="reprice",IF(X$3&gt;=Initiatives!$H$33,(Initiatives!$H$41*Initiatives!$H$44+Initiatives!$H$42*Initiatives!$H$20)*(1-Inputs!$C$9)^(X$3-Initiatives!$H$33),0)-X83*Initiatives!$H$9,X$5*Initiatives!$H$22*X78+X81*Inputs!$C$8))</f>
        <v>31838317.5627196</v>
      </c>
      <c r="Y84" s="8" t="n">
        <f aca="false">IF(Initiatives!$H$6="adoption",Y82*Initiatives!$H$14+Y81*Initiatives!$H$9-Y83*Initiatives!$H$9,IF(Initiatives!$H$6="reprice",IF(Y$3&gt;=Initiatives!$H$33,(Initiatives!$H$41*Initiatives!$H$44+Initiatives!$H$42*Initiatives!$H$20)*(1-Inputs!$C$9)^(Y$3-Initiatives!$H$33),0)-Y83*Initiatives!$H$9,Y$5*Initiatives!$H$22*Y78+Y81*Inputs!$C$8))</f>
        <v>29188060.2095862</v>
      </c>
      <c r="Z84" s="8" t="n">
        <f aca="false">IF(Initiatives!$H$6="adoption",Z82*Initiatives!$H$14+Z81*Initiatives!$H$9-Z83*Initiatives!$H$9,IF(Initiatives!$H$6="reprice",IF(Z$3&gt;=Initiatives!$H$33,(Initiatives!$H$41*Initiatives!$H$44+Initiatives!$H$42*Initiatives!$H$20)*(1-Inputs!$C$9)^(Z$3-Initiatives!$H$33),0)-Z83*Initiatives!$H$9,Z$5*Initiatives!$H$22*Z78+Z81*Inputs!$C$8))</f>
        <v>26758413.2584943</v>
      </c>
    </row>
    <row r="85" customFormat="false" ht="15" hidden="false" customHeight="false" outlineLevel="0" collapsed="false">
      <c r="A85" s="4" t="s">
        <v>227</v>
      </c>
      <c r="B85" s="4" t="s">
        <v>228</v>
      </c>
      <c r="C85" s="8" t="n">
        <f aca="false">C82*Initiatives!$H$24*Initiatives!$H$25</f>
        <v>0</v>
      </c>
      <c r="D85" s="8" t="n">
        <f aca="false">D82*Initiatives!$H$24*Initiatives!$H$25</f>
        <v>0</v>
      </c>
      <c r="E85" s="8" t="n">
        <f aca="false">E82*Initiatives!$H$24*Initiatives!$H$25</f>
        <v>0</v>
      </c>
      <c r="F85" s="8" t="n">
        <f aca="false">F82*Initiatives!$H$24*Initiatives!$H$25</f>
        <v>0</v>
      </c>
      <c r="G85" s="8" t="n">
        <f aca="false">G82*Initiatives!$H$24*Initiatives!$H$25</f>
        <v>0</v>
      </c>
      <c r="H85" s="8" t="n">
        <f aca="false">H82*Initiatives!$H$24*Initiatives!$H$25</f>
        <v>0</v>
      </c>
      <c r="I85" s="8" t="n">
        <f aca="false">I82*Initiatives!$H$24*Initiatives!$H$25</f>
        <v>0</v>
      </c>
      <c r="J85" s="8" t="n">
        <f aca="false">J82*Initiatives!$H$24*Initiatives!$H$25</f>
        <v>0</v>
      </c>
      <c r="K85" s="8" t="n">
        <f aca="false">K82*Initiatives!$H$24*Initiatives!$H$25</f>
        <v>0</v>
      </c>
      <c r="L85" s="8" t="n">
        <f aca="false">L82*Initiatives!$H$24*Initiatives!$H$25</f>
        <v>0</v>
      </c>
      <c r="M85" s="8" t="n">
        <f aca="false">M82*Initiatives!$H$24*Initiatives!$H$25</f>
        <v>0</v>
      </c>
      <c r="N85" s="8" t="n">
        <f aca="false">N82*Initiatives!$H$24*Initiatives!$H$25</f>
        <v>0</v>
      </c>
      <c r="O85" s="8" t="n">
        <f aca="false">O82*Initiatives!$H$24*Initiatives!$H$25</f>
        <v>0</v>
      </c>
      <c r="P85" s="8" t="n">
        <f aca="false">P82*Initiatives!$H$24*Initiatives!$H$25</f>
        <v>0</v>
      </c>
      <c r="Q85" s="8" t="n">
        <f aca="false">Q82*Initiatives!$H$24*Initiatives!$H$25</f>
        <v>0</v>
      </c>
      <c r="R85" s="8" t="n">
        <f aca="false">R82*Initiatives!$H$24*Initiatives!$H$25</f>
        <v>0</v>
      </c>
      <c r="S85" s="8" t="n">
        <f aca="false">S82*Initiatives!$H$24*Initiatives!$H$25</f>
        <v>0</v>
      </c>
      <c r="T85" s="8" t="n">
        <f aca="false">T82*Initiatives!$H$24*Initiatives!$H$25</f>
        <v>0</v>
      </c>
      <c r="U85" s="8" t="n">
        <f aca="false">U82*Initiatives!$H$24*Initiatives!$H$25</f>
        <v>0</v>
      </c>
      <c r="V85" s="8" t="n">
        <f aca="false">V82*Initiatives!$H$24*Initiatives!$H$25</f>
        <v>0</v>
      </c>
      <c r="W85" s="8" t="n">
        <f aca="false">W82*Initiatives!$H$24*Initiatives!$H$25</f>
        <v>0</v>
      </c>
      <c r="X85" s="8" t="n">
        <f aca="false">X82*Initiatives!$H$24*Initiatives!$H$25</f>
        <v>0</v>
      </c>
      <c r="Y85" s="8" t="n">
        <f aca="false">Y82*Initiatives!$H$24*Initiatives!$H$25</f>
        <v>0</v>
      </c>
      <c r="Z85" s="8" t="n">
        <f aca="false">Z82*Initiatives!$H$24*Initiatives!$H$25</f>
        <v>0</v>
      </c>
    </row>
    <row r="86" customFormat="false" ht="15" hidden="false" customHeight="false" outlineLevel="0" collapsed="false">
      <c r="A86" s="4" t="s">
        <v>229</v>
      </c>
      <c r="B86" s="4" t="s">
        <v>230</v>
      </c>
      <c r="C86" s="8" t="n">
        <f aca="false">IF(C$3&lt;=Initiatives!$H$46,Initiatives!$H$29/Initiatives!$H$46,0)+IF(C$3&gt;=Initiatives!$H$33,Initiatives!$H$30,0)+IF(C$3=Initiatives!$H$33,Initiatives!$H$39*Initiatives!$H$26,0)+C80*Initiatives!$H$27+C82*Initiatives!$H$28+IF(AND(Initiatives!$H$6="reprice",C$3&gt;=Initiatives!$H$33),Initiatives!$H$41*Initiatives!$H$21*(1-Inputs!$C$9)^(C$3-Initiatives!$H$33)-Initiatives!$H$31,0)</f>
        <v>150000000</v>
      </c>
      <c r="D86" s="8" t="n">
        <f aca="false">IF(D$3&lt;=Initiatives!$H$46,Initiatives!$H$29/Initiatives!$H$46,0)+IF(D$3&gt;=Initiatives!$H$33,Initiatives!$H$30,0)+IF(D$3=Initiatives!$H$33,Initiatives!$H$39*Initiatives!$H$26,0)+D80*Initiatives!$H$27+D82*Initiatives!$H$28+IF(AND(Initiatives!$H$6="reprice",D$3&gt;=Initiatives!$H$33),Initiatives!$H$41*Initiatives!$H$21*(1-Inputs!$C$9)^(D$3-Initiatives!$H$33)-Initiatives!$H$31,0)</f>
        <v>107574400</v>
      </c>
      <c r="E86" s="8" t="n">
        <f aca="false">IF(E$3&lt;=Initiatives!$H$46,Initiatives!$H$29/Initiatives!$H$46,0)+IF(E$3&gt;=Initiatives!$H$33,Initiatives!$H$30,0)+IF(E$3=Initiatives!$H$33,Initiatives!$H$39*Initiatives!$H$26,0)+E80*Initiatives!$H$27+E82*Initiatives!$H$28+IF(AND(Initiatives!$H$6="reprice",E$3&gt;=Initiatives!$H$33),Initiatives!$H$41*Initiatives!$H$21*(1-Inputs!$C$9)^(E$3-Initiatives!$H$33)-Initiatives!$H$31,0)</f>
        <v>33654400</v>
      </c>
      <c r="F86" s="8" t="n">
        <f aca="false">IF(F$3&lt;=Initiatives!$H$46,Initiatives!$H$29/Initiatives!$H$46,0)+IF(F$3&gt;=Initiatives!$H$33,Initiatives!$H$30,0)+IF(F$3=Initiatives!$H$33,Initiatives!$H$39*Initiatives!$H$26,0)+F80*Initiatives!$H$27+F82*Initiatives!$H$28+IF(AND(Initiatives!$H$6="reprice",F$3&gt;=Initiatives!$H$33),Initiatives!$H$41*Initiatives!$H$21*(1-Inputs!$C$9)^(F$3-Initiatives!$H$33)-Initiatives!$H$31,0)</f>
        <v>33654400</v>
      </c>
      <c r="G86" s="8" t="n">
        <f aca="false">IF(G$3&lt;=Initiatives!$H$46,Initiatives!$H$29/Initiatives!$H$46,0)+IF(G$3&gt;=Initiatives!$H$33,Initiatives!$H$30,0)+IF(G$3=Initiatives!$H$33,Initiatives!$H$39*Initiatives!$H$26,0)+G80*Initiatives!$H$27+G82*Initiatives!$H$28+IF(AND(Initiatives!$H$6="reprice",G$3&gt;=Initiatives!$H$33),Initiatives!$H$41*Initiatives!$H$21*(1-Inputs!$C$9)^(G$3-Initiatives!$H$33)-Initiatives!$H$31,0)</f>
        <v>10000000</v>
      </c>
      <c r="H86" s="8" t="n">
        <f aca="false">IF(H$3&lt;=Initiatives!$H$46,Initiatives!$H$29/Initiatives!$H$46,0)+IF(H$3&gt;=Initiatives!$H$33,Initiatives!$H$30,0)+IF(H$3=Initiatives!$H$33,Initiatives!$H$39*Initiatives!$H$26,0)+H80*Initiatives!$H$27+H82*Initiatives!$H$28+IF(AND(Initiatives!$H$6="reprice",H$3&gt;=Initiatives!$H$33),Initiatives!$H$41*Initiatives!$H$21*(1-Inputs!$C$9)^(H$3-Initiatives!$H$33)-Initiatives!$H$31,0)</f>
        <v>10000000</v>
      </c>
      <c r="I86" s="8" t="n">
        <f aca="false">IF(I$3&lt;=Initiatives!$H$46,Initiatives!$H$29/Initiatives!$H$46,0)+IF(I$3&gt;=Initiatives!$H$33,Initiatives!$H$30,0)+IF(I$3=Initiatives!$H$33,Initiatives!$H$39*Initiatives!$H$26,0)+I80*Initiatives!$H$27+I82*Initiatives!$H$28+IF(AND(Initiatives!$H$6="reprice",I$3&gt;=Initiatives!$H$33),Initiatives!$H$41*Initiatives!$H$21*(1-Inputs!$C$9)^(I$3-Initiatives!$H$33)-Initiatives!$H$31,0)</f>
        <v>10000000</v>
      </c>
      <c r="J86" s="8" t="n">
        <f aca="false">IF(J$3&lt;=Initiatives!$H$46,Initiatives!$H$29/Initiatives!$H$46,0)+IF(J$3&gt;=Initiatives!$H$33,Initiatives!$H$30,0)+IF(J$3=Initiatives!$H$33,Initiatives!$H$39*Initiatives!$H$26,0)+J80*Initiatives!$H$27+J82*Initiatives!$H$28+IF(AND(Initiatives!$H$6="reprice",J$3&gt;=Initiatives!$H$33),Initiatives!$H$41*Initiatives!$H$21*(1-Inputs!$C$9)^(J$3-Initiatives!$H$33)-Initiatives!$H$31,0)</f>
        <v>10000000</v>
      </c>
      <c r="K86" s="8" t="n">
        <f aca="false">IF(K$3&lt;=Initiatives!$H$46,Initiatives!$H$29/Initiatives!$H$46,0)+IF(K$3&gt;=Initiatives!$H$33,Initiatives!$H$30,0)+IF(K$3=Initiatives!$H$33,Initiatives!$H$39*Initiatives!$H$26,0)+K80*Initiatives!$H$27+K82*Initiatives!$H$28+IF(AND(Initiatives!$H$6="reprice",K$3&gt;=Initiatives!$H$33),Initiatives!$H$41*Initiatives!$H$21*(1-Inputs!$C$9)^(K$3-Initiatives!$H$33)-Initiatives!$H$31,0)</f>
        <v>10000000</v>
      </c>
      <c r="L86" s="8" t="n">
        <f aca="false">IF(L$3&lt;=Initiatives!$H$46,Initiatives!$H$29/Initiatives!$H$46,0)+IF(L$3&gt;=Initiatives!$H$33,Initiatives!$H$30,0)+IF(L$3=Initiatives!$H$33,Initiatives!$H$39*Initiatives!$H$26,0)+L80*Initiatives!$H$27+L82*Initiatives!$H$28+IF(AND(Initiatives!$H$6="reprice",L$3&gt;=Initiatives!$H$33),Initiatives!$H$41*Initiatives!$H$21*(1-Inputs!$C$9)^(L$3-Initiatives!$H$33)-Initiatives!$H$31,0)</f>
        <v>10000000</v>
      </c>
      <c r="M86" s="8" t="n">
        <f aca="false">IF(M$3&lt;=Initiatives!$H$46,Initiatives!$H$29/Initiatives!$H$46,0)+IF(M$3&gt;=Initiatives!$H$33,Initiatives!$H$30,0)+IF(M$3=Initiatives!$H$33,Initiatives!$H$39*Initiatives!$H$26,0)+M80*Initiatives!$H$27+M82*Initiatives!$H$28+IF(AND(Initiatives!$H$6="reprice",M$3&gt;=Initiatives!$H$33),Initiatives!$H$41*Initiatives!$H$21*(1-Inputs!$C$9)^(M$3-Initiatives!$H$33)-Initiatives!$H$31,0)</f>
        <v>10000000</v>
      </c>
      <c r="N86" s="8" t="n">
        <f aca="false">IF(N$3&lt;=Initiatives!$H$46,Initiatives!$H$29/Initiatives!$H$46,0)+IF(N$3&gt;=Initiatives!$H$33,Initiatives!$H$30,0)+IF(N$3=Initiatives!$H$33,Initiatives!$H$39*Initiatives!$H$26,0)+N80*Initiatives!$H$27+N82*Initiatives!$H$28+IF(AND(Initiatives!$H$6="reprice",N$3&gt;=Initiatives!$H$33),Initiatives!$H$41*Initiatives!$H$21*(1-Inputs!$C$9)^(N$3-Initiatives!$H$33)-Initiatives!$H$31,0)</f>
        <v>10000000</v>
      </c>
      <c r="O86" s="8" t="n">
        <f aca="false">IF(O$3&lt;=Initiatives!$H$46,Initiatives!$H$29/Initiatives!$H$46,0)+IF(O$3&gt;=Initiatives!$H$33,Initiatives!$H$30,0)+IF(O$3=Initiatives!$H$33,Initiatives!$H$39*Initiatives!$H$26,0)+O80*Initiatives!$H$27+O82*Initiatives!$H$28+IF(AND(Initiatives!$H$6="reprice",O$3&gt;=Initiatives!$H$33),Initiatives!$H$41*Initiatives!$H$21*(1-Inputs!$C$9)^(O$3-Initiatives!$H$33)-Initiatives!$H$31,0)</f>
        <v>10000000</v>
      </c>
      <c r="P86" s="8" t="n">
        <f aca="false">IF(P$3&lt;=Initiatives!$H$46,Initiatives!$H$29/Initiatives!$H$46,0)+IF(P$3&gt;=Initiatives!$H$33,Initiatives!$H$30,0)+IF(P$3=Initiatives!$H$33,Initiatives!$H$39*Initiatives!$H$26,0)+P80*Initiatives!$H$27+P82*Initiatives!$H$28+IF(AND(Initiatives!$H$6="reprice",P$3&gt;=Initiatives!$H$33),Initiatives!$H$41*Initiatives!$H$21*(1-Inputs!$C$9)^(P$3-Initiatives!$H$33)-Initiatives!$H$31,0)</f>
        <v>10000000</v>
      </c>
      <c r="Q86" s="8" t="n">
        <f aca="false">IF(Q$3&lt;=Initiatives!$H$46,Initiatives!$H$29/Initiatives!$H$46,0)+IF(Q$3&gt;=Initiatives!$H$33,Initiatives!$H$30,0)+IF(Q$3=Initiatives!$H$33,Initiatives!$H$39*Initiatives!$H$26,0)+Q80*Initiatives!$H$27+Q82*Initiatives!$H$28+IF(AND(Initiatives!$H$6="reprice",Q$3&gt;=Initiatives!$H$33),Initiatives!$H$41*Initiatives!$H$21*(1-Inputs!$C$9)^(Q$3-Initiatives!$H$33)-Initiatives!$H$31,0)</f>
        <v>10000000</v>
      </c>
      <c r="R86" s="8" t="n">
        <f aca="false">IF(R$3&lt;=Initiatives!$H$46,Initiatives!$H$29/Initiatives!$H$46,0)+IF(R$3&gt;=Initiatives!$H$33,Initiatives!$H$30,0)+IF(R$3=Initiatives!$H$33,Initiatives!$H$39*Initiatives!$H$26,0)+R80*Initiatives!$H$27+R82*Initiatives!$H$28+IF(AND(Initiatives!$H$6="reprice",R$3&gt;=Initiatives!$H$33),Initiatives!$H$41*Initiatives!$H$21*(1-Inputs!$C$9)^(R$3-Initiatives!$H$33)-Initiatives!$H$31,0)</f>
        <v>10000000</v>
      </c>
      <c r="S86" s="8" t="n">
        <f aca="false">IF(S$3&lt;=Initiatives!$H$46,Initiatives!$H$29/Initiatives!$H$46,0)+IF(S$3&gt;=Initiatives!$H$33,Initiatives!$H$30,0)+IF(S$3=Initiatives!$H$33,Initiatives!$H$39*Initiatives!$H$26,0)+S80*Initiatives!$H$27+S82*Initiatives!$H$28+IF(AND(Initiatives!$H$6="reprice",S$3&gt;=Initiatives!$H$33),Initiatives!$H$41*Initiatives!$H$21*(1-Inputs!$C$9)^(S$3-Initiatives!$H$33)-Initiatives!$H$31,0)</f>
        <v>10000000</v>
      </c>
      <c r="T86" s="8" t="n">
        <f aca="false">IF(T$3&lt;=Initiatives!$H$46,Initiatives!$H$29/Initiatives!$H$46,0)+IF(T$3&gt;=Initiatives!$H$33,Initiatives!$H$30,0)+IF(T$3=Initiatives!$H$33,Initiatives!$H$39*Initiatives!$H$26,0)+T80*Initiatives!$H$27+T82*Initiatives!$H$28+IF(AND(Initiatives!$H$6="reprice",T$3&gt;=Initiatives!$H$33),Initiatives!$H$41*Initiatives!$H$21*(1-Inputs!$C$9)^(T$3-Initiatives!$H$33)-Initiatives!$H$31,0)</f>
        <v>10000000</v>
      </c>
      <c r="U86" s="8" t="n">
        <f aca="false">IF(U$3&lt;=Initiatives!$H$46,Initiatives!$H$29/Initiatives!$H$46,0)+IF(U$3&gt;=Initiatives!$H$33,Initiatives!$H$30,0)+IF(U$3=Initiatives!$H$33,Initiatives!$H$39*Initiatives!$H$26,0)+U80*Initiatives!$H$27+U82*Initiatives!$H$28+IF(AND(Initiatives!$H$6="reprice",U$3&gt;=Initiatives!$H$33),Initiatives!$H$41*Initiatives!$H$21*(1-Inputs!$C$9)^(U$3-Initiatives!$H$33)-Initiatives!$H$31,0)</f>
        <v>10000000</v>
      </c>
      <c r="V86" s="8" t="n">
        <f aca="false">IF(V$3&lt;=Initiatives!$H$46,Initiatives!$H$29/Initiatives!$H$46,0)+IF(V$3&gt;=Initiatives!$H$33,Initiatives!$H$30,0)+IF(V$3=Initiatives!$H$33,Initiatives!$H$39*Initiatives!$H$26,0)+V80*Initiatives!$H$27+V82*Initiatives!$H$28+IF(AND(Initiatives!$H$6="reprice",V$3&gt;=Initiatives!$H$33),Initiatives!$H$41*Initiatives!$H$21*(1-Inputs!$C$9)^(V$3-Initiatives!$H$33)-Initiatives!$H$31,0)</f>
        <v>10000000</v>
      </c>
      <c r="W86" s="8" t="n">
        <f aca="false">IF(W$3&lt;=Initiatives!$H$46,Initiatives!$H$29/Initiatives!$H$46,0)+IF(W$3&gt;=Initiatives!$H$33,Initiatives!$H$30,0)+IF(W$3=Initiatives!$H$33,Initiatives!$H$39*Initiatives!$H$26,0)+W80*Initiatives!$H$27+W82*Initiatives!$H$28+IF(AND(Initiatives!$H$6="reprice",W$3&gt;=Initiatives!$H$33),Initiatives!$H$41*Initiatives!$H$21*(1-Inputs!$C$9)^(W$3-Initiatives!$H$33)-Initiatives!$H$31,0)</f>
        <v>10000000</v>
      </c>
      <c r="X86" s="8" t="n">
        <f aca="false">IF(X$3&lt;=Initiatives!$H$46,Initiatives!$H$29/Initiatives!$H$46,0)+IF(X$3&gt;=Initiatives!$H$33,Initiatives!$H$30,0)+IF(X$3=Initiatives!$H$33,Initiatives!$H$39*Initiatives!$H$26,0)+X80*Initiatives!$H$27+X82*Initiatives!$H$28+IF(AND(Initiatives!$H$6="reprice",X$3&gt;=Initiatives!$H$33),Initiatives!$H$41*Initiatives!$H$21*(1-Inputs!$C$9)^(X$3-Initiatives!$H$33)-Initiatives!$H$31,0)</f>
        <v>10000000</v>
      </c>
      <c r="Y86" s="8" t="n">
        <f aca="false">IF(Y$3&lt;=Initiatives!$H$46,Initiatives!$H$29/Initiatives!$H$46,0)+IF(Y$3&gt;=Initiatives!$H$33,Initiatives!$H$30,0)+IF(Y$3=Initiatives!$H$33,Initiatives!$H$39*Initiatives!$H$26,0)+Y80*Initiatives!$H$27+Y82*Initiatives!$H$28+IF(AND(Initiatives!$H$6="reprice",Y$3&gt;=Initiatives!$H$33),Initiatives!$H$41*Initiatives!$H$21*(1-Inputs!$C$9)^(Y$3-Initiatives!$H$33)-Initiatives!$H$31,0)</f>
        <v>10000000</v>
      </c>
      <c r="Z86" s="8" t="n">
        <f aca="false">IF(Z$3&lt;=Initiatives!$H$46,Initiatives!$H$29/Initiatives!$H$46,0)+IF(Z$3&gt;=Initiatives!$H$33,Initiatives!$H$30,0)+IF(Z$3=Initiatives!$H$33,Initiatives!$H$39*Initiatives!$H$26,0)+Z80*Initiatives!$H$27+Z82*Initiatives!$H$28+IF(AND(Initiatives!$H$6="reprice",Z$3&gt;=Initiatives!$H$33),Initiatives!$H$41*Initiatives!$H$21*(1-Inputs!$C$9)^(Z$3-Initiatives!$H$33)-Initiatives!$H$31,0)</f>
        <v>10000000</v>
      </c>
    </row>
    <row r="87" customFormat="false" ht="15" hidden="false" customHeight="false" outlineLevel="0" collapsed="false">
      <c r="A87" s="4" t="s">
        <v>231</v>
      </c>
      <c r="B87" s="4" t="s">
        <v>232</v>
      </c>
      <c r="C87" s="8" t="n">
        <f aca="false">(C84+C85)*Initiatives!$H$32-C86</f>
        <v>-150000000</v>
      </c>
      <c r="D87" s="8" t="n">
        <f aca="false">(D84+D85)*Initiatives!$H$32-D86</f>
        <v>-60659840</v>
      </c>
      <c r="E87" s="8" t="n">
        <f aca="false">(E84+E85)*Initiatives!$H$32-E86</f>
        <v>56269499.2745617</v>
      </c>
      <c r="F87" s="8" t="n">
        <f aca="false">(F84+F85)*Initiatives!$H$32-F86</f>
        <v>95698692.7879264</v>
      </c>
      <c r="G87" s="8" t="n">
        <f aca="false">(G84+G85)*Initiatives!$H$32-G86</f>
        <v>108585595.898795</v>
      </c>
      <c r="H87" s="8" t="n">
        <f aca="false">(H84+H85)*Initiatives!$H$32-H86</f>
        <v>98714397.5577595</v>
      </c>
      <c r="I87" s="8" t="n">
        <f aca="false">(I84+I85)*Initiatives!$H$32-I86</f>
        <v>89664888.8658716</v>
      </c>
      <c r="J87" s="8" t="n">
        <f aca="false">(J84+J85)*Initiatives!$H$32-J86</f>
        <v>81368671.4528232</v>
      </c>
      <c r="K87" s="8" t="n">
        <f aca="false">(K84+K85)*Initiatives!$H$32-K86</f>
        <v>73763040.5055581</v>
      </c>
      <c r="L87" s="8" t="n">
        <f aca="false">(L84+L85)*Initiatives!$H$32-L86</f>
        <v>66790510.8301645</v>
      </c>
      <c r="M87" s="8" t="n">
        <f aca="false">(M84+M85)*Initiatives!$H$32-M86</f>
        <v>60398382.3649087</v>
      </c>
      <c r="N87" s="8" t="n">
        <f aca="false">(N84+N85)*Initiatives!$H$32-N86</f>
        <v>54538341.8604519</v>
      </c>
      <c r="O87" s="8" t="n">
        <f aca="false">(O84+O85)*Initiatives!$H$32-O86</f>
        <v>49166097.7166539</v>
      </c>
      <c r="P87" s="8" t="n">
        <f aca="false">(P84+P85)*Initiatives!$H$32-P86</f>
        <v>44241045.2159722</v>
      </c>
      <c r="Q87" s="8" t="n">
        <f aca="false">(Q84+Q85)*Initiatives!$H$32-Q86</f>
        <v>39725959.6232085</v>
      </c>
      <c r="R87" s="8" t="n">
        <f aca="false">(R84+R85)*Initiatives!$H$32-R86</f>
        <v>35586714.8319782</v>
      </c>
      <c r="S87" s="8" t="n">
        <f aca="false">(S84+S85)*Initiatives!$H$32-S86</f>
        <v>31792025.4313638</v>
      </c>
      <c r="T87" s="8" t="n">
        <f aca="false">(T84+T85)*Initiatives!$H$32-T86</f>
        <v>28313210.2432302</v>
      </c>
      <c r="U87" s="8" t="n">
        <f aca="false">(U84+U85)*Initiatives!$H$32-U86</f>
        <v>25123975.5429594</v>
      </c>
      <c r="V87" s="8" t="n">
        <f aca="false">(V84+V85)*Initiatives!$H$32-V86</f>
        <v>22200216.3251355</v>
      </c>
      <c r="W87" s="8" t="n">
        <f aca="false">(W84+W85)*Initiatives!$H$32-W86</f>
        <v>19519834.1120973</v>
      </c>
      <c r="X87" s="8" t="n">
        <f aca="false">(X84+X85)*Initiatives!$H$32-X86</f>
        <v>17062569.9283116</v>
      </c>
      <c r="Y87" s="8" t="n">
        <f aca="false">(Y84+Y85)*Initiatives!$H$32-Y86</f>
        <v>14809851.1781482</v>
      </c>
      <c r="Z87" s="8" t="n">
        <f aca="false">(Z84+Z85)*Initiatives!$H$32-Z86</f>
        <v>12744651.2697202</v>
      </c>
    </row>
    <row r="88" customFormat="false" ht="15" hidden="false" customHeight="false" outlineLevel="0" collapsed="false">
      <c r="A88" s="4" t="s">
        <v>233</v>
      </c>
      <c r="B88" s="4" t="s">
        <v>234</v>
      </c>
      <c r="C88" s="8" t="n">
        <f aca="false">C81-C83</f>
        <v>0</v>
      </c>
      <c r="D88" s="8" t="n">
        <f aca="false">D81-D83</f>
        <v>0</v>
      </c>
      <c r="E88" s="8" t="n">
        <f aca="false">E81-E83</f>
        <v>0</v>
      </c>
      <c r="F88" s="8" t="n">
        <f aca="false">F81-F83</f>
        <v>0</v>
      </c>
      <c r="G88" s="8" t="n">
        <f aca="false">G81-G83</f>
        <v>0</v>
      </c>
      <c r="H88" s="8" t="n">
        <f aca="false">H81-H83</f>
        <v>0</v>
      </c>
      <c r="I88" s="8" t="n">
        <f aca="false">I81-I83</f>
        <v>0</v>
      </c>
      <c r="J88" s="8" t="n">
        <f aca="false">J81-J83</f>
        <v>0</v>
      </c>
      <c r="K88" s="8" t="n">
        <f aca="false">K81-K83</f>
        <v>0</v>
      </c>
      <c r="L88" s="8" t="n">
        <f aca="false">L81-L83</f>
        <v>0</v>
      </c>
      <c r="M88" s="8" t="n">
        <f aca="false">M81-M83</f>
        <v>0</v>
      </c>
      <c r="N88" s="8" t="n">
        <f aca="false">N81-N83</f>
        <v>0</v>
      </c>
      <c r="O88" s="8" t="n">
        <f aca="false">O81-O83</f>
        <v>0</v>
      </c>
      <c r="P88" s="8" t="n">
        <f aca="false">P81-P83</f>
        <v>0</v>
      </c>
      <c r="Q88" s="8" t="n">
        <f aca="false">Q81-Q83</f>
        <v>0</v>
      </c>
      <c r="R88" s="8" t="n">
        <f aca="false">R81-R83</f>
        <v>0</v>
      </c>
      <c r="S88" s="8" t="n">
        <f aca="false">S81-S83</f>
        <v>0</v>
      </c>
      <c r="T88" s="8" t="n">
        <f aca="false">T81-T83</f>
        <v>0</v>
      </c>
      <c r="U88" s="8" t="n">
        <f aca="false">U81-U83</f>
        <v>0</v>
      </c>
      <c r="V88" s="8" t="n">
        <f aca="false">V81-V83</f>
        <v>0</v>
      </c>
      <c r="W88" s="8" t="n">
        <f aca="false">W81-W83</f>
        <v>0</v>
      </c>
      <c r="X88" s="8" t="n">
        <f aca="false">X81-X83</f>
        <v>0</v>
      </c>
      <c r="Y88" s="8" t="n">
        <f aca="false">Y81-Y83</f>
        <v>0</v>
      </c>
      <c r="Z88" s="8" t="n">
        <f aca="false">Z81-Z83</f>
        <v>0</v>
      </c>
    </row>
    <row r="89" customFormat="false" ht="15" hidden="false" customHeight="false" outlineLevel="0" collapsed="false">
      <c r="A89" s="4" t="s">
        <v>235</v>
      </c>
      <c r="B89" s="4" t="s">
        <v>236</v>
      </c>
      <c r="C89" s="8" t="n">
        <f aca="false">C82*Initiatives!$H$24</f>
        <v>0</v>
      </c>
      <c r="D89" s="8" t="n">
        <f aca="false">D82*Initiatives!$H$24</f>
        <v>0</v>
      </c>
      <c r="E89" s="8" t="n">
        <f aca="false">E82*Initiatives!$H$24</f>
        <v>0</v>
      </c>
      <c r="F89" s="8" t="n">
        <f aca="false">F82*Initiatives!$H$24</f>
        <v>0</v>
      </c>
      <c r="G89" s="8" t="n">
        <f aca="false">G82*Initiatives!$H$24</f>
        <v>0</v>
      </c>
      <c r="H89" s="8" t="n">
        <f aca="false">H82*Initiatives!$H$24</f>
        <v>0</v>
      </c>
      <c r="I89" s="8" t="n">
        <f aca="false">I82*Initiatives!$H$24</f>
        <v>0</v>
      </c>
      <c r="J89" s="8" t="n">
        <f aca="false">J82*Initiatives!$H$24</f>
        <v>0</v>
      </c>
      <c r="K89" s="8" t="n">
        <f aca="false">K82*Initiatives!$H$24</f>
        <v>0</v>
      </c>
      <c r="L89" s="8" t="n">
        <f aca="false">L82*Initiatives!$H$24</f>
        <v>0</v>
      </c>
      <c r="M89" s="8" t="n">
        <f aca="false">M82*Initiatives!$H$24</f>
        <v>0</v>
      </c>
      <c r="N89" s="8" t="n">
        <f aca="false">N82*Initiatives!$H$24</f>
        <v>0</v>
      </c>
      <c r="O89" s="8" t="n">
        <f aca="false">O82*Initiatives!$H$24</f>
        <v>0</v>
      </c>
      <c r="P89" s="8" t="n">
        <f aca="false">P82*Initiatives!$H$24</f>
        <v>0</v>
      </c>
      <c r="Q89" s="8" t="n">
        <f aca="false">Q82*Initiatives!$H$24</f>
        <v>0</v>
      </c>
      <c r="R89" s="8" t="n">
        <f aca="false">R82*Initiatives!$H$24</f>
        <v>0</v>
      </c>
      <c r="S89" s="8" t="n">
        <f aca="false">S82*Initiatives!$H$24</f>
        <v>0</v>
      </c>
      <c r="T89" s="8" t="n">
        <f aca="false">T82*Initiatives!$H$24</f>
        <v>0</v>
      </c>
      <c r="U89" s="8" t="n">
        <f aca="false">U82*Initiatives!$H$24</f>
        <v>0</v>
      </c>
      <c r="V89" s="8" t="n">
        <f aca="false">V82*Initiatives!$H$24</f>
        <v>0</v>
      </c>
      <c r="W89" s="8" t="n">
        <f aca="false">W82*Initiatives!$H$24</f>
        <v>0</v>
      </c>
      <c r="X89" s="8" t="n">
        <f aca="false">X82*Initiatives!$H$24</f>
        <v>0</v>
      </c>
      <c r="Y89" s="8" t="n">
        <f aca="false">Y82*Initiatives!$H$24</f>
        <v>0</v>
      </c>
      <c r="Z89" s="8" t="n">
        <f aca="false">Z82*Initiatives!$H$24</f>
        <v>0</v>
      </c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" hidden="false" customHeight="false" outlineLevel="0" collapsed="false">
      <c r="A91" s="17" t="s">
        <v>242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customFormat="false" ht="15" hidden="false" customHeight="false" outlineLevel="0" collapsed="false">
      <c r="A92" s="4" t="s">
        <v>213</v>
      </c>
      <c r="B92" s="4" t="s">
        <v>214</v>
      </c>
      <c r="C92" s="24" t="n">
        <f aca="false">IF(C$3&lt;Initiatives!$I$33,0,MIN((C$3-Initiatives!$I$33+1)/Initiatives!$I$34,1))</f>
        <v>0</v>
      </c>
      <c r="D92" s="24" t="n">
        <f aca="false">IF(D$3&lt;Initiatives!$I$33,0,MIN((D$3-Initiatives!$I$33+1)/Initiatives!$I$34,1))</f>
        <v>0</v>
      </c>
      <c r="E92" s="24" t="n">
        <f aca="false">IF(E$3&lt;Initiatives!$I$33,0,MIN((E$3-Initiatives!$I$33+1)/Initiatives!$I$34,1))</f>
        <v>0.333333333333333</v>
      </c>
      <c r="F92" s="24" t="n">
        <f aca="false">IF(F$3&lt;Initiatives!$I$33,0,MIN((F$3-Initiatives!$I$33+1)/Initiatives!$I$34,1))</f>
        <v>0.666666666666667</v>
      </c>
      <c r="G92" s="24" t="n">
        <f aca="false">IF(G$3&lt;Initiatives!$I$33,0,MIN((G$3-Initiatives!$I$33+1)/Initiatives!$I$34,1))</f>
        <v>1</v>
      </c>
      <c r="H92" s="24" t="n">
        <f aca="false">IF(H$3&lt;Initiatives!$I$33,0,MIN((H$3-Initiatives!$I$33+1)/Initiatives!$I$34,1))</f>
        <v>1</v>
      </c>
      <c r="I92" s="24" t="n">
        <f aca="false">IF(I$3&lt;Initiatives!$I$33,0,MIN((I$3-Initiatives!$I$33+1)/Initiatives!$I$34,1))</f>
        <v>1</v>
      </c>
      <c r="J92" s="24" t="n">
        <f aca="false">IF(J$3&lt;Initiatives!$I$33,0,MIN((J$3-Initiatives!$I$33+1)/Initiatives!$I$34,1))</f>
        <v>1</v>
      </c>
      <c r="K92" s="24" t="n">
        <f aca="false">IF(K$3&lt;Initiatives!$I$33,0,MIN((K$3-Initiatives!$I$33+1)/Initiatives!$I$34,1))</f>
        <v>1</v>
      </c>
      <c r="L92" s="24" t="n">
        <f aca="false">IF(L$3&lt;Initiatives!$I$33,0,MIN((L$3-Initiatives!$I$33+1)/Initiatives!$I$34,1))</f>
        <v>1</v>
      </c>
      <c r="M92" s="24" t="n">
        <f aca="false">IF(M$3&lt;Initiatives!$I$33,0,MIN((M$3-Initiatives!$I$33+1)/Initiatives!$I$34,1))</f>
        <v>1</v>
      </c>
      <c r="N92" s="24" t="n">
        <f aca="false">IF(N$3&lt;Initiatives!$I$33,0,MIN((N$3-Initiatives!$I$33+1)/Initiatives!$I$34,1))</f>
        <v>1</v>
      </c>
      <c r="O92" s="24" t="n">
        <f aca="false">IF(O$3&lt;Initiatives!$I$33,0,MIN((O$3-Initiatives!$I$33+1)/Initiatives!$I$34,1))</f>
        <v>1</v>
      </c>
      <c r="P92" s="24" t="n">
        <f aca="false">IF(P$3&lt;Initiatives!$I$33,0,MIN((P$3-Initiatives!$I$33+1)/Initiatives!$I$34,1))</f>
        <v>1</v>
      </c>
      <c r="Q92" s="24" t="n">
        <f aca="false">IF(Q$3&lt;Initiatives!$I$33,0,MIN((Q$3-Initiatives!$I$33+1)/Initiatives!$I$34,1))</f>
        <v>1</v>
      </c>
      <c r="R92" s="24" t="n">
        <f aca="false">IF(R$3&lt;Initiatives!$I$33,0,MIN((R$3-Initiatives!$I$33+1)/Initiatives!$I$34,1))</f>
        <v>1</v>
      </c>
      <c r="S92" s="24" t="n">
        <f aca="false">IF(S$3&lt;Initiatives!$I$33,0,MIN((S$3-Initiatives!$I$33+1)/Initiatives!$I$34,1))</f>
        <v>1</v>
      </c>
      <c r="T92" s="24" t="n">
        <f aca="false">IF(T$3&lt;Initiatives!$I$33,0,MIN((T$3-Initiatives!$I$33+1)/Initiatives!$I$34,1))</f>
        <v>1</v>
      </c>
      <c r="U92" s="24" t="n">
        <f aca="false">IF(U$3&lt;Initiatives!$I$33,0,MIN((U$3-Initiatives!$I$33+1)/Initiatives!$I$34,1))</f>
        <v>1</v>
      </c>
      <c r="V92" s="24" t="n">
        <f aca="false">IF(V$3&lt;Initiatives!$I$33,0,MIN((V$3-Initiatives!$I$33+1)/Initiatives!$I$34,1))</f>
        <v>1</v>
      </c>
      <c r="W92" s="24" t="n">
        <f aca="false">IF(W$3&lt;Initiatives!$I$33,0,MIN((W$3-Initiatives!$I$33+1)/Initiatives!$I$34,1))</f>
        <v>1</v>
      </c>
      <c r="X92" s="24" t="n">
        <f aca="false">IF(X$3&lt;Initiatives!$I$33,0,MIN((X$3-Initiatives!$I$33+1)/Initiatives!$I$34,1))</f>
        <v>1</v>
      </c>
      <c r="Y92" s="24" t="n">
        <f aca="false">IF(Y$3&lt;Initiatives!$I$33,0,MIN((Y$3-Initiatives!$I$33+1)/Initiatives!$I$34,1))</f>
        <v>1</v>
      </c>
      <c r="Z92" s="24" t="n">
        <f aca="false">IF(Z$3&lt;Initiatives!$I$33,0,MIN((Z$3-Initiatives!$I$33+1)/Initiatives!$I$34,1))</f>
        <v>1</v>
      </c>
    </row>
    <row r="93" customFormat="false" ht="15" hidden="false" customHeight="false" outlineLevel="0" collapsed="false">
      <c r="A93" s="4" t="s">
        <v>215</v>
      </c>
      <c r="B93" s="4" t="s">
        <v>216</v>
      </c>
      <c r="C93" s="8" t="n">
        <f aca="false">Initiatives!$I$40*C92</f>
        <v>0</v>
      </c>
      <c r="D93" s="8" t="n">
        <f aca="false">Initiatives!$I$40*D92</f>
        <v>0</v>
      </c>
      <c r="E93" s="8" t="n">
        <f aca="false">Initiatives!$I$40*E92</f>
        <v>7603.2</v>
      </c>
      <c r="F93" s="8" t="n">
        <f aca="false">Initiatives!$I$40*F92</f>
        <v>15206.4</v>
      </c>
      <c r="G93" s="8" t="n">
        <f aca="false">Initiatives!$I$40*G92</f>
        <v>22809.6</v>
      </c>
      <c r="H93" s="8" t="n">
        <f aca="false">Initiatives!$I$40*H92</f>
        <v>22809.6</v>
      </c>
      <c r="I93" s="8" t="n">
        <f aca="false">Initiatives!$I$40*I92</f>
        <v>22809.6</v>
      </c>
      <c r="J93" s="8" t="n">
        <f aca="false">Initiatives!$I$40*J92</f>
        <v>22809.6</v>
      </c>
      <c r="K93" s="8" t="n">
        <f aca="false">Initiatives!$I$40*K92</f>
        <v>22809.6</v>
      </c>
      <c r="L93" s="8" t="n">
        <f aca="false">Initiatives!$I$40*L92</f>
        <v>22809.6</v>
      </c>
      <c r="M93" s="8" t="n">
        <f aca="false">Initiatives!$I$40*M92</f>
        <v>22809.6</v>
      </c>
      <c r="N93" s="8" t="n">
        <f aca="false">Initiatives!$I$40*N92</f>
        <v>22809.6</v>
      </c>
      <c r="O93" s="8" t="n">
        <f aca="false">Initiatives!$I$40*O92</f>
        <v>22809.6</v>
      </c>
      <c r="P93" s="8" t="n">
        <f aca="false">Initiatives!$I$40*P92</f>
        <v>22809.6</v>
      </c>
      <c r="Q93" s="8" t="n">
        <f aca="false">Initiatives!$I$40*Q92</f>
        <v>22809.6</v>
      </c>
      <c r="R93" s="8" t="n">
        <f aca="false">Initiatives!$I$40*R92</f>
        <v>22809.6</v>
      </c>
      <c r="S93" s="8" t="n">
        <f aca="false">Initiatives!$I$40*S92</f>
        <v>22809.6</v>
      </c>
      <c r="T93" s="8" t="n">
        <f aca="false">Initiatives!$I$40*T92</f>
        <v>22809.6</v>
      </c>
      <c r="U93" s="8" t="n">
        <f aca="false">Initiatives!$I$40*U92</f>
        <v>22809.6</v>
      </c>
      <c r="V93" s="8" t="n">
        <f aca="false">Initiatives!$I$40*V92</f>
        <v>22809.6</v>
      </c>
      <c r="W93" s="8" t="n">
        <f aca="false">Initiatives!$I$40*W92</f>
        <v>22809.6</v>
      </c>
      <c r="X93" s="8" t="n">
        <f aca="false">Initiatives!$I$40*X92</f>
        <v>22809.6</v>
      </c>
      <c r="Y93" s="8" t="n">
        <f aca="false">Initiatives!$I$40*Y92</f>
        <v>22809.6</v>
      </c>
      <c r="Z93" s="8" t="n">
        <f aca="false">Initiatives!$I$40*Z92</f>
        <v>22809.6</v>
      </c>
    </row>
    <row r="94" customFormat="false" ht="15" hidden="false" customHeight="false" outlineLevel="0" collapsed="false">
      <c r="A94" s="4" t="s">
        <v>217</v>
      </c>
      <c r="B94" s="4" t="s">
        <v>218</v>
      </c>
      <c r="C94" s="8" t="n">
        <f aca="false">MAX(C93-N(B93),0)</f>
        <v>0</v>
      </c>
      <c r="D94" s="8" t="n">
        <f aca="false">MAX(D93-N(C93),0)</f>
        <v>0</v>
      </c>
      <c r="E94" s="8" t="n">
        <f aca="false">MAX(E93-N(D93),0)</f>
        <v>7603.2</v>
      </c>
      <c r="F94" s="8" t="n">
        <f aca="false">MAX(F93-N(E93),0)</f>
        <v>7603.2</v>
      </c>
      <c r="G94" s="8" t="n">
        <f aca="false">MAX(G93-N(F93),0)</f>
        <v>7603.2</v>
      </c>
      <c r="H94" s="8" t="n">
        <f aca="false">MAX(H93-N(G93),0)</f>
        <v>0</v>
      </c>
      <c r="I94" s="8" t="n">
        <f aca="false">MAX(I93-N(H93),0)</f>
        <v>0</v>
      </c>
      <c r="J94" s="8" t="n">
        <f aca="false">MAX(J93-N(I93),0)</f>
        <v>0</v>
      </c>
      <c r="K94" s="8" t="n">
        <f aca="false">MAX(K93-N(J93),0)</f>
        <v>0</v>
      </c>
      <c r="L94" s="8" t="n">
        <f aca="false">MAX(L93-N(K93),0)</f>
        <v>0</v>
      </c>
      <c r="M94" s="8" t="n">
        <f aca="false">MAX(M93-N(L93),0)</f>
        <v>0</v>
      </c>
      <c r="N94" s="8" t="n">
        <f aca="false">MAX(N93-N(M93),0)</f>
        <v>0</v>
      </c>
      <c r="O94" s="8" t="n">
        <f aca="false">MAX(O93-N(N93),0)</f>
        <v>0</v>
      </c>
      <c r="P94" s="8" t="n">
        <f aca="false">MAX(P93-N(O93),0)</f>
        <v>0</v>
      </c>
      <c r="Q94" s="8" t="n">
        <f aca="false">MAX(Q93-N(P93),0)</f>
        <v>0</v>
      </c>
      <c r="R94" s="8" t="n">
        <f aca="false">MAX(R93-N(Q93),0)</f>
        <v>0</v>
      </c>
      <c r="S94" s="8" t="n">
        <f aca="false">MAX(S93-N(R93),0)</f>
        <v>0</v>
      </c>
      <c r="T94" s="8" t="n">
        <f aca="false">MAX(T93-N(S93),0)</f>
        <v>0</v>
      </c>
      <c r="U94" s="8" t="n">
        <f aca="false">MAX(U93-N(T93),0)</f>
        <v>0</v>
      </c>
      <c r="V94" s="8" t="n">
        <f aca="false">MAX(V93-N(U93),0)</f>
        <v>0</v>
      </c>
      <c r="W94" s="8" t="n">
        <f aca="false">MAX(W93-N(V93),0)</f>
        <v>0</v>
      </c>
      <c r="X94" s="8" t="n">
        <f aca="false">MAX(X93-N(W93),0)</f>
        <v>0</v>
      </c>
      <c r="Y94" s="8" t="n">
        <f aca="false">MAX(Y93-N(X93),0)</f>
        <v>0</v>
      </c>
      <c r="Z94" s="8" t="n">
        <f aca="false">MAX(Z93-N(Y93),0)</f>
        <v>0</v>
      </c>
    </row>
    <row r="95" customFormat="false" ht="15" hidden="false" customHeight="false" outlineLevel="0" collapsed="false">
      <c r="A95" s="4" t="s">
        <v>219</v>
      </c>
      <c r="B95" s="4" t="s">
        <v>220</v>
      </c>
      <c r="C95" s="8" t="n">
        <f aca="false">IF(Initiatives!$I$6="adoption",N(B95)*(1-Inputs!$C$9)+N(B96)*Inputs!$C$9*Initiatives!$I$16,IF(Initiatives!$I$6="relative",N(B95)*(1-Inputs!$C$9)+C$4*Inputs!$C$9*Initiatives!$I$23*C92,0))</f>
        <v>0</v>
      </c>
      <c r="D95" s="8" t="n">
        <f aca="false">IF(Initiatives!$I$6="adoption",N(C95)*(1-Inputs!$C$9)+N(C96)*Inputs!$C$9*Initiatives!$I$16,IF(Initiatives!$I$6="relative",N(C95)*(1-Inputs!$C$9)+D$4*Inputs!$C$9*Initiatives!$I$23*D92,0))</f>
        <v>0</v>
      </c>
      <c r="E95" s="8" t="n">
        <f aca="false">IF(Initiatives!$I$6="adoption",N(D95)*(1-Inputs!$C$9)+N(D96)*Inputs!$C$9*Initiatives!$I$16,IF(Initiatives!$I$6="relative",N(D95)*(1-Inputs!$C$9)+E$4*Inputs!$C$9*Initiatives!$I$23*E92,0))</f>
        <v>0</v>
      </c>
      <c r="F95" s="8" t="n">
        <f aca="false">IF(Initiatives!$I$6="adoption",N(E95)*(1-Inputs!$C$9)+N(E96)*Inputs!$C$9*Initiatives!$I$16,IF(Initiatives!$I$6="relative",N(E95)*(1-Inputs!$C$9)+F$4*Inputs!$C$9*Initiatives!$I$23*F92,0))</f>
        <v>22.8096</v>
      </c>
      <c r="G95" s="8" t="n">
        <f aca="false">IF(Initiatives!$I$6="adoption",N(F95)*(1-Inputs!$C$9)+N(F96)*Inputs!$C$9*Initiatives!$I$16,IF(Initiatives!$I$6="relative",N(F95)*(1-Inputs!$C$9)+G$4*Inputs!$C$9*Initiatives!$I$23*G92,0))</f>
        <v>67.8129408</v>
      </c>
      <c r="H95" s="8" t="n">
        <f aca="false">IF(Initiatives!$I$6="adoption",N(G95)*(1-Inputs!$C$9)+N(G96)*Inputs!$C$9*Initiatives!$I$16,IF(Initiatives!$I$6="relative",N(G95)*(1-Inputs!$C$9)+H$4*Inputs!$C$9*Initiatives!$I$23*H92,0))</f>
        <v>134.4066856704</v>
      </c>
      <c r="I95" s="8" t="n">
        <f aca="false">IF(Initiatives!$I$6="adoption",N(H95)*(1-Inputs!$C$9)+N(H96)*Inputs!$C$9*Initiatives!$I$16,IF(Initiatives!$I$6="relative",N(H95)*(1-Inputs!$C$9)+I$4*Inputs!$C$9*Initiatives!$I$23*I92,0))</f>
        <v>199.190193099955</v>
      </c>
      <c r="J95" s="8" t="n">
        <f aca="false">IF(Initiatives!$I$6="adoption",N(I95)*(1-Inputs!$C$9)+N(I96)*Inputs!$C$9*Initiatives!$I$16,IF(Initiatives!$I$6="relative",N(I95)*(1-Inputs!$C$9)+J$4*Inputs!$C$9*Initiatives!$I$23*J92,0))</f>
        <v>262.200352625492</v>
      </c>
      <c r="K95" s="8" t="n">
        <f aca="false">IF(Initiatives!$I$6="adoption",N(J95)*(1-Inputs!$C$9)+N(J96)*Inputs!$C$9*Initiatives!$I$16,IF(Initiatives!$I$6="relative",N(J95)*(1-Inputs!$C$9)+K$4*Inputs!$C$9*Initiatives!$I$23*K92,0))</f>
        <v>323.473383609081</v>
      </c>
      <c r="L95" s="8" t="n">
        <f aca="false">IF(Initiatives!$I$6="adoption",N(K95)*(1-Inputs!$C$9)+N(K96)*Inputs!$C$9*Initiatives!$I$16,IF(Initiatives!$I$6="relative",N(K95)*(1-Inputs!$C$9)+L$4*Inputs!$C$9*Initiatives!$I$23*L92,0))</f>
        <v>383.04484669264</v>
      </c>
      <c r="M95" s="8" t="n">
        <f aca="false">IF(Initiatives!$I$6="adoption",N(L95)*(1-Inputs!$C$9)+N(L96)*Inputs!$C$9*Initiatives!$I$16,IF(Initiatives!$I$6="relative",N(L95)*(1-Inputs!$C$9)+M$4*Inputs!$C$9*Initiatives!$I$23*M92,0))</f>
        <v>440.949655063894</v>
      </c>
      <c r="N95" s="8" t="n">
        <f aca="false">IF(Initiatives!$I$6="adoption",N(M95)*(1-Inputs!$C$9)+N(M96)*Inputs!$C$9*Initiatives!$I$16,IF(Initiatives!$I$6="relative",N(M95)*(1-Inputs!$C$9)+N$4*Inputs!$C$9*Initiatives!$I$23*N92,0))</f>
        <v>497.22208553672</v>
      </c>
      <c r="O95" s="8" t="n">
        <f aca="false">IF(Initiatives!$I$6="adoption",N(N95)*(1-Inputs!$C$9)+N(N96)*Inputs!$C$9*Initiatives!$I$16,IF(Initiatives!$I$6="relative",N(N95)*(1-Inputs!$C$9)+O$4*Inputs!$C$9*Initiatives!$I$23*O92,0))</f>
        <v>551.895789448867</v>
      </c>
      <c r="P95" s="8" t="n">
        <f aca="false">IF(Initiatives!$I$6="adoption",N(O95)*(1-Inputs!$C$9)+N(O96)*Inputs!$C$9*Initiatives!$I$16,IF(Initiatives!$I$6="relative",N(O95)*(1-Inputs!$C$9)+P$4*Inputs!$C$9*Initiatives!$I$23*P92,0))</f>
        <v>605.00380337999</v>
      </c>
      <c r="Q95" s="8" t="n">
        <f aca="false">IF(Initiatives!$I$6="adoption",N(P95)*(1-Inputs!$C$9)+N(P96)*Inputs!$C$9*Initiatives!$I$16,IF(Initiatives!$I$6="relative",N(P95)*(1-Inputs!$C$9)+Q$4*Inputs!$C$9*Initiatives!$I$23*Q92,0))</f>
        <v>656.578559692872</v>
      </c>
      <c r="R95" s="8" t="n">
        <f aca="false">IF(Initiatives!$I$6="adoption",N(Q95)*(1-Inputs!$C$9)+N(Q96)*Inputs!$C$9*Initiatives!$I$16,IF(Initiatives!$I$6="relative",N(Q95)*(1-Inputs!$C$9)+R$4*Inputs!$C$9*Initiatives!$I$23*R92,0))</f>
        <v>706.651896900697</v>
      </c>
      <c r="S95" s="8" t="n">
        <f aca="false">IF(Initiatives!$I$6="adoption",N(R95)*(1-Inputs!$C$9)+N(R96)*Inputs!$C$9*Initiatives!$I$16,IF(Initiatives!$I$6="relative",N(R95)*(1-Inputs!$C$9)+S$4*Inputs!$C$9*Initiatives!$I$23*S92,0))</f>
        <v>755.255069863167</v>
      </c>
      <c r="T95" s="8" t="n">
        <f aca="false">IF(Initiatives!$I$6="adoption",N(S95)*(1-Inputs!$C$9)+N(S96)*Inputs!$C$9*Initiatives!$I$16,IF(Initiatives!$I$6="relative",N(S95)*(1-Inputs!$C$9)+T$4*Inputs!$C$9*Initiatives!$I$23*T92,0))</f>
        <v>802.418759814208</v>
      </c>
      <c r="U95" s="8" t="n">
        <f aca="false">IF(Initiatives!$I$6="adoption",N(T95)*(1-Inputs!$C$9)+N(T96)*Inputs!$C$9*Initiatives!$I$16,IF(Initiatives!$I$6="relative",N(T95)*(1-Inputs!$C$9)+U$4*Inputs!$C$9*Initiatives!$I$23*U92,0))</f>
        <v>848.173084223995</v>
      </c>
      <c r="V95" s="8" t="n">
        <f aca="false">IF(Initiatives!$I$6="adoption",N(U95)*(1-Inputs!$C$9)+N(U96)*Inputs!$C$9*Initiatives!$I$16,IF(Initiatives!$I$6="relative",N(U95)*(1-Inputs!$C$9)+V$4*Inputs!$C$9*Initiatives!$I$23*V92,0))</f>
        <v>892.547606497951</v>
      </c>
      <c r="W95" s="8" t="n">
        <f aca="false">IF(Initiatives!$I$6="adoption",N(V95)*(1-Inputs!$C$9)+N(V96)*Inputs!$C$9*Initiatives!$I$16,IF(Initiatives!$I$6="relative",N(V95)*(1-Inputs!$C$9)+W$4*Inputs!$C$9*Initiatives!$I$23*W92,0))</f>
        <v>935.571345515351</v>
      </c>
      <c r="X95" s="8" t="n">
        <f aca="false">IF(Initiatives!$I$6="adoption",N(W95)*(1-Inputs!$C$9)+N(W96)*Inputs!$C$9*Initiatives!$I$16,IF(Initiatives!$I$6="relative",N(W95)*(1-Inputs!$C$9)+X$4*Inputs!$C$9*Initiatives!$I$23*X92,0))</f>
        <v>977.272785010111</v>
      </c>
      <c r="Y95" s="8" t="n">
        <f aca="false">IF(Initiatives!$I$6="adoption",N(X95)*(1-Inputs!$C$9)+N(X96)*Inputs!$C$9*Initiatives!$I$16,IF(Initiatives!$I$6="relative",N(X95)*(1-Inputs!$C$9)+Y$4*Inputs!$C$9*Initiatives!$I$23*Y92,0))</f>
        <v>1017.67988279632</v>
      </c>
      <c r="Z95" s="8" t="n">
        <f aca="false">IF(Initiatives!$I$6="adoption",N(Y95)*(1-Inputs!$C$9)+N(Y96)*Inputs!$C$9*Initiatives!$I$16,IF(Initiatives!$I$6="relative",N(Y95)*(1-Inputs!$C$9)+Z$4*Inputs!$C$9*Initiatives!$I$23*Z92,0))</f>
        <v>1056.820079841</v>
      </c>
    </row>
    <row r="96" customFormat="false" ht="15" hidden="false" customHeight="false" outlineLevel="0" collapsed="false">
      <c r="A96" s="4" t="s">
        <v>221</v>
      </c>
      <c r="B96" s="4" t="s">
        <v>222</v>
      </c>
      <c r="C96" s="8" t="n">
        <f aca="false">N(B96)*(1-Initiatives!$I$45)*(1-Inputs!$C$9*(1-Initiatives!$I$16))+C94</f>
        <v>0</v>
      </c>
      <c r="D96" s="8" t="n">
        <f aca="false">N(C96)*(1-Initiatives!$I$45)*(1-Inputs!$C$9*(1-Initiatives!$I$16))+D94</f>
        <v>0</v>
      </c>
      <c r="E96" s="8" t="n">
        <f aca="false">N(D96)*(1-Initiatives!$I$45)*(1-Inputs!$C$9*(1-Initiatives!$I$16))+E94</f>
        <v>7603.2</v>
      </c>
      <c r="F96" s="8" t="n">
        <f aca="false">N(E96)*(1-Initiatives!$I$45)*(1-Inputs!$C$9*(1-Initiatives!$I$16))+F94</f>
        <v>15115.1616</v>
      </c>
      <c r="G96" s="8" t="n">
        <f aca="false">N(F96)*(1-Initiatives!$I$45)*(1-Inputs!$C$9*(1-Initiatives!$I$16))+G94</f>
        <v>22536.9796608</v>
      </c>
      <c r="H96" s="8" t="n">
        <f aca="false">N(G96)*(1-Initiatives!$I$45)*(1-Inputs!$C$9*(1-Initiatives!$I$16))+H94</f>
        <v>22266.5359048704</v>
      </c>
      <c r="I96" s="8" t="n">
        <f aca="false">N(H96)*(1-Initiatives!$I$45)*(1-Inputs!$C$9*(1-Initiatives!$I$16))+I94</f>
        <v>21999.337474012</v>
      </c>
      <c r="J96" s="8" t="n">
        <f aca="false">N(I96)*(1-Initiatives!$I$45)*(1-Inputs!$C$9*(1-Initiatives!$I$16))+J94</f>
        <v>21735.3454243238</v>
      </c>
      <c r="K96" s="8" t="n">
        <f aca="false">N(J96)*(1-Initiatives!$I$45)*(1-Inputs!$C$9*(1-Initiatives!$I$16))+K94</f>
        <v>21474.5212792319</v>
      </c>
      <c r="L96" s="8" t="n">
        <f aca="false">N(K96)*(1-Initiatives!$I$45)*(1-Inputs!$C$9*(1-Initiatives!$I$16))+L94</f>
        <v>21216.8270238811</v>
      </c>
      <c r="M96" s="8" t="n">
        <f aca="false">N(L96)*(1-Initiatives!$I$45)*(1-Inputs!$C$9*(1-Initiatives!$I$16))+M94</f>
        <v>20962.2250995946</v>
      </c>
      <c r="N96" s="8" t="n">
        <f aca="false">N(M96)*(1-Initiatives!$I$45)*(1-Inputs!$C$9*(1-Initiatives!$I$16))+N94</f>
        <v>20710.6783983994</v>
      </c>
      <c r="O96" s="8" t="n">
        <f aca="false">N(N96)*(1-Initiatives!$I$45)*(1-Inputs!$C$9*(1-Initiatives!$I$16))+O94</f>
        <v>20462.1502576186</v>
      </c>
      <c r="P96" s="8" t="n">
        <f aca="false">N(O96)*(1-Initiatives!$I$45)*(1-Inputs!$C$9*(1-Initiatives!$I$16))+P94</f>
        <v>20216.6044545272</v>
      </c>
      <c r="Q96" s="8" t="n">
        <f aca="false">N(P96)*(1-Initiatives!$I$45)*(1-Inputs!$C$9*(1-Initiatives!$I$16))+Q94</f>
        <v>19974.0052010729</v>
      </c>
      <c r="R96" s="8" t="n">
        <f aca="false">N(Q96)*(1-Initiatives!$I$45)*(1-Inputs!$C$9*(1-Initiatives!$I$16))+R94</f>
        <v>19734.31713866</v>
      </c>
      <c r="S96" s="8" t="n">
        <f aca="false">N(R96)*(1-Initiatives!$I$45)*(1-Inputs!$C$9*(1-Initiatives!$I$16))+S94</f>
        <v>19497.5053329961</v>
      </c>
      <c r="T96" s="8" t="n">
        <f aca="false">N(S96)*(1-Initiatives!$I$45)*(1-Inputs!$C$9*(1-Initiatives!$I$16))+T94</f>
        <v>19263.5352690001</v>
      </c>
      <c r="U96" s="8" t="n">
        <f aca="false">N(T96)*(1-Initiatives!$I$45)*(1-Inputs!$C$9*(1-Initiatives!$I$16))+U94</f>
        <v>19032.3728457721</v>
      </c>
      <c r="V96" s="8" t="n">
        <f aca="false">N(U96)*(1-Initiatives!$I$45)*(1-Inputs!$C$9*(1-Initiatives!$I$16))+V94</f>
        <v>18803.9843716229</v>
      </c>
      <c r="W96" s="8" t="n">
        <f aca="false">N(V96)*(1-Initiatives!$I$45)*(1-Inputs!$C$9*(1-Initiatives!$I$16))+W94</f>
        <v>18578.3365591634</v>
      </c>
      <c r="X96" s="8" t="n">
        <f aca="false">N(W96)*(1-Initiatives!$I$45)*(1-Inputs!$C$9*(1-Initiatives!$I$16))+X94</f>
        <v>18355.3965204534</v>
      </c>
      <c r="Y96" s="8" t="n">
        <f aca="false">N(X96)*(1-Initiatives!$I$45)*(1-Inputs!$C$9*(1-Initiatives!$I$16))+Y94</f>
        <v>18135.131762208</v>
      </c>
      <c r="Z96" s="8" t="n">
        <f aca="false">N(Y96)*(1-Initiatives!$I$45)*(1-Inputs!$C$9*(1-Initiatives!$I$16))+Z94</f>
        <v>17917.5101810615</v>
      </c>
    </row>
    <row r="97" customFormat="false" ht="15" hidden="false" customHeight="false" outlineLevel="0" collapsed="false">
      <c r="A97" s="4" t="s">
        <v>223</v>
      </c>
      <c r="B97" s="4" t="s">
        <v>224</v>
      </c>
      <c r="C97" s="8" t="n">
        <f aca="false">N(B97)*(1-Inputs!$C$9)+IF(AND(C$3&gt;=Initiatives!$I$33,C$3&lt;Initiatives!$I$33+Initiatives!$I$47),Initiatives!$I$43/Initiatives!$I$47,0)</f>
        <v>0</v>
      </c>
      <c r="D97" s="8" t="n">
        <f aca="false">N(C97)*(1-Inputs!$C$9)+IF(AND(D$3&gt;=Initiatives!$I$33,D$3&lt;Initiatives!$I$33+Initiatives!$I$47),Initiatives!$I$43/Initiatives!$I$47,0)</f>
        <v>0</v>
      </c>
      <c r="E97" s="8" t="n">
        <f aca="false">N(D97)*(1-Inputs!$C$9)+IF(AND(E$3&gt;=Initiatives!$I$33,E$3&lt;Initiatives!$I$33+Initiatives!$I$47),Initiatives!$I$43/Initiatives!$I$47,0)</f>
        <v>0</v>
      </c>
      <c r="F97" s="8" t="n">
        <f aca="false">N(E97)*(1-Inputs!$C$9)+IF(AND(F$3&gt;=Initiatives!$I$33,F$3&lt;Initiatives!$I$33+Initiatives!$I$47),Initiatives!$I$43/Initiatives!$I$47,0)</f>
        <v>0</v>
      </c>
      <c r="G97" s="8" t="n">
        <f aca="false">N(F97)*(1-Inputs!$C$9)+IF(AND(G$3&gt;=Initiatives!$I$33,G$3&lt;Initiatives!$I$33+Initiatives!$I$47),Initiatives!$I$43/Initiatives!$I$47,0)</f>
        <v>0</v>
      </c>
      <c r="H97" s="8" t="n">
        <f aca="false">N(G97)*(1-Inputs!$C$9)+IF(AND(H$3&gt;=Initiatives!$I$33,H$3&lt;Initiatives!$I$33+Initiatives!$I$47),Initiatives!$I$43/Initiatives!$I$47,0)</f>
        <v>0</v>
      </c>
      <c r="I97" s="8" t="n">
        <f aca="false">N(H97)*(1-Inputs!$C$9)+IF(AND(I$3&gt;=Initiatives!$I$33,I$3&lt;Initiatives!$I$33+Initiatives!$I$47),Initiatives!$I$43/Initiatives!$I$47,0)</f>
        <v>0</v>
      </c>
      <c r="J97" s="8" t="n">
        <f aca="false">N(I97)*(1-Inputs!$C$9)+IF(AND(J$3&gt;=Initiatives!$I$33,J$3&lt;Initiatives!$I$33+Initiatives!$I$47),Initiatives!$I$43/Initiatives!$I$47,0)</f>
        <v>0</v>
      </c>
      <c r="K97" s="8" t="n">
        <f aca="false">N(J97)*(1-Inputs!$C$9)+IF(AND(K$3&gt;=Initiatives!$I$33,K$3&lt;Initiatives!$I$33+Initiatives!$I$47),Initiatives!$I$43/Initiatives!$I$47,0)</f>
        <v>0</v>
      </c>
      <c r="L97" s="8" t="n">
        <f aca="false">N(K97)*(1-Inputs!$C$9)+IF(AND(L$3&gt;=Initiatives!$I$33,L$3&lt;Initiatives!$I$33+Initiatives!$I$47),Initiatives!$I$43/Initiatives!$I$47,0)</f>
        <v>0</v>
      </c>
      <c r="M97" s="8" t="n">
        <f aca="false">N(L97)*(1-Inputs!$C$9)+IF(AND(M$3&gt;=Initiatives!$I$33,M$3&lt;Initiatives!$I$33+Initiatives!$I$47),Initiatives!$I$43/Initiatives!$I$47,0)</f>
        <v>0</v>
      </c>
      <c r="N97" s="8" t="n">
        <f aca="false">N(M97)*(1-Inputs!$C$9)+IF(AND(N$3&gt;=Initiatives!$I$33,N$3&lt;Initiatives!$I$33+Initiatives!$I$47),Initiatives!$I$43/Initiatives!$I$47,0)</f>
        <v>0</v>
      </c>
      <c r="O97" s="8" t="n">
        <f aca="false">N(N97)*(1-Inputs!$C$9)+IF(AND(O$3&gt;=Initiatives!$I$33,O$3&lt;Initiatives!$I$33+Initiatives!$I$47),Initiatives!$I$43/Initiatives!$I$47,0)</f>
        <v>0</v>
      </c>
      <c r="P97" s="8" t="n">
        <f aca="false">N(O97)*(1-Inputs!$C$9)+IF(AND(P$3&gt;=Initiatives!$I$33,P$3&lt;Initiatives!$I$33+Initiatives!$I$47),Initiatives!$I$43/Initiatives!$I$47,0)</f>
        <v>0</v>
      </c>
      <c r="Q97" s="8" t="n">
        <f aca="false">N(P97)*(1-Inputs!$C$9)+IF(AND(Q$3&gt;=Initiatives!$I$33,Q$3&lt;Initiatives!$I$33+Initiatives!$I$47),Initiatives!$I$43/Initiatives!$I$47,0)</f>
        <v>0</v>
      </c>
      <c r="R97" s="8" t="n">
        <f aca="false">N(Q97)*(1-Inputs!$C$9)+IF(AND(R$3&gt;=Initiatives!$I$33,R$3&lt;Initiatives!$I$33+Initiatives!$I$47),Initiatives!$I$43/Initiatives!$I$47,0)</f>
        <v>0</v>
      </c>
      <c r="S97" s="8" t="n">
        <f aca="false">N(R97)*(1-Inputs!$C$9)+IF(AND(S$3&gt;=Initiatives!$I$33,S$3&lt;Initiatives!$I$33+Initiatives!$I$47),Initiatives!$I$43/Initiatives!$I$47,0)</f>
        <v>0</v>
      </c>
      <c r="T97" s="8" t="n">
        <f aca="false">N(S97)*(1-Inputs!$C$9)+IF(AND(T$3&gt;=Initiatives!$I$33,T$3&lt;Initiatives!$I$33+Initiatives!$I$47),Initiatives!$I$43/Initiatives!$I$47,0)</f>
        <v>0</v>
      </c>
      <c r="U97" s="8" t="n">
        <f aca="false">N(T97)*(1-Inputs!$C$9)+IF(AND(U$3&gt;=Initiatives!$I$33,U$3&lt;Initiatives!$I$33+Initiatives!$I$47),Initiatives!$I$43/Initiatives!$I$47,0)</f>
        <v>0</v>
      </c>
      <c r="V97" s="8" t="n">
        <f aca="false">N(U97)*(1-Inputs!$C$9)+IF(AND(V$3&gt;=Initiatives!$I$33,V$3&lt;Initiatives!$I$33+Initiatives!$I$47),Initiatives!$I$43/Initiatives!$I$47,0)</f>
        <v>0</v>
      </c>
      <c r="W97" s="8" t="n">
        <f aca="false">N(V97)*(1-Inputs!$C$9)+IF(AND(W$3&gt;=Initiatives!$I$33,W$3&lt;Initiatives!$I$33+Initiatives!$I$47),Initiatives!$I$43/Initiatives!$I$47,0)</f>
        <v>0</v>
      </c>
      <c r="X97" s="8" t="n">
        <f aca="false">N(W97)*(1-Inputs!$C$9)+IF(AND(X$3&gt;=Initiatives!$I$33,X$3&lt;Initiatives!$I$33+Initiatives!$I$47),Initiatives!$I$43/Initiatives!$I$47,0)</f>
        <v>0</v>
      </c>
      <c r="Y97" s="8" t="n">
        <f aca="false">N(X97)*(1-Inputs!$C$9)+IF(AND(Y$3&gt;=Initiatives!$I$33,Y$3&lt;Initiatives!$I$33+Initiatives!$I$47),Initiatives!$I$43/Initiatives!$I$47,0)</f>
        <v>0</v>
      </c>
      <c r="Z97" s="8" t="n">
        <f aca="false">N(Y97)*(1-Inputs!$C$9)+IF(AND(Z$3&gt;=Initiatives!$I$33,Z$3&lt;Initiatives!$I$33+Initiatives!$I$47),Initiatives!$I$43/Initiatives!$I$47,0)</f>
        <v>0</v>
      </c>
    </row>
    <row r="98" customFormat="false" ht="15" hidden="false" customHeight="false" outlineLevel="0" collapsed="false">
      <c r="A98" s="4" t="s">
        <v>225</v>
      </c>
      <c r="B98" s="4" t="s">
        <v>226</v>
      </c>
      <c r="C98" s="8" t="n">
        <f aca="false">IF(Initiatives!$I$6="adoption",C96*Initiatives!$I$14+C95*Initiatives!$I$9-C97*Initiatives!$I$9,IF(Initiatives!$I$6="reprice",IF(C$3&gt;=Initiatives!$I$33,(Initiatives!$I$41*Initiatives!$I$44+Initiatives!$I$42*Initiatives!$I$20)*(1-Inputs!$C$9)^(C$3-Initiatives!$I$33),0)-C97*Initiatives!$I$9,C$5*Initiatives!$I$22*C92+C95*Inputs!$C$8))</f>
        <v>0</v>
      </c>
      <c r="D98" s="8" t="n">
        <f aca="false">IF(Initiatives!$I$6="adoption",D96*Initiatives!$I$14+D95*Initiatives!$I$9-D97*Initiatives!$I$9,IF(Initiatives!$I$6="reprice",IF(D$3&gt;=Initiatives!$I$33,(Initiatives!$I$41*Initiatives!$I$44+Initiatives!$I$42*Initiatives!$I$20)*(1-Inputs!$C$9)^(D$3-Initiatives!$I$33),0)-D97*Initiatives!$I$9,D$5*Initiatives!$I$22*D92+D95*Inputs!$C$8))</f>
        <v>0</v>
      </c>
      <c r="E98" s="8" t="n">
        <f aca="false">IF(Initiatives!$I$6="adoption",E96*Initiatives!$I$14+E95*Initiatives!$I$9-E97*Initiatives!$I$9,IF(Initiatives!$I$6="reprice",IF(E$3&gt;=Initiatives!$I$33,(Initiatives!$I$41*Initiatives!$I$44+Initiatives!$I$42*Initiatives!$I$20)*(1-Inputs!$C$9)^(E$3-Initiatives!$I$33),0)-E97*Initiatives!$I$9,E$5*Initiatives!$I$22*E92+E95*Inputs!$C$8))</f>
        <v>53222400</v>
      </c>
      <c r="F98" s="8" t="n">
        <f aca="false">IF(Initiatives!$I$6="adoption",F96*Initiatives!$I$14+F95*Initiatives!$I$9-F97*Initiatives!$I$9,IF(Initiatives!$I$6="reprice",IF(F$3&gt;=Initiatives!$I$33,(Initiatives!$I$41*Initiatives!$I$44+Initiatives!$I$42*Initiatives!$I$20)*(1-Inputs!$C$9)^(F$3-Initiatives!$I$33),0)-F97*Initiatives!$I$9,F$5*Initiatives!$I$22*F92+F95*Inputs!$C$8))</f>
        <v>106148275.2</v>
      </c>
      <c r="G98" s="8" t="n">
        <f aca="false">IF(Initiatives!$I$6="adoption",G96*Initiatives!$I$14+G95*Initiatives!$I$9-G97*Initiatives!$I$9,IF(Initiatives!$I$6="reprice",IF(G$3&gt;=Initiatives!$I$33,(Initiatives!$I$41*Initiatives!$I$44+Initiatives!$I$42*Initiatives!$I$20)*(1-Inputs!$C$9)^(G$3-Initiatives!$I$33),0)-G97*Initiatives!$I$9,G$5*Initiatives!$I$22*G92+G95*Inputs!$C$8))</f>
        <v>158776051.7376</v>
      </c>
      <c r="H98" s="8" t="n">
        <f aca="false">IF(Initiatives!$I$6="adoption",H96*Initiatives!$I$14+H95*Initiatives!$I$9-H97*Initiatives!$I$9,IF(Initiatives!$I$6="reprice",IF(H$3&gt;=Initiatives!$I$33,(Initiatives!$I$41*Initiatives!$I$44+Initiatives!$I$42*Initiatives!$I$20)*(1-Inputs!$C$9)^(H$3-Initiatives!$I$33),0)-H97*Initiatives!$I$9,H$5*Initiatives!$I$22*H92+H95*Inputs!$C$8))</f>
        <v>157881851.619149</v>
      </c>
      <c r="I98" s="8" t="n">
        <f aca="false">IF(Initiatives!$I$6="adoption",I96*Initiatives!$I$14+I95*Initiatives!$I$9-I97*Initiatives!$I$9,IF(Initiatives!$I$6="reprice",IF(I$3&gt;=Initiatives!$I$33,(Initiatives!$I$41*Initiatives!$I$44+Initiatives!$I$42*Initiatives!$I$20)*(1-Inputs!$C$9)^(I$3-Initiatives!$I$33),0)-I97*Initiatives!$I$9,I$5*Initiatives!$I$22*I92+I95*Inputs!$C$8))</f>
        <v>156983215.214583</v>
      </c>
      <c r="J98" s="8" t="n">
        <f aca="false">IF(Initiatives!$I$6="adoption",J96*Initiatives!$I$14+J95*Initiatives!$I$9-J97*Initiatives!$I$9,IF(Initiatives!$I$6="reprice",IF(J$3&gt;=Initiatives!$I$33,(Initiatives!$I$41*Initiatives!$I$44+Initiatives!$I$42*Initiatives!$I$20)*(1-Inputs!$C$9)^(J$3-Initiatives!$I$33),0)-J97*Initiatives!$I$9,J$5*Initiatives!$I$22*J92+J95*Inputs!$C$8))</f>
        <v>156080423.259649</v>
      </c>
      <c r="K98" s="8" t="n">
        <f aca="false">IF(Initiatives!$I$6="adoption",K96*Initiatives!$I$14+K95*Initiatives!$I$9-K97*Initiatives!$I$9,IF(Initiatives!$I$6="reprice",IF(K$3&gt;=Initiatives!$I$33,(Initiatives!$I$41*Initiatives!$I$44+Initiatives!$I$42*Initiatives!$I$20)*(1-Inputs!$C$9)^(K$3-Initiatives!$I$33),0)-K97*Initiatives!$I$9,K$5*Initiatives!$I$22*K92+K95*Inputs!$C$8))</f>
        <v>155173749.70876</v>
      </c>
      <c r="L98" s="8" t="n">
        <f aca="false">IF(Initiatives!$I$6="adoption",L96*Initiatives!$I$14+L95*Initiatives!$I$9-L97*Initiatives!$I$9,IF(Initiatives!$I$6="reprice",IF(L$3&gt;=Initiatives!$I$33,(Initiatives!$I$41*Initiatives!$I$44+Initiatives!$I$42*Initiatives!$I$20)*(1-Inputs!$C$9)^(L$3-Initiatives!$I$33),0)-L97*Initiatives!$I$9,L$5*Initiatives!$I$22*L92+L95*Inputs!$C$8))</f>
        <v>154263461.867558</v>
      </c>
      <c r="M98" s="8" t="n">
        <f aca="false">IF(Initiatives!$I$6="adoption",M96*Initiatives!$I$14+M95*Initiatives!$I$9-M97*Initiatives!$I$9,IF(Initiatives!$I$6="reprice",IF(M$3&gt;=Initiatives!$I$33,(Initiatives!$I$41*Initiatives!$I$44+Initiatives!$I$42*Initiatives!$I$20)*(1-Inputs!$C$9)^(M$3-Initiatives!$I$33),0)-M97*Initiatives!$I$9,M$5*Initiatives!$I$22*M92+M95*Inputs!$C$8))</f>
        <v>153349820.52312</v>
      </c>
      <c r="N98" s="8" t="n">
        <f aca="false">IF(Initiatives!$I$6="adoption",N96*Initiatives!$I$14+N95*Initiatives!$I$9-N97*Initiatives!$I$9,IF(Initiatives!$I$6="reprice",IF(N$3&gt;=Initiatives!$I$33,(Initiatives!$I$41*Initiatives!$I$44+Initiatives!$I$42*Initiatives!$I$20)*(1-Inputs!$C$9)^(N$3-Initiatives!$I$33),0)-N97*Initiatives!$I$9,N$5*Initiatives!$I$22*N92+N95*Inputs!$C$8))</f>
        <v>152433080.071847</v>
      </c>
      <c r="O98" s="8" t="n">
        <f aca="false">IF(Initiatives!$I$6="adoption",O96*Initiatives!$I$14+O95*Initiatives!$I$9-O97*Initiatives!$I$9,IF(Initiatives!$I$6="reprice",IF(O$3&gt;=Initiatives!$I$33,(Initiatives!$I$41*Initiatives!$I$44+Initiatives!$I$42*Initiatives!$I$20)*(1-Inputs!$C$9)^(O$3-Initiatives!$I$33),0)-O97*Initiatives!$I$9,O$5*Initiatives!$I$22*O92+O95*Inputs!$C$8))</f>
        <v>151513488.645064</v>
      </c>
      <c r="P98" s="8" t="n">
        <f aca="false">IF(Initiatives!$I$6="adoption",P96*Initiatives!$I$14+P95*Initiatives!$I$9-P97*Initiatives!$I$9,IF(Initiatives!$I$6="reprice",IF(P$3&gt;=Initiatives!$I$33,(Initiatives!$I$41*Initiatives!$I$44+Initiatives!$I$42*Initiatives!$I$20)*(1-Inputs!$C$9)^(P$3-Initiatives!$I$33),0)-P97*Initiatives!$I$9,P$5*Initiatives!$I$22*P92+P95*Inputs!$C$8))</f>
        <v>150591288.23239</v>
      </c>
      <c r="Q98" s="8" t="n">
        <f aca="false">IF(Initiatives!$I$6="adoption",Q96*Initiatives!$I$14+Q95*Initiatives!$I$9-Q97*Initiatives!$I$9,IF(Initiatives!$I$6="reprice",IF(Q$3&gt;=Initiatives!$I$33,(Initiatives!$I$41*Initiatives!$I$44+Initiatives!$I$42*Initiatives!$I$20)*(1-Inputs!$C$9)^(Q$3-Initiatives!$I$33),0)-Q97*Initiatives!$I$9,Q$5*Initiatives!$I$22*Q92+Q95*Inputs!$C$8))</f>
        <v>149666714.802903</v>
      </c>
      <c r="R98" s="8" t="n">
        <f aca="false">IF(Initiatives!$I$6="adoption",R96*Initiatives!$I$14+R95*Initiatives!$I$9-R97*Initiatives!$I$9,IF(Initiatives!$I$6="reprice",IF(R$3&gt;=Initiatives!$I$33,(Initiatives!$I$41*Initiatives!$I$44+Initiatives!$I$42*Initiatives!$I$20)*(1-Inputs!$C$9)^(R$3-Initiatives!$I$33),0)-R97*Initiatives!$I$9,R$5*Initiatives!$I$22*R92+R95*Inputs!$C$8))</f>
        <v>148739998.424131</v>
      </c>
      <c r="S98" s="8" t="n">
        <f aca="false">IF(Initiatives!$I$6="adoption",S96*Initiatives!$I$14+S95*Initiatives!$I$9-S97*Initiatives!$I$9,IF(Initiatives!$I$6="reprice",IF(S$3&gt;=Initiatives!$I$33,(Initiatives!$I$41*Initiatives!$I$44+Initiatives!$I$42*Initiatives!$I$20)*(1-Inputs!$C$9)^(S$3-Initiatives!$I$33),0)-S97*Initiatives!$I$9,S$5*Initiatives!$I$22*S92+S95*Inputs!$C$8))</f>
        <v>147811363.37892</v>
      </c>
      <c r="T98" s="8" t="n">
        <f aca="false">IF(Initiatives!$I$6="adoption",T96*Initiatives!$I$14+T95*Initiatives!$I$9-T97*Initiatives!$I$9,IF(Initiatives!$I$6="reprice",IF(T$3&gt;=Initiatives!$I$33,(Initiatives!$I$41*Initiatives!$I$44+Initiatives!$I$42*Initiatives!$I$20)*(1-Inputs!$C$9)^(T$3-Initiatives!$I$33),0)-T97*Initiatives!$I$9,T$5*Initiatives!$I$22*T92+T95*Inputs!$C$8))</f>
        <v>146881028.280214</v>
      </c>
      <c r="U98" s="8" t="n">
        <f aca="false">IF(Initiatives!$I$6="adoption",U96*Initiatives!$I$14+U95*Initiatives!$I$9-U97*Initiatives!$I$9,IF(Initiatives!$I$6="reprice",IF(U$3&gt;=Initiatives!$I$33,(Initiatives!$I$41*Initiatives!$I$44+Initiatives!$I$42*Initiatives!$I$20)*(1-Inputs!$C$9)^(U$3-Initiatives!$I$33),0)-U97*Initiatives!$I$9,U$5*Initiatives!$I$22*U92+U95*Inputs!$C$8))</f>
        <v>145949206.183765</v>
      </c>
      <c r="V98" s="8" t="n">
        <f aca="false">IF(Initiatives!$I$6="adoption",V96*Initiatives!$I$14+V95*Initiatives!$I$9-V97*Initiatives!$I$9,IF(Initiatives!$I$6="reprice",IF(V$3&gt;=Initiatives!$I$33,(Initiatives!$I$41*Initiatives!$I$44+Initiatives!$I$42*Initiatives!$I$20)*(1-Inputs!$C$9)^(V$3-Initiatives!$I$33),0)-V97*Initiatives!$I$9,V$5*Initiatives!$I$22*V92+V95*Inputs!$C$8))</f>
        <v>145016104.698829</v>
      </c>
      <c r="W98" s="8" t="n">
        <f aca="false">IF(Initiatives!$I$6="adoption",W96*Initiatives!$I$14+W95*Initiatives!$I$9-W97*Initiatives!$I$9,IF(Initiatives!$I$6="reprice",IF(W$3&gt;=Initiatives!$I$33,(Initiatives!$I$41*Initiatives!$I$44+Initiatives!$I$42*Initiatives!$I$20)*(1-Inputs!$C$9)^(W$3-Initiatives!$I$33),0)-W97*Initiatives!$I$9,W$5*Initiatives!$I$22*W92+W95*Inputs!$C$8))</f>
        <v>144081926.096874</v>
      </c>
      <c r="X98" s="8" t="n">
        <f aca="false">IF(Initiatives!$I$6="adoption",X96*Initiatives!$I$14+X95*Initiatives!$I$9-X97*Initiatives!$I$9,IF(Initiatives!$I$6="reprice",IF(X$3&gt;=Initiatives!$I$33,(Initiatives!$I$41*Initiatives!$I$44+Initiatives!$I$42*Initiatives!$I$20)*(1-Inputs!$C$9)^(X$3-Initiatives!$I$33),0)-X97*Initiatives!$I$9,X$5*Initiatives!$I$22*X92+X95*Inputs!$C$8))</f>
        <v>143146867.418326</v>
      </c>
      <c r="Y98" s="8" t="n">
        <f aca="false">IF(Initiatives!$I$6="adoption",Y96*Initiatives!$I$14+Y95*Initiatives!$I$9-Y97*Initiatives!$I$9,IF(Initiatives!$I$6="reprice",IF(Y$3&gt;=Initiatives!$I$33,(Initiatives!$I$41*Initiatives!$I$44+Initiatives!$I$42*Initiatives!$I$20)*(1-Inputs!$C$9)^(Y$3-Initiatives!$I$33),0)-Y97*Initiatives!$I$9,Y$5*Initiatives!$I$22*Y92+Y95*Inputs!$C$8))</f>
        <v>142211120.577401</v>
      </c>
      <c r="Z98" s="8" t="n">
        <f aca="false">IF(Initiatives!$I$6="adoption",Z96*Initiatives!$I$14+Z95*Initiatives!$I$9-Z97*Initiatives!$I$9,IF(Initiatives!$I$6="reprice",IF(Z$3&gt;=Initiatives!$I$33,(Initiatives!$I$41*Initiatives!$I$44+Initiatives!$I$42*Initiatives!$I$20)*(1-Inputs!$C$9)^(Z$3-Initiatives!$I$33),0)-Z97*Initiatives!$I$9,Z$5*Initiatives!$I$22*Z92+Z95*Inputs!$C$8))</f>
        <v>141274872.465045</v>
      </c>
    </row>
    <row r="99" customFormat="false" ht="15" hidden="false" customHeight="false" outlineLevel="0" collapsed="false">
      <c r="A99" s="4" t="s">
        <v>227</v>
      </c>
      <c r="B99" s="4" t="s">
        <v>228</v>
      </c>
      <c r="C99" s="8" t="n">
        <f aca="false">C96*Initiatives!$I$24*Initiatives!$I$25</f>
        <v>0</v>
      </c>
      <c r="D99" s="8" t="n">
        <f aca="false">D96*Initiatives!$I$24*Initiatives!$I$25</f>
        <v>0</v>
      </c>
      <c r="E99" s="8" t="n">
        <f aca="false">E96*Initiatives!$I$24*Initiatives!$I$25</f>
        <v>0</v>
      </c>
      <c r="F99" s="8" t="n">
        <f aca="false">F96*Initiatives!$I$24*Initiatives!$I$25</f>
        <v>0</v>
      </c>
      <c r="G99" s="8" t="n">
        <f aca="false">G96*Initiatives!$I$24*Initiatives!$I$25</f>
        <v>0</v>
      </c>
      <c r="H99" s="8" t="n">
        <f aca="false">H96*Initiatives!$I$24*Initiatives!$I$25</f>
        <v>0</v>
      </c>
      <c r="I99" s="8" t="n">
        <f aca="false">I96*Initiatives!$I$24*Initiatives!$I$25</f>
        <v>0</v>
      </c>
      <c r="J99" s="8" t="n">
        <f aca="false">J96*Initiatives!$I$24*Initiatives!$I$25</f>
        <v>0</v>
      </c>
      <c r="K99" s="8" t="n">
        <f aca="false">K96*Initiatives!$I$24*Initiatives!$I$25</f>
        <v>0</v>
      </c>
      <c r="L99" s="8" t="n">
        <f aca="false">L96*Initiatives!$I$24*Initiatives!$I$25</f>
        <v>0</v>
      </c>
      <c r="M99" s="8" t="n">
        <f aca="false">M96*Initiatives!$I$24*Initiatives!$I$25</f>
        <v>0</v>
      </c>
      <c r="N99" s="8" t="n">
        <f aca="false">N96*Initiatives!$I$24*Initiatives!$I$25</f>
        <v>0</v>
      </c>
      <c r="O99" s="8" t="n">
        <f aca="false">O96*Initiatives!$I$24*Initiatives!$I$25</f>
        <v>0</v>
      </c>
      <c r="P99" s="8" t="n">
        <f aca="false">P96*Initiatives!$I$24*Initiatives!$I$25</f>
        <v>0</v>
      </c>
      <c r="Q99" s="8" t="n">
        <f aca="false">Q96*Initiatives!$I$24*Initiatives!$I$25</f>
        <v>0</v>
      </c>
      <c r="R99" s="8" t="n">
        <f aca="false">R96*Initiatives!$I$24*Initiatives!$I$25</f>
        <v>0</v>
      </c>
      <c r="S99" s="8" t="n">
        <f aca="false">S96*Initiatives!$I$24*Initiatives!$I$25</f>
        <v>0</v>
      </c>
      <c r="T99" s="8" t="n">
        <f aca="false">T96*Initiatives!$I$24*Initiatives!$I$25</f>
        <v>0</v>
      </c>
      <c r="U99" s="8" t="n">
        <f aca="false">U96*Initiatives!$I$24*Initiatives!$I$25</f>
        <v>0</v>
      </c>
      <c r="V99" s="8" t="n">
        <f aca="false">V96*Initiatives!$I$24*Initiatives!$I$25</f>
        <v>0</v>
      </c>
      <c r="W99" s="8" t="n">
        <f aca="false">W96*Initiatives!$I$24*Initiatives!$I$25</f>
        <v>0</v>
      </c>
      <c r="X99" s="8" t="n">
        <f aca="false">X96*Initiatives!$I$24*Initiatives!$I$25</f>
        <v>0</v>
      </c>
      <c r="Y99" s="8" t="n">
        <f aca="false">Y96*Initiatives!$I$24*Initiatives!$I$25</f>
        <v>0</v>
      </c>
      <c r="Z99" s="8" t="n">
        <f aca="false">Z96*Initiatives!$I$24*Initiatives!$I$25</f>
        <v>0</v>
      </c>
    </row>
    <row r="100" customFormat="false" ht="15" hidden="false" customHeight="false" outlineLevel="0" collapsed="false">
      <c r="A100" s="4" t="s">
        <v>229</v>
      </c>
      <c r="B100" s="4" t="s">
        <v>230</v>
      </c>
      <c r="C100" s="8" t="n">
        <f aca="false">IF(C$3&lt;=Initiatives!$I$46,Initiatives!$I$29/Initiatives!$I$46,0)+IF(C$3&gt;=Initiatives!$I$33,Initiatives!$I$30,0)+IF(C$3=Initiatives!$I$33,Initiatives!$I$39*Initiatives!$I$26,0)+C94*Initiatives!$I$27+C96*Initiatives!$I$28+IF(AND(Initiatives!$I$6="reprice",C$3&gt;=Initiatives!$I$33),Initiatives!$I$41*Initiatives!$I$21*(1-Inputs!$C$9)^(C$3-Initiatives!$I$33)-Initiatives!$I$31,0)</f>
        <v>75000000</v>
      </c>
      <c r="D100" s="8" t="n">
        <f aca="false">IF(D$3&lt;=Initiatives!$I$46,Initiatives!$I$29/Initiatives!$I$46,0)+IF(D$3&gt;=Initiatives!$I$33,Initiatives!$I$30,0)+IF(D$3=Initiatives!$I$33,Initiatives!$I$39*Initiatives!$I$26,0)+D94*Initiatives!$I$27+D96*Initiatives!$I$28+IF(AND(Initiatives!$I$6="reprice",D$3&gt;=Initiatives!$I$33),Initiatives!$I$41*Initiatives!$I$21*(1-Inputs!$C$9)^(D$3-Initiatives!$I$33)-Initiatives!$I$31,0)</f>
        <v>75000000</v>
      </c>
      <c r="E100" s="8" t="n">
        <f aca="false">IF(E$3&lt;=Initiatives!$I$46,Initiatives!$I$29/Initiatives!$I$46,0)+IF(E$3&gt;=Initiatives!$I$33,Initiatives!$I$30,0)+IF(E$3=Initiatives!$I$33,Initiatives!$I$39*Initiatives!$I$26,0)+E94*Initiatives!$I$27+E96*Initiatives!$I$28+IF(AND(Initiatives!$I$6="reprice",E$3&gt;=Initiatives!$I$33),Initiatives!$I$41*Initiatives!$I$21*(1-Inputs!$C$9)^(E$3-Initiatives!$I$33)-Initiatives!$I$31,0)</f>
        <v>35344000</v>
      </c>
      <c r="F100" s="8" t="n">
        <f aca="false">IF(F$3&lt;=Initiatives!$I$46,Initiatives!$I$29/Initiatives!$I$46,0)+IF(F$3&gt;=Initiatives!$I$33,Initiatives!$I$30,0)+IF(F$3=Initiatives!$I$33,Initiatives!$I$39*Initiatives!$I$26,0)+F94*Initiatives!$I$27+F96*Initiatives!$I$28+IF(AND(Initiatives!$I$6="reprice",F$3&gt;=Initiatives!$I$33),Initiatives!$I$41*Initiatives!$I$21*(1-Inputs!$C$9)^(F$3-Initiatives!$I$33)-Initiatives!$I$31,0)</f>
        <v>10000000</v>
      </c>
      <c r="G100" s="8" t="n">
        <f aca="false">IF(G$3&lt;=Initiatives!$I$46,Initiatives!$I$29/Initiatives!$I$46,0)+IF(G$3&gt;=Initiatives!$I$33,Initiatives!$I$30,0)+IF(G$3=Initiatives!$I$33,Initiatives!$I$39*Initiatives!$I$26,0)+G94*Initiatives!$I$27+G96*Initiatives!$I$28+IF(AND(Initiatives!$I$6="reprice",G$3&gt;=Initiatives!$I$33),Initiatives!$I$41*Initiatives!$I$21*(1-Inputs!$C$9)^(G$3-Initiatives!$I$33)-Initiatives!$I$31,0)</f>
        <v>10000000</v>
      </c>
      <c r="H100" s="8" t="n">
        <f aca="false">IF(H$3&lt;=Initiatives!$I$46,Initiatives!$I$29/Initiatives!$I$46,0)+IF(H$3&gt;=Initiatives!$I$33,Initiatives!$I$30,0)+IF(H$3=Initiatives!$I$33,Initiatives!$I$39*Initiatives!$I$26,0)+H94*Initiatives!$I$27+H96*Initiatives!$I$28+IF(AND(Initiatives!$I$6="reprice",H$3&gt;=Initiatives!$I$33),Initiatives!$I$41*Initiatives!$I$21*(1-Inputs!$C$9)^(H$3-Initiatives!$I$33)-Initiatives!$I$31,0)</f>
        <v>10000000</v>
      </c>
      <c r="I100" s="8" t="n">
        <f aca="false">IF(I$3&lt;=Initiatives!$I$46,Initiatives!$I$29/Initiatives!$I$46,0)+IF(I$3&gt;=Initiatives!$I$33,Initiatives!$I$30,0)+IF(I$3=Initiatives!$I$33,Initiatives!$I$39*Initiatives!$I$26,0)+I94*Initiatives!$I$27+I96*Initiatives!$I$28+IF(AND(Initiatives!$I$6="reprice",I$3&gt;=Initiatives!$I$33),Initiatives!$I$41*Initiatives!$I$21*(1-Inputs!$C$9)^(I$3-Initiatives!$I$33)-Initiatives!$I$31,0)</f>
        <v>10000000</v>
      </c>
      <c r="J100" s="8" t="n">
        <f aca="false">IF(J$3&lt;=Initiatives!$I$46,Initiatives!$I$29/Initiatives!$I$46,0)+IF(J$3&gt;=Initiatives!$I$33,Initiatives!$I$30,0)+IF(J$3=Initiatives!$I$33,Initiatives!$I$39*Initiatives!$I$26,0)+J94*Initiatives!$I$27+J96*Initiatives!$I$28+IF(AND(Initiatives!$I$6="reprice",J$3&gt;=Initiatives!$I$33),Initiatives!$I$41*Initiatives!$I$21*(1-Inputs!$C$9)^(J$3-Initiatives!$I$33)-Initiatives!$I$31,0)</f>
        <v>10000000</v>
      </c>
      <c r="K100" s="8" t="n">
        <f aca="false">IF(K$3&lt;=Initiatives!$I$46,Initiatives!$I$29/Initiatives!$I$46,0)+IF(K$3&gt;=Initiatives!$I$33,Initiatives!$I$30,0)+IF(K$3=Initiatives!$I$33,Initiatives!$I$39*Initiatives!$I$26,0)+K94*Initiatives!$I$27+K96*Initiatives!$I$28+IF(AND(Initiatives!$I$6="reprice",K$3&gt;=Initiatives!$I$33),Initiatives!$I$41*Initiatives!$I$21*(1-Inputs!$C$9)^(K$3-Initiatives!$I$33)-Initiatives!$I$31,0)</f>
        <v>10000000</v>
      </c>
      <c r="L100" s="8" t="n">
        <f aca="false">IF(L$3&lt;=Initiatives!$I$46,Initiatives!$I$29/Initiatives!$I$46,0)+IF(L$3&gt;=Initiatives!$I$33,Initiatives!$I$30,0)+IF(L$3=Initiatives!$I$33,Initiatives!$I$39*Initiatives!$I$26,0)+L94*Initiatives!$I$27+L96*Initiatives!$I$28+IF(AND(Initiatives!$I$6="reprice",L$3&gt;=Initiatives!$I$33),Initiatives!$I$41*Initiatives!$I$21*(1-Inputs!$C$9)^(L$3-Initiatives!$I$33)-Initiatives!$I$31,0)</f>
        <v>10000000</v>
      </c>
      <c r="M100" s="8" t="n">
        <f aca="false">IF(M$3&lt;=Initiatives!$I$46,Initiatives!$I$29/Initiatives!$I$46,0)+IF(M$3&gt;=Initiatives!$I$33,Initiatives!$I$30,0)+IF(M$3=Initiatives!$I$33,Initiatives!$I$39*Initiatives!$I$26,0)+M94*Initiatives!$I$27+M96*Initiatives!$I$28+IF(AND(Initiatives!$I$6="reprice",M$3&gt;=Initiatives!$I$33),Initiatives!$I$41*Initiatives!$I$21*(1-Inputs!$C$9)^(M$3-Initiatives!$I$33)-Initiatives!$I$31,0)</f>
        <v>10000000</v>
      </c>
      <c r="N100" s="8" t="n">
        <f aca="false">IF(N$3&lt;=Initiatives!$I$46,Initiatives!$I$29/Initiatives!$I$46,0)+IF(N$3&gt;=Initiatives!$I$33,Initiatives!$I$30,0)+IF(N$3=Initiatives!$I$33,Initiatives!$I$39*Initiatives!$I$26,0)+N94*Initiatives!$I$27+N96*Initiatives!$I$28+IF(AND(Initiatives!$I$6="reprice",N$3&gt;=Initiatives!$I$33),Initiatives!$I$41*Initiatives!$I$21*(1-Inputs!$C$9)^(N$3-Initiatives!$I$33)-Initiatives!$I$31,0)</f>
        <v>10000000</v>
      </c>
      <c r="O100" s="8" t="n">
        <f aca="false">IF(O$3&lt;=Initiatives!$I$46,Initiatives!$I$29/Initiatives!$I$46,0)+IF(O$3&gt;=Initiatives!$I$33,Initiatives!$I$30,0)+IF(O$3=Initiatives!$I$33,Initiatives!$I$39*Initiatives!$I$26,0)+O94*Initiatives!$I$27+O96*Initiatives!$I$28+IF(AND(Initiatives!$I$6="reprice",O$3&gt;=Initiatives!$I$33),Initiatives!$I$41*Initiatives!$I$21*(1-Inputs!$C$9)^(O$3-Initiatives!$I$33)-Initiatives!$I$31,0)</f>
        <v>10000000</v>
      </c>
      <c r="P100" s="8" t="n">
        <f aca="false">IF(P$3&lt;=Initiatives!$I$46,Initiatives!$I$29/Initiatives!$I$46,0)+IF(P$3&gt;=Initiatives!$I$33,Initiatives!$I$30,0)+IF(P$3=Initiatives!$I$33,Initiatives!$I$39*Initiatives!$I$26,0)+P94*Initiatives!$I$27+P96*Initiatives!$I$28+IF(AND(Initiatives!$I$6="reprice",P$3&gt;=Initiatives!$I$33),Initiatives!$I$41*Initiatives!$I$21*(1-Inputs!$C$9)^(P$3-Initiatives!$I$33)-Initiatives!$I$31,0)</f>
        <v>10000000</v>
      </c>
      <c r="Q100" s="8" t="n">
        <f aca="false">IF(Q$3&lt;=Initiatives!$I$46,Initiatives!$I$29/Initiatives!$I$46,0)+IF(Q$3&gt;=Initiatives!$I$33,Initiatives!$I$30,0)+IF(Q$3=Initiatives!$I$33,Initiatives!$I$39*Initiatives!$I$26,0)+Q94*Initiatives!$I$27+Q96*Initiatives!$I$28+IF(AND(Initiatives!$I$6="reprice",Q$3&gt;=Initiatives!$I$33),Initiatives!$I$41*Initiatives!$I$21*(1-Inputs!$C$9)^(Q$3-Initiatives!$I$33)-Initiatives!$I$31,0)</f>
        <v>10000000</v>
      </c>
      <c r="R100" s="8" t="n">
        <f aca="false">IF(R$3&lt;=Initiatives!$I$46,Initiatives!$I$29/Initiatives!$I$46,0)+IF(R$3&gt;=Initiatives!$I$33,Initiatives!$I$30,0)+IF(R$3=Initiatives!$I$33,Initiatives!$I$39*Initiatives!$I$26,0)+R94*Initiatives!$I$27+R96*Initiatives!$I$28+IF(AND(Initiatives!$I$6="reprice",R$3&gt;=Initiatives!$I$33),Initiatives!$I$41*Initiatives!$I$21*(1-Inputs!$C$9)^(R$3-Initiatives!$I$33)-Initiatives!$I$31,0)</f>
        <v>10000000</v>
      </c>
      <c r="S100" s="8" t="n">
        <f aca="false">IF(S$3&lt;=Initiatives!$I$46,Initiatives!$I$29/Initiatives!$I$46,0)+IF(S$3&gt;=Initiatives!$I$33,Initiatives!$I$30,0)+IF(S$3=Initiatives!$I$33,Initiatives!$I$39*Initiatives!$I$26,0)+S94*Initiatives!$I$27+S96*Initiatives!$I$28+IF(AND(Initiatives!$I$6="reprice",S$3&gt;=Initiatives!$I$33),Initiatives!$I$41*Initiatives!$I$21*(1-Inputs!$C$9)^(S$3-Initiatives!$I$33)-Initiatives!$I$31,0)</f>
        <v>10000000</v>
      </c>
      <c r="T100" s="8" t="n">
        <f aca="false">IF(T$3&lt;=Initiatives!$I$46,Initiatives!$I$29/Initiatives!$I$46,0)+IF(T$3&gt;=Initiatives!$I$33,Initiatives!$I$30,0)+IF(T$3=Initiatives!$I$33,Initiatives!$I$39*Initiatives!$I$26,0)+T94*Initiatives!$I$27+T96*Initiatives!$I$28+IF(AND(Initiatives!$I$6="reprice",T$3&gt;=Initiatives!$I$33),Initiatives!$I$41*Initiatives!$I$21*(1-Inputs!$C$9)^(T$3-Initiatives!$I$33)-Initiatives!$I$31,0)</f>
        <v>10000000</v>
      </c>
      <c r="U100" s="8" t="n">
        <f aca="false">IF(U$3&lt;=Initiatives!$I$46,Initiatives!$I$29/Initiatives!$I$46,0)+IF(U$3&gt;=Initiatives!$I$33,Initiatives!$I$30,0)+IF(U$3=Initiatives!$I$33,Initiatives!$I$39*Initiatives!$I$26,0)+U94*Initiatives!$I$27+U96*Initiatives!$I$28+IF(AND(Initiatives!$I$6="reprice",U$3&gt;=Initiatives!$I$33),Initiatives!$I$41*Initiatives!$I$21*(1-Inputs!$C$9)^(U$3-Initiatives!$I$33)-Initiatives!$I$31,0)</f>
        <v>10000000</v>
      </c>
      <c r="V100" s="8" t="n">
        <f aca="false">IF(V$3&lt;=Initiatives!$I$46,Initiatives!$I$29/Initiatives!$I$46,0)+IF(V$3&gt;=Initiatives!$I$33,Initiatives!$I$30,0)+IF(V$3=Initiatives!$I$33,Initiatives!$I$39*Initiatives!$I$26,0)+V94*Initiatives!$I$27+V96*Initiatives!$I$28+IF(AND(Initiatives!$I$6="reprice",V$3&gt;=Initiatives!$I$33),Initiatives!$I$41*Initiatives!$I$21*(1-Inputs!$C$9)^(V$3-Initiatives!$I$33)-Initiatives!$I$31,0)</f>
        <v>10000000</v>
      </c>
      <c r="W100" s="8" t="n">
        <f aca="false">IF(W$3&lt;=Initiatives!$I$46,Initiatives!$I$29/Initiatives!$I$46,0)+IF(W$3&gt;=Initiatives!$I$33,Initiatives!$I$30,0)+IF(W$3=Initiatives!$I$33,Initiatives!$I$39*Initiatives!$I$26,0)+W94*Initiatives!$I$27+W96*Initiatives!$I$28+IF(AND(Initiatives!$I$6="reprice",W$3&gt;=Initiatives!$I$33),Initiatives!$I$41*Initiatives!$I$21*(1-Inputs!$C$9)^(W$3-Initiatives!$I$33)-Initiatives!$I$31,0)</f>
        <v>10000000</v>
      </c>
      <c r="X100" s="8" t="n">
        <f aca="false">IF(X$3&lt;=Initiatives!$I$46,Initiatives!$I$29/Initiatives!$I$46,0)+IF(X$3&gt;=Initiatives!$I$33,Initiatives!$I$30,0)+IF(X$3=Initiatives!$I$33,Initiatives!$I$39*Initiatives!$I$26,0)+X94*Initiatives!$I$27+X96*Initiatives!$I$28+IF(AND(Initiatives!$I$6="reprice",X$3&gt;=Initiatives!$I$33),Initiatives!$I$41*Initiatives!$I$21*(1-Inputs!$C$9)^(X$3-Initiatives!$I$33)-Initiatives!$I$31,0)</f>
        <v>10000000</v>
      </c>
      <c r="Y100" s="8" t="n">
        <f aca="false">IF(Y$3&lt;=Initiatives!$I$46,Initiatives!$I$29/Initiatives!$I$46,0)+IF(Y$3&gt;=Initiatives!$I$33,Initiatives!$I$30,0)+IF(Y$3=Initiatives!$I$33,Initiatives!$I$39*Initiatives!$I$26,0)+Y94*Initiatives!$I$27+Y96*Initiatives!$I$28+IF(AND(Initiatives!$I$6="reprice",Y$3&gt;=Initiatives!$I$33),Initiatives!$I$41*Initiatives!$I$21*(1-Inputs!$C$9)^(Y$3-Initiatives!$I$33)-Initiatives!$I$31,0)</f>
        <v>10000000</v>
      </c>
      <c r="Z100" s="8" t="n">
        <f aca="false">IF(Z$3&lt;=Initiatives!$I$46,Initiatives!$I$29/Initiatives!$I$46,0)+IF(Z$3&gt;=Initiatives!$I$33,Initiatives!$I$30,0)+IF(Z$3=Initiatives!$I$33,Initiatives!$I$39*Initiatives!$I$26,0)+Z94*Initiatives!$I$27+Z96*Initiatives!$I$28+IF(AND(Initiatives!$I$6="reprice",Z$3&gt;=Initiatives!$I$33),Initiatives!$I$41*Initiatives!$I$21*(1-Inputs!$C$9)^(Z$3-Initiatives!$I$33)-Initiatives!$I$31,0)</f>
        <v>10000000</v>
      </c>
    </row>
    <row r="101" customFormat="false" ht="15" hidden="false" customHeight="false" outlineLevel="0" collapsed="false">
      <c r="A101" s="4" t="s">
        <v>231</v>
      </c>
      <c r="B101" s="4" t="s">
        <v>232</v>
      </c>
      <c r="C101" s="8" t="n">
        <f aca="false">(C98+C99)*Initiatives!$I$32-C100</f>
        <v>-75000000</v>
      </c>
      <c r="D101" s="8" t="n">
        <f aca="false">(D98+D99)*Initiatives!$I$32-D100</f>
        <v>-75000000</v>
      </c>
      <c r="E101" s="8" t="n">
        <f aca="false">(E98+E99)*Initiatives!$I$32-E100</f>
        <v>-3410560.00000001</v>
      </c>
      <c r="F101" s="8" t="n">
        <f aca="false">(F98+F99)*Initiatives!$I$32-F100</f>
        <v>53688965.12</v>
      </c>
      <c r="G101" s="8" t="n">
        <f aca="false">(G98+G99)*Initiatives!$I$32-G100</f>
        <v>85265631.04256</v>
      </c>
      <c r="H101" s="8" t="n">
        <f aca="false">(H98+H99)*Initiatives!$I$32-H100</f>
        <v>84729110.9714893</v>
      </c>
      <c r="I101" s="8" t="n">
        <f aca="false">(I98+I99)*Initiatives!$I$32-I100</f>
        <v>84189929.1287498</v>
      </c>
      <c r="J101" s="8" t="n">
        <f aca="false">(J98+J99)*Initiatives!$I$32-J100</f>
        <v>83648253.9557894</v>
      </c>
      <c r="K101" s="8" t="n">
        <f aca="false">(K98+K99)*Initiatives!$I$32-K100</f>
        <v>83104249.8252558</v>
      </c>
      <c r="L101" s="8" t="n">
        <f aca="false">(L98+L99)*Initiatives!$I$32-L100</f>
        <v>82558077.1205346</v>
      </c>
      <c r="M101" s="8" t="n">
        <f aca="false">(M98+M99)*Initiatives!$I$32-M100</f>
        <v>82009892.3138722</v>
      </c>
      <c r="N101" s="8" t="n">
        <f aca="false">(N98+N99)*Initiatives!$I$32-N100</f>
        <v>81459848.0431081</v>
      </c>
      <c r="O101" s="8" t="n">
        <f aca="false">(O98+O99)*Initiatives!$I$32-O100</f>
        <v>80908093.1870381</v>
      </c>
      <c r="P101" s="8" t="n">
        <f aca="false">(P98+P99)*Initiatives!$I$32-P100</f>
        <v>80354772.9394342</v>
      </c>
      <c r="Q101" s="8" t="n">
        <f aca="false">(Q98+Q99)*Initiatives!$I$32-Q100</f>
        <v>79800028.881742</v>
      </c>
      <c r="R101" s="8" t="n">
        <f aca="false">(R98+R99)*Initiatives!$I$32-R100</f>
        <v>79243999.0544783</v>
      </c>
      <c r="S101" s="8" t="n">
        <f aca="false">(S98+S99)*Initiatives!$I$32-S100</f>
        <v>78686818.0273521</v>
      </c>
      <c r="T101" s="8" t="n">
        <f aca="false">(T98+T99)*Initiatives!$I$32-T100</f>
        <v>78128616.9681285</v>
      </c>
      <c r="U101" s="8" t="n">
        <f aca="false">(U98+U99)*Initiatives!$I$32-U100</f>
        <v>77569523.710259</v>
      </c>
      <c r="V101" s="8" t="n">
        <f aca="false">(V98+V99)*Initiatives!$I$32-V100</f>
        <v>77009662.8192976</v>
      </c>
      <c r="W101" s="8" t="n">
        <f aca="false">(W98+W99)*Initiatives!$I$32-W100</f>
        <v>76449155.6581244</v>
      </c>
      <c r="X101" s="8" t="n">
        <f aca="false">(X98+X99)*Initiatives!$I$32-X100</f>
        <v>75888120.4509955</v>
      </c>
      <c r="Y101" s="8" t="n">
        <f aca="false">(Y98+Y99)*Initiatives!$I$32-Y100</f>
        <v>75326672.3464405</v>
      </c>
      <c r="Z101" s="8" t="n">
        <f aca="false">(Z98+Z99)*Initiatives!$I$32-Z100</f>
        <v>74764923.4790273</v>
      </c>
    </row>
    <row r="102" customFormat="false" ht="15" hidden="false" customHeight="false" outlineLevel="0" collapsed="false">
      <c r="A102" s="4" t="s">
        <v>233</v>
      </c>
      <c r="B102" s="4" t="s">
        <v>234</v>
      </c>
      <c r="C102" s="8" t="n">
        <f aca="false">C95-C97</f>
        <v>0</v>
      </c>
      <c r="D102" s="8" t="n">
        <f aca="false">D95-D97</f>
        <v>0</v>
      </c>
      <c r="E102" s="8" t="n">
        <f aca="false">E95-E97</f>
        <v>0</v>
      </c>
      <c r="F102" s="8" t="n">
        <f aca="false">F95-F97</f>
        <v>22.8096</v>
      </c>
      <c r="G102" s="8" t="n">
        <f aca="false">G95-G97</f>
        <v>67.8129408</v>
      </c>
      <c r="H102" s="8" t="n">
        <f aca="false">H95-H97</f>
        <v>134.4066856704</v>
      </c>
      <c r="I102" s="8" t="n">
        <f aca="false">I95-I97</f>
        <v>199.190193099955</v>
      </c>
      <c r="J102" s="8" t="n">
        <f aca="false">J95-J97</f>
        <v>262.200352625492</v>
      </c>
      <c r="K102" s="8" t="n">
        <f aca="false">K95-K97</f>
        <v>323.473383609081</v>
      </c>
      <c r="L102" s="8" t="n">
        <f aca="false">L95-L97</f>
        <v>383.04484669264</v>
      </c>
      <c r="M102" s="8" t="n">
        <f aca="false">M95-M97</f>
        <v>440.949655063894</v>
      </c>
      <c r="N102" s="8" t="n">
        <f aca="false">N95-N97</f>
        <v>497.22208553672</v>
      </c>
      <c r="O102" s="8" t="n">
        <f aca="false">O95-O97</f>
        <v>551.895789448867</v>
      </c>
      <c r="P102" s="8" t="n">
        <f aca="false">P95-P97</f>
        <v>605.00380337999</v>
      </c>
      <c r="Q102" s="8" t="n">
        <f aca="false">Q95-Q97</f>
        <v>656.578559692872</v>
      </c>
      <c r="R102" s="8" t="n">
        <f aca="false">R95-R97</f>
        <v>706.651896900697</v>
      </c>
      <c r="S102" s="8" t="n">
        <f aca="false">S95-S97</f>
        <v>755.255069863167</v>
      </c>
      <c r="T102" s="8" t="n">
        <f aca="false">T95-T97</f>
        <v>802.418759814208</v>
      </c>
      <c r="U102" s="8" t="n">
        <f aca="false">U95-U97</f>
        <v>848.173084223995</v>
      </c>
      <c r="V102" s="8" t="n">
        <f aca="false">V95-V97</f>
        <v>892.547606497951</v>
      </c>
      <c r="W102" s="8" t="n">
        <f aca="false">W95-W97</f>
        <v>935.571345515351</v>
      </c>
      <c r="X102" s="8" t="n">
        <f aca="false">X95-X97</f>
        <v>977.272785010111</v>
      </c>
      <c r="Y102" s="8" t="n">
        <f aca="false">Y95-Y97</f>
        <v>1017.67988279632</v>
      </c>
      <c r="Z102" s="8" t="n">
        <f aca="false">Z95-Z97</f>
        <v>1056.820079841</v>
      </c>
    </row>
    <row r="103" customFormat="false" ht="15" hidden="false" customHeight="false" outlineLevel="0" collapsed="false">
      <c r="A103" s="4" t="s">
        <v>235</v>
      </c>
      <c r="B103" s="4" t="s">
        <v>236</v>
      </c>
      <c r="C103" s="8" t="n">
        <f aca="false">C96*Initiatives!$I$24</f>
        <v>0</v>
      </c>
      <c r="D103" s="8" t="n">
        <f aca="false">D96*Initiatives!$I$24</f>
        <v>0</v>
      </c>
      <c r="E103" s="8" t="n">
        <f aca="false">E96*Initiatives!$I$24</f>
        <v>0</v>
      </c>
      <c r="F103" s="8" t="n">
        <f aca="false">F96*Initiatives!$I$24</f>
        <v>0</v>
      </c>
      <c r="G103" s="8" t="n">
        <f aca="false">G96*Initiatives!$I$24</f>
        <v>0</v>
      </c>
      <c r="H103" s="8" t="n">
        <f aca="false">H96*Initiatives!$I$24</f>
        <v>0</v>
      </c>
      <c r="I103" s="8" t="n">
        <f aca="false">I96*Initiatives!$I$24</f>
        <v>0</v>
      </c>
      <c r="J103" s="8" t="n">
        <f aca="false">J96*Initiatives!$I$24</f>
        <v>0</v>
      </c>
      <c r="K103" s="8" t="n">
        <f aca="false">K96*Initiatives!$I$24</f>
        <v>0</v>
      </c>
      <c r="L103" s="8" t="n">
        <f aca="false">L96*Initiatives!$I$24</f>
        <v>0</v>
      </c>
      <c r="M103" s="8" t="n">
        <f aca="false">M96*Initiatives!$I$24</f>
        <v>0</v>
      </c>
      <c r="N103" s="8" t="n">
        <f aca="false">N96*Initiatives!$I$24</f>
        <v>0</v>
      </c>
      <c r="O103" s="8" t="n">
        <f aca="false">O96*Initiatives!$I$24</f>
        <v>0</v>
      </c>
      <c r="P103" s="8" t="n">
        <f aca="false">P96*Initiatives!$I$24</f>
        <v>0</v>
      </c>
      <c r="Q103" s="8" t="n">
        <f aca="false">Q96*Initiatives!$I$24</f>
        <v>0</v>
      </c>
      <c r="R103" s="8" t="n">
        <f aca="false">R96*Initiatives!$I$24</f>
        <v>0</v>
      </c>
      <c r="S103" s="8" t="n">
        <f aca="false">S96*Initiatives!$I$24</f>
        <v>0</v>
      </c>
      <c r="T103" s="8" t="n">
        <f aca="false">T96*Initiatives!$I$24</f>
        <v>0</v>
      </c>
      <c r="U103" s="8" t="n">
        <f aca="false">U96*Initiatives!$I$24</f>
        <v>0</v>
      </c>
      <c r="V103" s="8" t="n">
        <f aca="false">V96*Initiatives!$I$24</f>
        <v>0</v>
      </c>
      <c r="W103" s="8" t="n">
        <f aca="false">W96*Initiatives!$I$24</f>
        <v>0</v>
      </c>
      <c r="X103" s="8" t="n">
        <f aca="false">X96*Initiatives!$I$24</f>
        <v>0</v>
      </c>
      <c r="Y103" s="8" t="n">
        <f aca="false">Y96*Initiatives!$I$24</f>
        <v>0</v>
      </c>
      <c r="Z103" s="8" t="n">
        <f aca="false">Z96*Initiatives!$I$24</f>
        <v>0</v>
      </c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" hidden="false" customHeight="false" outlineLevel="0" collapsed="false">
      <c r="A105" s="17" t="s">
        <v>243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customFormat="false" ht="15" hidden="false" customHeight="false" outlineLevel="0" collapsed="false">
      <c r="A106" s="4" t="s">
        <v>213</v>
      </c>
      <c r="B106" s="4" t="s">
        <v>214</v>
      </c>
      <c r="C106" s="24" t="n">
        <f aca="false">IF(C$3&lt;Initiatives!$J$33,0,MIN((C$3-Initiatives!$J$33+1)/Initiatives!$J$34,1))</f>
        <v>0</v>
      </c>
      <c r="D106" s="24" t="n">
        <f aca="false">IF(D$3&lt;Initiatives!$J$33,0,MIN((D$3-Initiatives!$J$33+1)/Initiatives!$J$34,1))</f>
        <v>0</v>
      </c>
      <c r="E106" s="24" t="n">
        <f aca="false">IF(E$3&lt;Initiatives!$J$33,0,MIN((E$3-Initiatives!$J$33+1)/Initiatives!$J$34,1))</f>
        <v>0</v>
      </c>
      <c r="F106" s="24" t="n">
        <f aca="false">IF(F$3&lt;Initiatives!$J$33,0,MIN((F$3-Initiatives!$J$33+1)/Initiatives!$J$34,1))</f>
        <v>0</v>
      </c>
      <c r="G106" s="24" t="n">
        <f aca="false">IF(G$3&lt;Initiatives!$J$33,0,MIN((G$3-Initiatives!$J$33+1)/Initiatives!$J$34,1))</f>
        <v>0</v>
      </c>
      <c r="H106" s="24" t="n">
        <f aca="false">IF(H$3&lt;Initiatives!$J$33,0,MIN((H$3-Initiatives!$J$33+1)/Initiatives!$J$34,1))</f>
        <v>0</v>
      </c>
      <c r="I106" s="24" t="n">
        <f aca="false">IF(I$3&lt;Initiatives!$J$33,0,MIN((I$3-Initiatives!$J$33+1)/Initiatives!$J$34,1))</f>
        <v>0</v>
      </c>
      <c r="J106" s="24" t="n">
        <f aca="false">IF(J$3&lt;Initiatives!$J$33,0,MIN((J$3-Initiatives!$J$33+1)/Initiatives!$J$34,1))</f>
        <v>0</v>
      </c>
      <c r="K106" s="24" t="n">
        <f aca="false">IF(K$3&lt;Initiatives!$J$33,0,MIN((K$3-Initiatives!$J$33+1)/Initiatives!$J$34,1))</f>
        <v>0</v>
      </c>
      <c r="L106" s="24" t="n">
        <f aca="false">IF(L$3&lt;Initiatives!$J$33,0,MIN((L$3-Initiatives!$J$33+1)/Initiatives!$J$34,1))</f>
        <v>0</v>
      </c>
      <c r="M106" s="24" t="n">
        <f aca="false">IF(M$3&lt;Initiatives!$J$33,0,MIN((M$3-Initiatives!$J$33+1)/Initiatives!$J$34,1))</f>
        <v>0</v>
      </c>
      <c r="N106" s="24" t="n">
        <f aca="false">IF(N$3&lt;Initiatives!$J$33,0,MIN((N$3-Initiatives!$J$33+1)/Initiatives!$J$34,1))</f>
        <v>0</v>
      </c>
      <c r="O106" s="24" t="n">
        <f aca="false">IF(O$3&lt;Initiatives!$J$33,0,MIN((O$3-Initiatives!$J$33+1)/Initiatives!$J$34,1))</f>
        <v>0</v>
      </c>
      <c r="P106" s="24" t="n">
        <f aca="false">IF(P$3&lt;Initiatives!$J$33,0,MIN((P$3-Initiatives!$J$33+1)/Initiatives!$J$34,1))</f>
        <v>1</v>
      </c>
      <c r="Q106" s="24" t="n">
        <f aca="false">IF(Q$3&lt;Initiatives!$J$33,0,MIN((Q$3-Initiatives!$J$33+1)/Initiatives!$J$34,1))</f>
        <v>1</v>
      </c>
      <c r="R106" s="24" t="n">
        <f aca="false">IF(R$3&lt;Initiatives!$J$33,0,MIN((R$3-Initiatives!$J$33+1)/Initiatives!$J$34,1))</f>
        <v>1</v>
      </c>
      <c r="S106" s="24" t="n">
        <f aca="false">IF(S$3&lt;Initiatives!$J$33,0,MIN((S$3-Initiatives!$J$33+1)/Initiatives!$J$34,1))</f>
        <v>1</v>
      </c>
      <c r="T106" s="24" t="n">
        <f aca="false">IF(T$3&lt;Initiatives!$J$33,0,MIN((T$3-Initiatives!$J$33+1)/Initiatives!$J$34,1))</f>
        <v>1</v>
      </c>
      <c r="U106" s="24" t="n">
        <f aca="false">IF(U$3&lt;Initiatives!$J$33,0,MIN((U$3-Initiatives!$J$33+1)/Initiatives!$J$34,1))</f>
        <v>1</v>
      </c>
      <c r="V106" s="24" t="n">
        <f aca="false">IF(V$3&lt;Initiatives!$J$33,0,MIN((V$3-Initiatives!$J$33+1)/Initiatives!$J$34,1))</f>
        <v>1</v>
      </c>
      <c r="W106" s="24" t="n">
        <f aca="false">IF(W$3&lt;Initiatives!$J$33,0,MIN((W$3-Initiatives!$J$33+1)/Initiatives!$J$34,1))</f>
        <v>1</v>
      </c>
      <c r="X106" s="24" t="n">
        <f aca="false">IF(X$3&lt;Initiatives!$J$33,0,MIN((X$3-Initiatives!$J$33+1)/Initiatives!$J$34,1))</f>
        <v>1</v>
      </c>
      <c r="Y106" s="24" t="n">
        <f aca="false">IF(Y$3&lt;Initiatives!$J$33,0,MIN((Y$3-Initiatives!$J$33+1)/Initiatives!$J$34,1))</f>
        <v>1</v>
      </c>
      <c r="Z106" s="24" t="n">
        <f aca="false">IF(Z$3&lt;Initiatives!$J$33,0,MIN((Z$3-Initiatives!$J$33+1)/Initiatives!$J$34,1))</f>
        <v>1</v>
      </c>
    </row>
    <row r="107" customFormat="false" ht="15" hidden="false" customHeight="false" outlineLevel="0" collapsed="false">
      <c r="A107" s="4" t="s">
        <v>215</v>
      </c>
      <c r="B107" s="4" t="s">
        <v>216</v>
      </c>
      <c r="C107" s="8" t="n">
        <f aca="false">Initiatives!$J$40*C106</f>
        <v>0</v>
      </c>
      <c r="D107" s="8" t="n">
        <f aca="false">Initiatives!$J$40*D106</f>
        <v>0</v>
      </c>
      <c r="E107" s="8" t="n">
        <f aca="false">Initiatives!$J$40*E106</f>
        <v>0</v>
      </c>
      <c r="F107" s="8" t="n">
        <f aca="false">Initiatives!$J$40*F106</f>
        <v>0</v>
      </c>
      <c r="G107" s="8" t="n">
        <f aca="false">Initiatives!$J$40*G106</f>
        <v>0</v>
      </c>
      <c r="H107" s="8" t="n">
        <f aca="false">Initiatives!$J$40*H106</f>
        <v>0</v>
      </c>
      <c r="I107" s="8" t="n">
        <f aca="false">Initiatives!$J$40*I106</f>
        <v>0</v>
      </c>
      <c r="J107" s="8" t="n">
        <f aca="false">Initiatives!$J$40*J106</f>
        <v>0</v>
      </c>
      <c r="K107" s="8" t="n">
        <f aca="false">Initiatives!$J$40*K106</f>
        <v>0</v>
      </c>
      <c r="L107" s="8" t="n">
        <f aca="false">Initiatives!$J$40*L106</f>
        <v>0</v>
      </c>
      <c r="M107" s="8" t="n">
        <f aca="false">Initiatives!$J$40*M106</f>
        <v>0</v>
      </c>
      <c r="N107" s="8" t="n">
        <f aca="false">Initiatives!$J$40*N106</f>
        <v>0</v>
      </c>
      <c r="O107" s="8" t="n">
        <f aca="false">Initiatives!$J$40*O106</f>
        <v>0</v>
      </c>
      <c r="P107" s="8" t="n">
        <f aca="false">Initiatives!$J$40*P106</f>
        <v>0</v>
      </c>
      <c r="Q107" s="8" t="n">
        <f aca="false">Initiatives!$J$40*Q106</f>
        <v>0</v>
      </c>
      <c r="R107" s="8" t="n">
        <f aca="false">Initiatives!$J$40*R106</f>
        <v>0</v>
      </c>
      <c r="S107" s="8" t="n">
        <f aca="false">Initiatives!$J$40*S106</f>
        <v>0</v>
      </c>
      <c r="T107" s="8" t="n">
        <f aca="false">Initiatives!$J$40*T106</f>
        <v>0</v>
      </c>
      <c r="U107" s="8" t="n">
        <f aca="false">Initiatives!$J$40*U106</f>
        <v>0</v>
      </c>
      <c r="V107" s="8" t="n">
        <f aca="false">Initiatives!$J$40*V106</f>
        <v>0</v>
      </c>
      <c r="W107" s="8" t="n">
        <f aca="false">Initiatives!$J$40*W106</f>
        <v>0</v>
      </c>
      <c r="X107" s="8" t="n">
        <f aca="false">Initiatives!$J$40*X106</f>
        <v>0</v>
      </c>
      <c r="Y107" s="8" t="n">
        <f aca="false">Initiatives!$J$40*Y106</f>
        <v>0</v>
      </c>
      <c r="Z107" s="8" t="n">
        <f aca="false">Initiatives!$J$40*Z106</f>
        <v>0</v>
      </c>
    </row>
    <row r="108" customFormat="false" ht="15" hidden="false" customHeight="false" outlineLevel="0" collapsed="false">
      <c r="A108" s="4" t="s">
        <v>217</v>
      </c>
      <c r="B108" s="4" t="s">
        <v>218</v>
      </c>
      <c r="C108" s="8" t="n">
        <f aca="false">MAX(C107-N(B107),0)</f>
        <v>0</v>
      </c>
      <c r="D108" s="8" t="n">
        <f aca="false">MAX(D107-N(C107),0)</f>
        <v>0</v>
      </c>
      <c r="E108" s="8" t="n">
        <f aca="false">MAX(E107-N(D107),0)</f>
        <v>0</v>
      </c>
      <c r="F108" s="8" t="n">
        <f aca="false">MAX(F107-N(E107),0)</f>
        <v>0</v>
      </c>
      <c r="G108" s="8" t="n">
        <f aca="false">MAX(G107-N(F107),0)</f>
        <v>0</v>
      </c>
      <c r="H108" s="8" t="n">
        <f aca="false">MAX(H107-N(G107),0)</f>
        <v>0</v>
      </c>
      <c r="I108" s="8" t="n">
        <f aca="false">MAX(I107-N(H107),0)</f>
        <v>0</v>
      </c>
      <c r="J108" s="8" t="n">
        <f aca="false">MAX(J107-N(I107),0)</f>
        <v>0</v>
      </c>
      <c r="K108" s="8" t="n">
        <f aca="false">MAX(K107-N(J107),0)</f>
        <v>0</v>
      </c>
      <c r="L108" s="8" t="n">
        <f aca="false">MAX(L107-N(K107),0)</f>
        <v>0</v>
      </c>
      <c r="M108" s="8" t="n">
        <f aca="false">MAX(M107-N(L107),0)</f>
        <v>0</v>
      </c>
      <c r="N108" s="8" t="n">
        <f aca="false">MAX(N107-N(M107),0)</f>
        <v>0</v>
      </c>
      <c r="O108" s="8" t="n">
        <f aca="false">MAX(O107-N(N107),0)</f>
        <v>0</v>
      </c>
      <c r="P108" s="8" t="n">
        <f aca="false">MAX(P107-N(O107),0)</f>
        <v>0</v>
      </c>
      <c r="Q108" s="8" t="n">
        <f aca="false">MAX(Q107-N(P107),0)</f>
        <v>0</v>
      </c>
      <c r="R108" s="8" t="n">
        <f aca="false">MAX(R107-N(Q107),0)</f>
        <v>0</v>
      </c>
      <c r="S108" s="8" t="n">
        <f aca="false">MAX(S107-N(R107),0)</f>
        <v>0</v>
      </c>
      <c r="T108" s="8" t="n">
        <f aca="false">MAX(T107-N(S107),0)</f>
        <v>0</v>
      </c>
      <c r="U108" s="8" t="n">
        <f aca="false">MAX(U107-N(T107),0)</f>
        <v>0</v>
      </c>
      <c r="V108" s="8" t="n">
        <f aca="false">MAX(V107-N(U107),0)</f>
        <v>0</v>
      </c>
      <c r="W108" s="8" t="n">
        <f aca="false">MAX(W107-N(V107),0)</f>
        <v>0</v>
      </c>
      <c r="X108" s="8" t="n">
        <f aca="false">MAX(X107-N(W107),0)</f>
        <v>0</v>
      </c>
      <c r="Y108" s="8" t="n">
        <f aca="false">MAX(Y107-N(X107),0)</f>
        <v>0</v>
      </c>
      <c r="Z108" s="8" t="n">
        <f aca="false">MAX(Z107-N(Y107),0)</f>
        <v>0</v>
      </c>
    </row>
    <row r="109" customFormat="false" ht="15" hidden="false" customHeight="false" outlineLevel="0" collapsed="false">
      <c r="A109" s="4" t="s">
        <v>219</v>
      </c>
      <c r="B109" s="4" t="s">
        <v>220</v>
      </c>
      <c r="C109" s="8" t="n">
        <f aca="false">IF(Initiatives!$J$6="adoption",N(B109)*(1-Inputs!$C$9)+N(B110)*Inputs!$C$9*Initiatives!$J$16,IF(Initiatives!$J$6="relative",N(B109)*(1-Inputs!$C$9)+C$4*Inputs!$C$9*Initiatives!$J$23*C106,0))</f>
        <v>0</v>
      </c>
      <c r="D109" s="8" t="n">
        <f aca="false">IF(Initiatives!$J$6="adoption",N(C109)*(1-Inputs!$C$9)+N(C110)*Inputs!$C$9*Initiatives!$J$16,IF(Initiatives!$J$6="relative",N(C109)*(1-Inputs!$C$9)+D$4*Inputs!$C$9*Initiatives!$J$23*D106,0))</f>
        <v>0</v>
      </c>
      <c r="E109" s="8" t="n">
        <f aca="false">IF(Initiatives!$J$6="adoption",N(D109)*(1-Inputs!$C$9)+N(D110)*Inputs!$C$9*Initiatives!$J$16,IF(Initiatives!$J$6="relative",N(D109)*(1-Inputs!$C$9)+E$4*Inputs!$C$9*Initiatives!$J$23*E106,0))</f>
        <v>0</v>
      </c>
      <c r="F109" s="8" t="n">
        <f aca="false">IF(Initiatives!$J$6="adoption",N(E109)*(1-Inputs!$C$9)+N(E110)*Inputs!$C$9*Initiatives!$J$16,IF(Initiatives!$J$6="relative",N(E109)*(1-Inputs!$C$9)+F$4*Inputs!$C$9*Initiatives!$J$23*F106,0))</f>
        <v>0</v>
      </c>
      <c r="G109" s="8" t="n">
        <f aca="false">IF(Initiatives!$J$6="adoption",N(F109)*(1-Inputs!$C$9)+N(F110)*Inputs!$C$9*Initiatives!$J$16,IF(Initiatives!$J$6="relative",N(F109)*(1-Inputs!$C$9)+G$4*Inputs!$C$9*Initiatives!$J$23*G106,0))</f>
        <v>0</v>
      </c>
      <c r="H109" s="8" t="n">
        <f aca="false">IF(Initiatives!$J$6="adoption",N(G109)*(1-Inputs!$C$9)+N(G110)*Inputs!$C$9*Initiatives!$J$16,IF(Initiatives!$J$6="relative",N(G109)*(1-Inputs!$C$9)+H$4*Inputs!$C$9*Initiatives!$J$23*H106,0))</f>
        <v>0</v>
      </c>
      <c r="I109" s="8" t="n">
        <f aca="false">IF(Initiatives!$J$6="adoption",N(H109)*(1-Inputs!$C$9)+N(H110)*Inputs!$C$9*Initiatives!$J$16,IF(Initiatives!$J$6="relative",N(H109)*(1-Inputs!$C$9)+I$4*Inputs!$C$9*Initiatives!$J$23*I106,0))</f>
        <v>0</v>
      </c>
      <c r="J109" s="8" t="n">
        <f aca="false">IF(Initiatives!$J$6="adoption",N(I109)*(1-Inputs!$C$9)+N(I110)*Inputs!$C$9*Initiatives!$J$16,IF(Initiatives!$J$6="relative",N(I109)*(1-Inputs!$C$9)+J$4*Inputs!$C$9*Initiatives!$J$23*J106,0))</f>
        <v>0</v>
      </c>
      <c r="K109" s="8" t="n">
        <f aca="false">IF(Initiatives!$J$6="adoption",N(J109)*(1-Inputs!$C$9)+N(J110)*Inputs!$C$9*Initiatives!$J$16,IF(Initiatives!$J$6="relative",N(J109)*(1-Inputs!$C$9)+K$4*Inputs!$C$9*Initiatives!$J$23*K106,0))</f>
        <v>0</v>
      </c>
      <c r="L109" s="8" t="n">
        <f aca="false">IF(Initiatives!$J$6="adoption",N(K109)*(1-Inputs!$C$9)+N(K110)*Inputs!$C$9*Initiatives!$J$16,IF(Initiatives!$J$6="relative",N(K109)*(1-Inputs!$C$9)+L$4*Inputs!$C$9*Initiatives!$J$23*L106,0))</f>
        <v>0</v>
      </c>
      <c r="M109" s="8" t="n">
        <f aca="false">IF(Initiatives!$J$6="adoption",N(L109)*(1-Inputs!$C$9)+N(L110)*Inputs!$C$9*Initiatives!$J$16,IF(Initiatives!$J$6="relative",N(L109)*(1-Inputs!$C$9)+M$4*Inputs!$C$9*Initiatives!$J$23*M106,0))</f>
        <v>0</v>
      </c>
      <c r="N109" s="8" t="n">
        <f aca="false">IF(Initiatives!$J$6="adoption",N(M109)*(1-Inputs!$C$9)+N(M110)*Inputs!$C$9*Initiatives!$J$16,IF(Initiatives!$J$6="relative",N(M109)*(1-Inputs!$C$9)+N$4*Inputs!$C$9*Initiatives!$J$23*N106,0))</f>
        <v>0</v>
      </c>
      <c r="O109" s="8" t="n">
        <f aca="false">IF(Initiatives!$J$6="adoption",N(N109)*(1-Inputs!$C$9)+N(N110)*Inputs!$C$9*Initiatives!$J$16,IF(Initiatives!$J$6="relative",N(N109)*(1-Inputs!$C$9)+O$4*Inputs!$C$9*Initiatives!$J$23*O106,0))</f>
        <v>0</v>
      </c>
      <c r="P109" s="8" t="n">
        <f aca="false">IF(Initiatives!$J$6="adoption",N(O109)*(1-Inputs!$C$9)+N(O110)*Inputs!$C$9*Initiatives!$J$16,IF(Initiatives!$J$6="relative",N(O109)*(1-Inputs!$C$9)+P$4*Inputs!$C$9*Initiatives!$J$23*P106,0))</f>
        <v>0</v>
      </c>
      <c r="Q109" s="8" t="n">
        <f aca="false">IF(Initiatives!$J$6="adoption",N(P109)*(1-Inputs!$C$9)+N(P110)*Inputs!$C$9*Initiatives!$J$16,IF(Initiatives!$J$6="relative",N(P109)*(1-Inputs!$C$9)+Q$4*Inputs!$C$9*Initiatives!$J$23*Q106,0))</f>
        <v>0</v>
      </c>
      <c r="R109" s="8" t="n">
        <f aca="false">IF(Initiatives!$J$6="adoption",N(Q109)*(1-Inputs!$C$9)+N(Q110)*Inputs!$C$9*Initiatives!$J$16,IF(Initiatives!$J$6="relative",N(Q109)*(1-Inputs!$C$9)+R$4*Inputs!$C$9*Initiatives!$J$23*R106,0))</f>
        <v>0</v>
      </c>
      <c r="S109" s="8" t="n">
        <f aca="false">IF(Initiatives!$J$6="adoption",N(R109)*(1-Inputs!$C$9)+N(R110)*Inputs!$C$9*Initiatives!$J$16,IF(Initiatives!$J$6="relative",N(R109)*(1-Inputs!$C$9)+S$4*Inputs!$C$9*Initiatives!$J$23*S106,0))</f>
        <v>0</v>
      </c>
      <c r="T109" s="8" t="n">
        <f aca="false">IF(Initiatives!$J$6="adoption",N(S109)*(1-Inputs!$C$9)+N(S110)*Inputs!$C$9*Initiatives!$J$16,IF(Initiatives!$J$6="relative",N(S109)*(1-Inputs!$C$9)+T$4*Inputs!$C$9*Initiatives!$J$23*T106,0))</f>
        <v>0</v>
      </c>
      <c r="U109" s="8" t="n">
        <f aca="false">IF(Initiatives!$J$6="adoption",N(T109)*(1-Inputs!$C$9)+N(T110)*Inputs!$C$9*Initiatives!$J$16,IF(Initiatives!$J$6="relative",N(T109)*(1-Inputs!$C$9)+U$4*Inputs!$C$9*Initiatives!$J$23*U106,0))</f>
        <v>0</v>
      </c>
      <c r="V109" s="8" t="n">
        <f aca="false">IF(Initiatives!$J$6="adoption",N(U109)*(1-Inputs!$C$9)+N(U110)*Inputs!$C$9*Initiatives!$J$16,IF(Initiatives!$J$6="relative",N(U109)*(1-Inputs!$C$9)+V$4*Inputs!$C$9*Initiatives!$J$23*V106,0))</f>
        <v>0</v>
      </c>
      <c r="W109" s="8" t="n">
        <f aca="false">IF(Initiatives!$J$6="adoption",N(V109)*(1-Inputs!$C$9)+N(V110)*Inputs!$C$9*Initiatives!$J$16,IF(Initiatives!$J$6="relative",N(V109)*(1-Inputs!$C$9)+W$4*Inputs!$C$9*Initiatives!$J$23*W106,0))</f>
        <v>0</v>
      </c>
      <c r="X109" s="8" t="n">
        <f aca="false">IF(Initiatives!$J$6="adoption",N(W109)*(1-Inputs!$C$9)+N(W110)*Inputs!$C$9*Initiatives!$J$16,IF(Initiatives!$J$6="relative",N(W109)*(1-Inputs!$C$9)+X$4*Inputs!$C$9*Initiatives!$J$23*X106,0))</f>
        <v>0</v>
      </c>
      <c r="Y109" s="8" t="n">
        <f aca="false">IF(Initiatives!$J$6="adoption",N(X109)*(1-Inputs!$C$9)+N(X110)*Inputs!$C$9*Initiatives!$J$16,IF(Initiatives!$J$6="relative",N(X109)*(1-Inputs!$C$9)+Y$4*Inputs!$C$9*Initiatives!$J$23*Y106,0))</f>
        <v>0</v>
      </c>
      <c r="Z109" s="8" t="n">
        <f aca="false">IF(Initiatives!$J$6="adoption",N(Y109)*(1-Inputs!$C$9)+N(Y110)*Inputs!$C$9*Initiatives!$J$16,IF(Initiatives!$J$6="relative",N(Y109)*(1-Inputs!$C$9)+Z$4*Inputs!$C$9*Initiatives!$J$23*Z106,0))</f>
        <v>0</v>
      </c>
    </row>
    <row r="110" customFormat="false" ht="15" hidden="false" customHeight="false" outlineLevel="0" collapsed="false">
      <c r="A110" s="4" t="s">
        <v>221</v>
      </c>
      <c r="B110" s="4" t="s">
        <v>222</v>
      </c>
      <c r="C110" s="8" t="n">
        <f aca="false">N(B110)*(1-Initiatives!$J$45)*(1-Inputs!$C$9*(1-Initiatives!$J$16))+C108</f>
        <v>0</v>
      </c>
      <c r="D110" s="8" t="n">
        <f aca="false">N(C110)*(1-Initiatives!$J$45)*(1-Inputs!$C$9*(1-Initiatives!$J$16))+D108</f>
        <v>0</v>
      </c>
      <c r="E110" s="8" t="n">
        <f aca="false">N(D110)*(1-Initiatives!$J$45)*(1-Inputs!$C$9*(1-Initiatives!$J$16))+E108</f>
        <v>0</v>
      </c>
      <c r="F110" s="8" t="n">
        <f aca="false">N(E110)*(1-Initiatives!$J$45)*(1-Inputs!$C$9*(1-Initiatives!$J$16))+F108</f>
        <v>0</v>
      </c>
      <c r="G110" s="8" t="n">
        <f aca="false">N(F110)*(1-Initiatives!$J$45)*(1-Inputs!$C$9*(1-Initiatives!$J$16))+G108</f>
        <v>0</v>
      </c>
      <c r="H110" s="8" t="n">
        <f aca="false">N(G110)*(1-Initiatives!$J$45)*(1-Inputs!$C$9*(1-Initiatives!$J$16))+H108</f>
        <v>0</v>
      </c>
      <c r="I110" s="8" t="n">
        <f aca="false">N(H110)*(1-Initiatives!$J$45)*(1-Inputs!$C$9*(1-Initiatives!$J$16))+I108</f>
        <v>0</v>
      </c>
      <c r="J110" s="8" t="n">
        <f aca="false">N(I110)*(1-Initiatives!$J$45)*(1-Inputs!$C$9*(1-Initiatives!$J$16))+J108</f>
        <v>0</v>
      </c>
      <c r="K110" s="8" t="n">
        <f aca="false">N(J110)*(1-Initiatives!$J$45)*(1-Inputs!$C$9*(1-Initiatives!$J$16))+K108</f>
        <v>0</v>
      </c>
      <c r="L110" s="8" t="n">
        <f aca="false">N(K110)*(1-Initiatives!$J$45)*(1-Inputs!$C$9*(1-Initiatives!$J$16))+L108</f>
        <v>0</v>
      </c>
      <c r="M110" s="8" t="n">
        <f aca="false">N(L110)*(1-Initiatives!$J$45)*(1-Inputs!$C$9*(1-Initiatives!$J$16))+M108</f>
        <v>0</v>
      </c>
      <c r="N110" s="8" t="n">
        <f aca="false">N(M110)*(1-Initiatives!$J$45)*(1-Inputs!$C$9*(1-Initiatives!$J$16))+N108</f>
        <v>0</v>
      </c>
      <c r="O110" s="8" t="n">
        <f aca="false">N(N110)*(1-Initiatives!$J$45)*(1-Inputs!$C$9*(1-Initiatives!$J$16))+O108</f>
        <v>0</v>
      </c>
      <c r="P110" s="8" t="n">
        <f aca="false">N(O110)*(1-Initiatives!$J$45)*(1-Inputs!$C$9*(1-Initiatives!$J$16))+P108</f>
        <v>0</v>
      </c>
      <c r="Q110" s="8" t="n">
        <f aca="false">N(P110)*(1-Initiatives!$J$45)*(1-Inputs!$C$9*(1-Initiatives!$J$16))+Q108</f>
        <v>0</v>
      </c>
      <c r="R110" s="8" t="n">
        <f aca="false">N(Q110)*(1-Initiatives!$J$45)*(1-Inputs!$C$9*(1-Initiatives!$J$16))+R108</f>
        <v>0</v>
      </c>
      <c r="S110" s="8" t="n">
        <f aca="false">N(R110)*(1-Initiatives!$J$45)*(1-Inputs!$C$9*(1-Initiatives!$J$16))+S108</f>
        <v>0</v>
      </c>
      <c r="T110" s="8" t="n">
        <f aca="false">N(S110)*(1-Initiatives!$J$45)*(1-Inputs!$C$9*(1-Initiatives!$J$16))+T108</f>
        <v>0</v>
      </c>
      <c r="U110" s="8" t="n">
        <f aca="false">N(T110)*(1-Initiatives!$J$45)*(1-Inputs!$C$9*(1-Initiatives!$J$16))+U108</f>
        <v>0</v>
      </c>
      <c r="V110" s="8" t="n">
        <f aca="false">N(U110)*(1-Initiatives!$J$45)*(1-Inputs!$C$9*(1-Initiatives!$J$16))+V108</f>
        <v>0</v>
      </c>
      <c r="W110" s="8" t="n">
        <f aca="false">N(V110)*(1-Initiatives!$J$45)*(1-Inputs!$C$9*(1-Initiatives!$J$16))+W108</f>
        <v>0</v>
      </c>
      <c r="X110" s="8" t="n">
        <f aca="false">N(W110)*(1-Initiatives!$J$45)*(1-Inputs!$C$9*(1-Initiatives!$J$16))+X108</f>
        <v>0</v>
      </c>
      <c r="Y110" s="8" t="n">
        <f aca="false">N(X110)*(1-Initiatives!$J$45)*(1-Inputs!$C$9*(1-Initiatives!$J$16))+Y108</f>
        <v>0</v>
      </c>
      <c r="Z110" s="8" t="n">
        <f aca="false">N(Y110)*(1-Initiatives!$J$45)*(1-Inputs!$C$9*(1-Initiatives!$J$16))+Z108</f>
        <v>0</v>
      </c>
    </row>
    <row r="111" customFormat="false" ht="15" hidden="false" customHeight="false" outlineLevel="0" collapsed="false">
      <c r="A111" s="4" t="s">
        <v>223</v>
      </c>
      <c r="B111" s="4" t="s">
        <v>224</v>
      </c>
      <c r="C111" s="8" t="n">
        <f aca="false">N(B111)*(1-Inputs!$C$9)+IF(AND(C$3&gt;=Initiatives!$J$33,C$3&lt;Initiatives!$J$33+Initiatives!$J$47),Initiatives!$J$43/Initiatives!$J$47,0)</f>
        <v>0</v>
      </c>
      <c r="D111" s="8" t="n">
        <f aca="false">N(C111)*(1-Inputs!$C$9)+IF(AND(D$3&gt;=Initiatives!$J$33,D$3&lt;Initiatives!$J$33+Initiatives!$J$47),Initiatives!$J$43/Initiatives!$J$47,0)</f>
        <v>0</v>
      </c>
      <c r="E111" s="8" t="n">
        <f aca="false">N(D111)*(1-Inputs!$C$9)+IF(AND(E$3&gt;=Initiatives!$J$33,E$3&lt;Initiatives!$J$33+Initiatives!$J$47),Initiatives!$J$43/Initiatives!$J$47,0)</f>
        <v>0</v>
      </c>
      <c r="F111" s="8" t="n">
        <f aca="false">N(E111)*(1-Inputs!$C$9)+IF(AND(F$3&gt;=Initiatives!$J$33,F$3&lt;Initiatives!$J$33+Initiatives!$J$47),Initiatives!$J$43/Initiatives!$J$47,0)</f>
        <v>0</v>
      </c>
      <c r="G111" s="8" t="n">
        <f aca="false">N(F111)*(1-Inputs!$C$9)+IF(AND(G$3&gt;=Initiatives!$J$33,G$3&lt;Initiatives!$J$33+Initiatives!$J$47),Initiatives!$J$43/Initiatives!$J$47,0)</f>
        <v>0</v>
      </c>
      <c r="H111" s="8" t="n">
        <f aca="false">N(G111)*(1-Inputs!$C$9)+IF(AND(H$3&gt;=Initiatives!$J$33,H$3&lt;Initiatives!$J$33+Initiatives!$J$47),Initiatives!$J$43/Initiatives!$J$47,0)</f>
        <v>0</v>
      </c>
      <c r="I111" s="8" t="n">
        <f aca="false">N(H111)*(1-Inputs!$C$9)+IF(AND(I$3&gt;=Initiatives!$J$33,I$3&lt;Initiatives!$J$33+Initiatives!$J$47),Initiatives!$J$43/Initiatives!$J$47,0)</f>
        <v>0</v>
      </c>
      <c r="J111" s="8" t="n">
        <f aca="false">N(I111)*(1-Inputs!$C$9)+IF(AND(J$3&gt;=Initiatives!$J$33,J$3&lt;Initiatives!$J$33+Initiatives!$J$47),Initiatives!$J$43/Initiatives!$J$47,0)</f>
        <v>0</v>
      </c>
      <c r="K111" s="8" t="n">
        <f aca="false">N(J111)*(1-Inputs!$C$9)+IF(AND(K$3&gt;=Initiatives!$J$33,K$3&lt;Initiatives!$J$33+Initiatives!$J$47),Initiatives!$J$43/Initiatives!$J$47,0)</f>
        <v>0</v>
      </c>
      <c r="L111" s="8" t="n">
        <f aca="false">N(K111)*(1-Inputs!$C$9)+IF(AND(L$3&gt;=Initiatives!$J$33,L$3&lt;Initiatives!$J$33+Initiatives!$J$47),Initiatives!$J$43/Initiatives!$J$47,0)</f>
        <v>0</v>
      </c>
      <c r="M111" s="8" t="n">
        <f aca="false">N(L111)*(1-Inputs!$C$9)+IF(AND(M$3&gt;=Initiatives!$J$33,M$3&lt;Initiatives!$J$33+Initiatives!$J$47),Initiatives!$J$43/Initiatives!$J$47,0)</f>
        <v>0</v>
      </c>
      <c r="N111" s="8" t="n">
        <f aca="false">N(M111)*(1-Inputs!$C$9)+IF(AND(N$3&gt;=Initiatives!$J$33,N$3&lt;Initiatives!$J$33+Initiatives!$J$47),Initiatives!$J$43/Initiatives!$J$47,0)</f>
        <v>0</v>
      </c>
      <c r="O111" s="8" t="n">
        <f aca="false">N(N111)*(1-Inputs!$C$9)+IF(AND(O$3&gt;=Initiatives!$J$33,O$3&lt;Initiatives!$J$33+Initiatives!$J$47),Initiatives!$J$43/Initiatives!$J$47,0)</f>
        <v>0</v>
      </c>
      <c r="P111" s="8" t="n">
        <f aca="false">N(O111)*(1-Inputs!$C$9)+IF(AND(P$3&gt;=Initiatives!$J$33,P$3&lt;Initiatives!$J$33+Initiatives!$J$47),Initiatives!$J$43/Initiatives!$J$47,0)</f>
        <v>6688</v>
      </c>
      <c r="Q111" s="8" t="n">
        <f aca="false">N(P111)*(1-Inputs!$C$9)+IF(AND(Q$3&gt;=Initiatives!$J$33,Q$3&lt;Initiatives!$J$33+Initiatives!$J$47),Initiatives!$J$43/Initiatives!$J$47,0)</f>
        <v>13275.68</v>
      </c>
      <c r="R111" s="8" t="n">
        <f aca="false">N(Q111)*(1-Inputs!$C$9)+IF(AND(R$3&gt;=Initiatives!$J$33,R$3&lt;Initiatives!$J$33+Initiatives!$J$47),Initiatives!$J$43/Initiatives!$J$47,0)</f>
        <v>13076.5448</v>
      </c>
      <c r="S111" s="8" t="n">
        <f aca="false">N(R111)*(1-Inputs!$C$9)+IF(AND(S$3&gt;=Initiatives!$J$33,S$3&lt;Initiatives!$J$33+Initiatives!$J$47),Initiatives!$J$43/Initiatives!$J$47,0)</f>
        <v>12880.396628</v>
      </c>
      <c r="T111" s="8" t="n">
        <f aca="false">N(S111)*(1-Inputs!$C$9)+IF(AND(T$3&gt;=Initiatives!$J$33,T$3&lt;Initiatives!$J$33+Initiatives!$J$47),Initiatives!$J$43/Initiatives!$J$47,0)</f>
        <v>12687.19067858</v>
      </c>
      <c r="U111" s="8" t="n">
        <f aca="false">N(T111)*(1-Inputs!$C$9)+IF(AND(U$3&gt;=Initiatives!$J$33,U$3&lt;Initiatives!$J$33+Initiatives!$J$47),Initiatives!$J$43/Initiatives!$J$47,0)</f>
        <v>12496.8828184013</v>
      </c>
      <c r="V111" s="8" t="n">
        <f aca="false">N(U111)*(1-Inputs!$C$9)+IF(AND(V$3&gt;=Initiatives!$J$33,V$3&lt;Initiatives!$J$33+Initiatives!$J$47),Initiatives!$J$43/Initiatives!$J$47,0)</f>
        <v>12309.4295761253</v>
      </c>
      <c r="W111" s="8" t="n">
        <f aca="false">N(V111)*(1-Inputs!$C$9)+IF(AND(W$3&gt;=Initiatives!$J$33,W$3&lt;Initiatives!$J$33+Initiatives!$J$47),Initiatives!$J$43/Initiatives!$J$47,0)</f>
        <v>12124.7881324834</v>
      </c>
      <c r="X111" s="8" t="n">
        <f aca="false">N(W111)*(1-Inputs!$C$9)+IF(AND(X$3&gt;=Initiatives!$J$33,X$3&lt;Initiatives!$J$33+Initiatives!$J$47),Initiatives!$J$43/Initiatives!$J$47,0)</f>
        <v>11942.9163104961</v>
      </c>
      <c r="Y111" s="8" t="n">
        <f aca="false">N(X111)*(1-Inputs!$C$9)+IF(AND(Y$3&gt;=Initiatives!$J$33,Y$3&lt;Initiatives!$J$33+Initiatives!$J$47),Initiatives!$J$43/Initiatives!$J$47,0)</f>
        <v>11763.7725658387</v>
      </c>
      <c r="Z111" s="8" t="n">
        <f aca="false">N(Y111)*(1-Inputs!$C$9)+IF(AND(Z$3&gt;=Initiatives!$J$33,Z$3&lt;Initiatives!$J$33+Initiatives!$J$47),Initiatives!$J$43/Initiatives!$J$47,0)</f>
        <v>11587.3159773511</v>
      </c>
    </row>
    <row r="112" customFormat="false" ht="15" hidden="false" customHeight="false" outlineLevel="0" collapsed="false">
      <c r="A112" s="4" t="s">
        <v>225</v>
      </c>
      <c r="B112" s="4" t="s">
        <v>226</v>
      </c>
      <c r="C112" s="8" t="n">
        <f aca="false">IF(Initiatives!$J$6="adoption",C110*Initiatives!$J$14+C109*Initiatives!$J$9-C111*Initiatives!$J$9,IF(Initiatives!$J$6="reprice",IF(C$3&gt;=Initiatives!$J$33,(Initiatives!$J$41*Initiatives!$J$44+Initiatives!$J$42*Initiatives!$J$20)*(1-Inputs!$C$9)^(C$3-Initiatives!$J$33),0)-C111*Initiatives!$J$9,C$5*Initiatives!$J$22*C106+C109*Inputs!$C$8))</f>
        <v>0</v>
      </c>
      <c r="D112" s="8" t="n">
        <f aca="false">IF(Initiatives!$J$6="adoption",D110*Initiatives!$J$14+D109*Initiatives!$J$9-D111*Initiatives!$J$9,IF(Initiatives!$J$6="reprice",IF(D$3&gt;=Initiatives!$J$33,(Initiatives!$J$41*Initiatives!$J$44+Initiatives!$J$42*Initiatives!$J$20)*(1-Inputs!$C$9)^(D$3-Initiatives!$J$33),0)-D111*Initiatives!$J$9,D$5*Initiatives!$J$22*D106+D109*Inputs!$C$8))</f>
        <v>0</v>
      </c>
      <c r="E112" s="8" t="n">
        <f aca="false">IF(Initiatives!$J$6="adoption",E110*Initiatives!$J$14+E109*Initiatives!$J$9-E111*Initiatives!$J$9,IF(Initiatives!$J$6="reprice",IF(E$3&gt;=Initiatives!$J$33,(Initiatives!$J$41*Initiatives!$J$44+Initiatives!$J$42*Initiatives!$J$20)*(1-Inputs!$C$9)^(E$3-Initiatives!$J$33),0)-E111*Initiatives!$J$9,E$5*Initiatives!$J$22*E106+E109*Inputs!$C$8))</f>
        <v>0</v>
      </c>
      <c r="F112" s="8" t="n">
        <f aca="false">IF(Initiatives!$J$6="adoption",F110*Initiatives!$J$14+F109*Initiatives!$J$9-F111*Initiatives!$J$9,IF(Initiatives!$J$6="reprice",IF(F$3&gt;=Initiatives!$J$33,(Initiatives!$J$41*Initiatives!$J$44+Initiatives!$J$42*Initiatives!$J$20)*(1-Inputs!$C$9)^(F$3-Initiatives!$J$33),0)-F111*Initiatives!$J$9,F$5*Initiatives!$J$22*F106+F109*Inputs!$C$8))</f>
        <v>0</v>
      </c>
      <c r="G112" s="8" t="n">
        <f aca="false">IF(Initiatives!$J$6="adoption",G110*Initiatives!$J$14+G109*Initiatives!$J$9-G111*Initiatives!$J$9,IF(Initiatives!$J$6="reprice",IF(G$3&gt;=Initiatives!$J$33,(Initiatives!$J$41*Initiatives!$J$44+Initiatives!$J$42*Initiatives!$J$20)*(1-Inputs!$C$9)^(G$3-Initiatives!$J$33),0)-G111*Initiatives!$J$9,G$5*Initiatives!$J$22*G106+G109*Inputs!$C$8))</f>
        <v>0</v>
      </c>
      <c r="H112" s="8" t="n">
        <f aca="false">IF(Initiatives!$J$6="adoption",H110*Initiatives!$J$14+H109*Initiatives!$J$9-H111*Initiatives!$J$9,IF(Initiatives!$J$6="reprice",IF(H$3&gt;=Initiatives!$J$33,(Initiatives!$J$41*Initiatives!$J$44+Initiatives!$J$42*Initiatives!$J$20)*(1-Inputs!$C$9)^(H$3-Initiatives!$J$33),0)-H111*Initiatives!$J$9,H$5*Initiatives!$J$22*H106+H109*Inputs!$C$8))</f>
        <v>0</v>
      </c>
      <c r="I112" s="8" t="n">
        <f aca="false">IF(Initiatives!$J$6="adoption",I110*Initiatives!$J$14+I109*Initiatives!$J$9-I111*Initiatives!$J$9,IF(Initiatives!$J$6="reprice",IF(I$3&gt;=Initiatives!$J$33,(Initiatives!$J$41*Initiatives!$J$44+Initiatives!$J$42*Initiatives!$J$20)*(1-Inputs!$C$9)^(I$3-Initiatives!$J$33),0)-I111*Initiatives!$J$9,I$5*Initiatives!$J$22*I106+I109*Inputs!$C$8))</f>
        <v>0</v>
      </c>
      <c r="J112" s="8" t="n">
        <f aca="false">IF(Initiatives!$J$6="adoption",J110*Initiatives!$J$14+J109*Initiatives!$J$9-J111*Initiatives!$J$9,IF(Initiatives!$J$6="reprice",IF(J$3&gt;=Initiatives!$J$33,(Initiatives!$J$41*Initiatives!$J$44+Initiatives!$J$42*Initiatives!$J$20)*(1-Inputs!$C$9)^(J$3-Initiatives!$J$33),0)-J111*Initiatives!$J$9,J$5*Initiatives!$J$22*J106+J109*Inputs!$C$8))</f>
        <v>0</v>
      </c>
      <c r="K112" s="8" t="n">
        <f aca="false">IF(Initiatives!$J$6="adoption",K110*Initiatives!$J$14+K109*Initiatives!$J$9-K111*Initiatives!$J$9,IF(Initiatives!$J$6="reprice",IF(K$3&gt;=Initiatives!$J$33,(Initiatives!$J$41*Initiatives!$J$44+Initiatives!$J$42*Initiatives!$J$20)*(1-Inputs!$C$9)^(K$3-Initiatives!$J$33),0)-K111*Initiatives!$J$9,K$5*Initiatives!$J$22*K106+K109*Inputs!$C$8))</f>
        <v>0</v>
      </c>
      <c r="L112" s="8" t="n">
        <f aca="false">IF(Initiatives!$J$6="adoption",L110*Initiatives!$J$14+L109*Initiatives!$J$9-L111*Initiatives!$J$9,IF(Initiatives!$J$6="reprice",IF(L$3&gt;=Initiatives!$J$33,(Initiatives!$J$41*Initiatives!$J$44+Initiatives!$J$42*Initiatives!$J$20)*(1-Inputs!$C$9)^(L$3-Initiatives!$J$33),0)-L111*Initiatives!$J$9,L$5*Initiatives!$J$22*L106+L109*Inputs!$C$8))</f>
        <v>0</v>
      </c>
      <c r="M112" s="8" t="n">
        <f aca="false">IF(Initiatives!$J$6="adoption",M110*Initiatives!$J$14+M109*Initiatives!$J$9-M111*Initiatives!$J$9,IF(Initiatives!$J$6="reprice",IF(M$3&gt;=Initiatives!$J$33,(Initiatives!$J$41*Initiatives!$J$44+Initiatives!$J$42*Initiatives!$J$20)*(1-Inputs!$C$9)^(M$3-Initiatives!$J$33),0)-M111*Initiatives!$J$9,M$5*Initiatives!$J$22*M106+M109*Inputs!$C$8))</f>
        <v>0</v>
      </c>
      <c r="N112" s="8" t="n">
        <f aca="false">IF(Initiatives!$J$6="adoption",N110*Initiatives!$J$14+N109*Initiatives!$J$9-N111*Initiatives!$J$9,IF(Initiatives!$J$6="reprice",IF(N$3&gt;=Initiatives!$J$33,(Initiatives!$J$41*Initiatives!$J$44+Initiatives!$J$42*Initiatives!$J$20)*(1-Inputs!$C$9)^(N$3-Initiatives!$J$33),0)-N111*Initiatives!$J$9,N$5*Initiatives!$J$22*N106+N109*Inputs!$C$8))</f>
        <v>0</v>
      </c>
      <c r="O112" s="8" t="n">
        <f aca="false">IF(Initiatives!$J$6="adoption",O110*Initiatives!$J$14+O109*Initiatives!$J$9-O111*Initiatives!$J$9,IF(Initiatives!$J$6="reprice",IF(O$3&gt;=Initiatives!$J$33,(Initiatives!$J$41*Initiatives!$J$44+Initiatives!$J$42*Initiatives!$J$20)*(1-Inputs!$C$9)^(O$3-Initiatives!$J$33),0)-O111*Initiatives!$J$9,O$5*Initiatives!$J$22*O106+O109*Inputs!$C$8))</f>
        <v>0</v>
      </c>
      <c r="P112" s="8" t="n">
        <f aca="false">IF(Initiatives!$J$6="adoption",P110*Initiatives!$J$14+P109*Initiatives!$J$9-P111*Initiatives!$J$9,IF(Initiatives!$J$6="reprice",IF(P$3&gt;=Initiatives!$J$33,(Initiatives!$J$41*Initiatives!$J$44+Initiatives!$J$42*Initiatives!$J$20)*(1-Inputs!$C$9)^(P$3-Initiatives!$J$33),0)-P111*Initiatives!$J$9,P$5*Initiatives!$J$22*P106+P109*Inputs!$C$8))</f>
        <v>1974870857.14286</v>
      </c>
      <c r="Q112" s="8" t="n">
        <f aca="false">IF(Initiatives!$J$6="adoption",Q110*Initiatives!$J$14+Q109*Initiatives!$J$9-Q111*Initiatives!$J$9,IF(Initiatives!$J$6="reprice",IF(Q$3&gt;=Initiatives!$J$33,(Initiatives!$J$41*Initiatives!$J$44+Initiatives!$J$42*Initiatives!$J$20)*(1-Inputs!$C$9)^(Q$3-Initiatives!$J$33),0)-Q111*Initiatives!$J$9,Q$5*Initiatives!$J$22*Q106+Q109*Inputs!$C$8))</f>
        <v>1757983794.28571</v>
      </c>
      <c r="R112" s="8" t="n">
        <f aca="false">IF(Initiatives!$J$6="adoption",R110*Initiatives!$J$14+R109*Initiatives!$J$9-R111*Initiatives!$J$9,IF(Initiatives!$J$6="reprice",IF(R$3&gt;=Initiatives!$J$33,(Initiatives!$J$41*Initiatives!$J$44+Initiatives!$J$42*Initiatives!$J$20)*(1-Inputs!$C$9)^(R$3-Initiatives!$J$33),0)-R111*Initiatives!$J$9,R$5*Initiatives!$J$22*R106+R109*Inputs!$C$8))</f>
        <v>1731614037.37143</v>
      </c>
      <c r="S112" s="8" t="n">
        <f aca="false">IF(Initiatives!$J$6="adoption",S110*Initiatives!$J$14+S109*Initiatives!$J$9-S111*Initiatives!$J$9,IF(Initiatives!$J$6="reprice",IF(S$3&gt;=Initiatives!$J$33,(Initiatives!$J$41*Initiatives!$J$44+Initiatives!$J$42*Initiatives!$J$20)*(1-Inputs!$C$9)^(S$3-Initiatives!$J$33),0)-S111*Initiatives!$J$9,S$5*Initiatives!$J$22*S106+S109*Inputs!$C$8))</f>
        <v>1705639826.81086</v>
      </c>
      <c r="T112" s="8" t="n">
        <f aca="false">IF(Initiatives!$J$6="adoption",T110*Initiatives!$J$14+T109*Initiatives!$J$9-T111*Initiatives!$J$9,IF(Initiatives!$J$6="reprice",IF(T$3&gt;=Initiatives!$J$33,(Initiatives!$J$41*Initiatives!$J$44+Initiatives!$J$42*Initiatives!$J$20)*(1-Inputs!$C$9)^(T$3-Initiatives!$J$33),0)-T111*Initiatives!$J$9,T$5*Initiatives!$J$22*T106+T109*Inputs!$C$8))</f>
        <v>1680055229.40869</v>
      </c>
      <c r="U112" s="8" t="n">
        <f aca="false">IF(Initiatives!$J$6="adoption",U110*Initiatives!$J$14+U109*Initiatives!$J$9-U111*Initiatives!$J$9,IF(Initiatives!$J$6="reprice",IF(U$3&gt;=Initiatives!$J$33,(Initiatives!$J$41*Initiatives!$J$44+Initiatives!$J$42*Initiatives!$J$20)*(1-Inputs!$C$9)^(U$3-Initiatives!$J$33),0)-U111*Initiatives!$J$9,U$5*Initiatives!$J$22*U106+U109*Inputs!$C$8))</f>
        <v>1654854400.96756</v>
      </c>
      <c r="V112" s="8" t="n">
        <f aca="false">IF(Initiatives!$J$6="adoption",V110*Initiatives!$J$14+V109*Initiatives!$J$9-V111*Initiatives!$J$9,IF(Initiatives!$J$6="reprice",IF(V$3&gt;=Initiatives!$J$33,(Initiatives!$J$41*Initiatives!$J$44+Initiatives!$J$42*Initiatives!$J$20)*(1-Inputs!$C$9)^(V$3-Initiatives!$J$33),0)-V111*Initiatives!$J$9,V$5*Initiatives!$J$22*V106+V109*Inputs!$C$8))</f>
        <v>1630031584.95305</v>
      </c>
      <c r="W112" s="8" t="n">
        <f aca="false">IF(Initiatives!$J$6="adoption",W110*Initiatives!$J$14+W109*Initiatives!$J$9-W111*Initiatives!$J$9,IF(Initiatives!$J$6="reprice",IF(W$3&gt;=Initiatives!$J$33,(Initiatives!$J$41*Initiatives!$J$44+Initiatives!$J$42*Initiatives!$J$20)*(1-Inputs!$C$9)^(W$3-Initiatives!$J$33),0)-W111*Initiatives!$J$9,W$5*Initiatives!$J$22*W106+W109*Inputs!$C$8))</f>
        <v>1605581111.17875</v>
      </c>
      <c r="X112" s="8" t="n">
        <f aca="false">IF(Initiatives!$J$6="adoption",X110*Initiatives!$J$14+X109*Initiatives!$J$9-X111*Initiatives!$J$9,IF(Initiatives!$J$6="reprice",IF(X$3&gt;=Initiatives!$J$33,(Initiatives!$J$41*Initiatives!$J$44+Initiatives!$J$42*Initiatives!$J$20)*(1-Inputs!$C$9)^(X$3-Initiatives!$J$33),0)-X111*Initiatives!$J$9,X$5*Initiatives!$J$22*X106+X109*Inputs!$C$8))</f>
        <v>1581497394.51107</v>
      </c>
      <c r="Y112" s="8" t="n">
        <f aca="false">IF(Initiatives!$J$6="adoption",Y110*Initiatives!$J$14+Y109*Initiatives!$J$9-Y111*Initiatives!$J$9,IF(Initiatives!$J$6="reprice",IF(Y$3&gt;=Initiatives!$J$33,(Initiatives!$J$41*Initiatives!$J$44+Initiatives!$J$42*Initiatives!$J$20)*(1-Inputs!$C$9)^(Y$3-Initiatives!$J$33),0)-Y111*Initiatives!$J$9,Y$5*Initiatives!$J$22*Y106+Y109*Inputs!$C$8))</f>
        <v>1557774933.59341</v>
      </c>
      <c r="Z112" s="8" t="n">
        <f aca="false">IF(Initiatives!$J$6="adoption",Z110*Initiatives!$J$14+Z109*Initiatives!$J$9-Z111*Initiatives!$J$9,IF(Initiatives!$J$6="reprice",IF(Z$3&gt;=Initiatives!$J$33,(Initiatives!$J$41*Initiatives!$J$44+Initiatives!$J$42*Initiatives!$J$20)*(1-Inputs!$C$9)^(Z$3-Initiatives!$J$33),0)-Z111*Initiatives!$J$9,Z$5*Initiatives!$J$22*Z106+Z109*Inputs!$C$8))</f>
        <v>1534408309.58951</v>
      </c>
    </row>
    <row r="113" customFormat="false" ht="15" hidden="false" customHeight="false" outlineLevel="0" collapsed="false">
      <c r="A113" s="4" t="s">
        <v>227</v>
      </c>
      <c r="B113" s="4" t="s">
        <v>228</v>
      </c>
      <c r="C113" s="8" t="n">
        <f aca="false">C110*Initiatives!$J$24*Initiatives!$J$25</f>
        <v>0</v>
      </c>
      <c r="D113" s="8" t="n">
        <f aca="false">D110*Initiatives!$J$24*Initiatives!$J$25</f>
        <v>0</v>
      </c>
      <c r="E113" s="8" t="n">
        <f aca="false">E110*Initiatives!$J$24*Initiatives!$J$25</f>
        <v>0</v>
      </c>
      <c r="F113" s="8" t="n">
        <f aca="false">F110*Initiatives!$J$24*Initiatives!$J$25</f>
        <v>0</v>
      </c>
      <c r="G113" s="8" t="n">
        <f aca="false">G110*Initiatives!$J$24*Initiatives!$J$25</f>
        <v>0</v>
      </c>
      <c r="H113" s="8" t="n">
        <f aca="false">H110*Initiatives!$J$24*Initiatives!$J$25</f>
        <v>0</v>
      </c>
      <c r="I113" s="8" t="n">
        <f aca="false">I110*Initiatives!$J$24*Initiatives!$J$25</f>
        <v>0</v>
      </c>
      <c r="J113" s="8" t="n">
        <f aca="false">J110*Initiatives!$J$24*Initiatives!$J$25</f>
        <v>0</v>
      </c>
      <c r="K113" s="8" t="n">
        <f aca="false">K110*Initiatives!$J$24*Initiatives!$J$25</f>
        <v>0</v>
      </c>
      <c r="L113" s="8" t="n">
        <f aca="false">L110*Initiatives!$J$24*Initiatives!$J$25</f>
        <v>0</v>
      </c>
      <c r="M113" s="8" t="n">
        <f aca="false">M110*Initiatives!$J$24*Initiatives!$J$25</f>
        <v>0</v>
      </c>
      <c r="N113" s="8" t="n">
        <f aca="false">N110*Initiatives!$J$24*Initiatives!$J$25</f>
        <v>0</v>
      </c>
      <c r="O113" s="8" t="n">
        <f aca="false">O110*Initiatives!$J$24*Initiatives!$J$25</f>
        <v>0</v>
      </c>
      <c r="P113" s="8" t="n">
        <f aca="false">P110*Initiatives!$J$24*Initiatives!$J$25</f>
        <v>0</v>
      </c>
      <c r="Q113" s="8" t="n">
        <f aca="false">Q110*Initiatives!$J$24*Initiatives!$J$25</f>
        <v>0</v>
      </c>
      <c r="R113" s="8" t="n">
        <f aca="false">R110*Initiatives!$J$24*Initiatives!$J$25</f>
        <v>0</v>
      </c>
      <c r="S113" s="8" t="n">
        <f aca="false">S110*Initiatives!$J$24*Initiatives!$J$25</f>
        <v>0</v>
      </c>
      <c r="T113" s="8" t="n">
        <f aca="false">T110*Initiatives!$J$24*Initiatives!$J$25</f>
        <v>0</v>
      </c>
      <c r="U113" s="8" t="n">
        <f aca="false">U110*Initiatives!$J$24*Initiatives!$J$25</f>
        <v>0</v>
      </c>
      <c r="V113" s="8" t="n">
        <f aca="false">V110*Initiatives!$J$24*Initiatives!$J$25</f>
        <v>0</v>
      </c>
      <c r="W113" s="8" t="n">
        <f aca="false">W110*Initiatives!$J$24*Initiatives!$J$25</f>
        <v>0</v>
      </c>
      <c r="X113" s="8" t="n">
        <f aca="false">X110*Initiatives!$J$24*Initiatives!$J$25</f>
        <v>0</v>
      </c>
      <c r="Y113" s="8" t="n">
        <f aca="false">Y110*Initiatives!$J$24*Initiatives!$J$25</f>
        <v>0</v>
      </c>
      <c r="Z113" s="8" t="n">
        <f aca="false">Z110*Initiatives!$J$24*Initiatives!$J$25</f>
        <v>0</v>
      </c>
    </row>
    <row r="114" customFormat="false" ht="15" hidden="false" customHeight="false" outlineLevel="0" collapsed="false">
      <c r="A114" s="4" t="s">
        <v>229</v>
      </c>
      <c r="B114" s="4" t="s">
        <v>230</v>
      </c>
      <c r="C114" s="8" t="n">
        <f aca="false">IF(C$3&lt;=Initiatives!$J$46,Initiatives!$J$29/Initiatives!$J$46,0)+IF(C$3&gt;=Initiatives!$J$33,Initiatives!$J$30,0)+IF(C$3=Initiatives!$J$33,Initiatives!$J$39*Initiatives!$J$26,0)+C108*Initiatives!$J$27+C110*Initiatives!$J$28+IF(AND(Initiatives!$J$6="reprice",C$3&gt;=Initiatives!$J$33),Initiatives!$J$41*Initiatives!$J$21*(1-Inputs!$C$9)^(C$3-Initiatives!$J$33)-Initiatives!$J$31,0)</f>
        <v>11538461.5384615</v>
      </c>
      <c r="D114" s="8" t="n">
        <f aca="false">IF(D$3&lt;=Initiatives!$J$46,Initiatives!$J$29/Initiatives!$J$46,0)+IF(D$3&gt;=Initiatives!$J$33,Initiatives!$J$30,0)+IF(D$3=Initiatives!$J$33,Initiatives!$J$39*Initiatives!$J$26,0)+D108*Initiatives!$J$27+D110*Initiatives!$J$28+IF(AND(Initiatives!$J$6="reprice",D$3&gt;=Initiatives!$J$33),Initiatives!$J$41*Initiatives!$J$21*(1-Inputs!$C$9)^(D$3-Initiatives!$J$33)-Initiatives!$J$31,0)</f>
        <v>11538461.5384615</v>
      </c>
      <c r="E114" s="8" t="n">
        <f aca="false">IF(E$3&lt;=Initiatives!$J$46,Initiatives!$J$29/Initiatives!$J$46,0)+IF(E$3&gt;=Initiatives!$J$33,Initiatives!$J$30,0)+IF(E$3=Initiatives!$J$33,Initiatives!$J$39*Initiatives!$J$26,0)+E108*Initiatives!$J$27+E110*Initiatives!$J$28+IF(AND(Initiatives!$J$6="reprice",E$3&gt;=Initiatives!$J$33),Initiatives!$J$41*Initiatives!$J$21*(1-Inputs!$C$9)^(E$3-Initiatives!$J$33)-Initiatives!$J$31,0)</f>
        <v>11538461.5384615</v>
      </c>
      <c r="F114" s="8" t="n">
        <f aca="false">IF(F$3&lt;=Initiatives!$J$46,Initiatives!$J$29/Initiatives!$J$46,0)+IF(F$3&gt;=Initiatives!$J$33,Initiatives!$J$30,0)+IF(F$3=Initiatives!$J$33,Initiatives!$J$39*Initiatives!$J$26,0)+F108*Initiatives!$J$27+F110*Initiatives!$J$28+IF(AND(Initiatives!$J$6="reprice",F$3&gt;=Initiatives!$J$33),Initiatives!$J$41*Initiatives!$J$21*(1-Inputs!$C$9)^(F$3-Initiatives!$J$33)-Initiatives!$J$31,0)</f>
        <v>11538461.5384615</v>
      </c>
      <c r="G114" s="8" t="n">
        <f aca="false">IF(G$3&lt;=Initiatives!$J$46,Initiatives!$J$29/Initiatives!$J$46,0)+IF(G$3&gt;=Initiatives!$J$33,Initiatives!$J$30,0)+IF(G$3=Initiatives!$J$33,Initiatives!$J$39*Initiatives!$J$26,0)+G108*Initiatives!$J$27+G110*Initiatives!$J$28+IF(AND(Initiatives!$J$6="reprice",G$3&gt;=Initiatives!$J$33),Initiatives!$J$41*Initiatives!$J$21*(1-Inputs!$C$9)^(G$3-Initiatives!$J$33)-Initiatives!$J$31,0)</f>
        <v>11538461.5384615</v>
      </c>
      <c r="H114" s="8" t="n">
        <f aca="false">IF(H$3&lt;=Initiatives!$J$46,Initiatives!$J$29/Initiatives!$J$46,0)+IF(H$3&gt;=Initiatives!$J$33,Initiatives!$J$30,0)+IF(H$3=Initiatives!$J$33,Initiatives!$J$39*Initiatives!$J$26,0)+H108*Initiatives!$J$27+H110*Initiatives!$J$28+IF(AND(Initiatives!$J$6="reprice",H$3&gt;=Initiatives!$J$33),Initiatives!$J$41*Initiatives!$J$21*(1-Inputs!$C$9)^(H$3-Initiatives!$J$33)-Initiatives!$J$31,0)</f>
        <v>11538461.5384615</v>
      </c>
      <c r="I114" s="8" t="n">
        <f aca="false">IF(I$3&lt;=Initiatives!$J$46,Initiatives!$J$29/Initiatives!$J$46,0)+IF(I$3&gt;=Initiatives!$J$33,Initiatives!$J$30,0)+IF(I$3=Initiatives!$J$33,Initiatives!$J$39*Initiatives!$J$26,0)+I108*Initiatives!$J$27+I110*Initiatives!$J$28+IF(AND(Initiatives!$J$6="reprice",I$3&gt;=Initiatives!$J$33),Initiatives!$J$41*Initiatives!$J$21*(1-Inputs!$C$9)^(I$3-Initiatives!$J$33)-Initiatives!$J$31,0)</f>
        <v>11538461.5384615</v>
      </c>
      <c r="J114" s="8" t="n">
        <f aca="false">IF(J$3&lt;=Initiatives!$J$46,Initiatives!$J$29/Initiatives!$J$46,0)+IF(J$3&gt;=Initiatives!$J$33,Initiatives!$J$30,0)+IF(J$3=Initiatives!$J$33,Initiatives!$J$39*Initiatives!$J$26,0)+J108*Initiatives!$J$27+J110*Initiatives!$J$28+IF(AND(Initiatives!$J$6="reprice",J$3&gt;=Initiatives!$J$33),Initiatives!$J$41*Initiatives!$J$21*(1-Inputs!$C$9)^(J$3-Initiatives!$J$33)-Initiatives!$J$31,0)</f>
        <v>11538461.5384615</v>
      </c>
      <c r="K114" s="8" t="n">
        <f aca="false">IF(K$3&lt;=Initiatives!$J$46,Initiatives!$J$29/Initiatives!$J$46,0)+IF(K$3&gt;=Initiatives!$J$33,Initiatives!$J$30,0)+IF(K$3=Initiatives!$J$33,Initiatives!$J$39*Initiatives!$J$26,0)+K108*Initiatives!$J$27+K110*Initiatives!$J$28+IF(AND(Initiatives!$J$6="reprice",K$3&gt;=Initiatives!$J$33),Initiatives!$J$41*Initiatives!$J$21*(1-Inputs!$C$9)^(K$3-Initiatives!$J$33)-Initiatives!$J$31,0)</f>
        <v>11538461.5384615</v>
      </c>
      <c r="L114" s="8" t="n">
        <f aca="false">IF(L$3&lt;=Initiatives!$J$46,Initiatives!$J$29/Initiatives!$J$46,0)+IF(L$3&gt;=Initiatives!$J$33,Initiatives!$J$30,0)+IF(L$3=Initiatives!$J$33,Initiatives!$J$39*Initiatives!$J$26,0)+L108*Initiatives!$J$27+L110*Initiatives!$J$28+IF(AND(Initiatives!$J$6="reprice",L$3&gt;=Initiatives!$J$33),Initiatives!$J$41*Initiatives!$J$21*(1-Inputs!$C$9)^(L$3-Initiatives!$J$33)-Initiatives!$J$31,0)</f>
        <v>11538461.5384615</v>
      </c>
      <c r="M114" s="8" t="n">
        <f aca="false">IF(M$3&lt;=Initiatives!$J$46,Initiatives!$J$29/Initiatives!$J$46,0)+IF(M$3&gt;=Initiatives!$J$33,Initiatives!$J$30,0)+IF(M$3=Initiatives!$J$33,Initiatives!$J$39*Initiatives!$J$26,0)+M108*Initiatives!$J$27+M110*Initiatives!$J$28+IF(AND(Initiatives!$J$6="reprice",M$3&gt;=Initiatives!$J$33),Initiatives!$J$41*Initiatives!$J$21*(1-Inputs!$C$9)^(M$3-Initiatives!$J$33)-Initiatives!$J$31,0)</f>
        <v>11538461.5384615</v>
      </c>
      <c r="N114" s="8" t="n">
        <f aca="false">IF(N$3&lt;=Initiatives!$J$46,Initiatives!$J$29/Initiatives!$J$46,0)+IF(N$3&gt;=Initiatives!$J$33,Initiatives!$J$30,0)+IF(N$3=Initiatives!$J$33,Initiatives!$J$39*Initiatives!$J$26,0)+N108*Initiatives!$J$27+N110*Initiatives!$J$28+IF(AND(Initiatives!$J$6="reprice",N$3&gt;=Initiatives!$J$33),Initiatives!$J$41*Initiatives!$J$21*(1-Inputs!$C$9)^(N$3-Initiatives!$J$33)-Initiatives!$J$31,0)</f>
        <v>11538461.5384615</v>
      </c>
      <c r="O114" s="8" t="n">
        <f aca="false">IF(O$3&lt;=Initiatives!$J$46,Initiatives!$J$29/Initiatives!$J$46,0)+IF(O$3&gt;=Initiatives!$J$33,Initiatives!$J$30,0)+IF(O$3=Initiatives!$J$33,Initiatives!$J$39*Initiatives!$J$26,0)+O108*Initiatives!$J$27+O110*Initiatives!$J$28+IF(AND(Initiatives!$J$6="reprice",O$3&gt;=Initiatives!$J$33),Initiatives!$J$41*Initiatives!$J$21*(1-Inputs!$C$9)^(O$3-Initiatives!$J$33)-Initiatives!$J$31,0)</f>
        <v>11538461.5384615</v>
      </c>
      <c r="P114" s="8" t="n">
        <f aca="false">IF(P$3&lt;=Initiatives!$J$46,Initiatives!$J$29/Initiatives!$J$46,0)+IF(P$3&gt;=Initiatives!$J$33,Initiatives!$J$30,0)+IF(P$3=Initiatives!$J$33,Initiatives!$J$39*Initiatives!$J$26,0)+P108*Initiatives!$J$27+P110*Initiatives!$J$28+IF(AND(Initiatives!$J$6="reprice",P$3&gt;=Initiatives!$J$33),Initiatives!$J$41*Initiatives!$J$21*(1-Inputs!$C$9)^(P$3-Initiatives!$J$33)-Initiatives!$J$31,0)</f>
        <v>270832000</v>
      </c>
      <c r="Q114" s="8" t="n">
        <f aca="false">IF(Q$3&lt;=Initiatives!$J$46,Initiatives!$J$29/Initiatives!$J$46,0)+IF(Q$3&gt;=Initiatives!$J$33,Initiatives!$J$30,0)+IF(Q$3=Initiatives!$J$33,Initiatives!$J$39*Initiatives!$J$26,0)+Q108*Initiatives!$J$27+Q110*Initiatives!$J$28+IF(AND(Initiatives!$J$6="reprice",Q$3&gt;=Initiatives!$J$33),Initiatives!$J$41*Initiatives!$J$21*(1-Inputs!$C$9)^(Q$3-Initiatives!$J$33)-Initiatives!$J$31,0)</f>
        <v>135165920</v>
      </c>
      <c r="R114" s="8" t="n">
        <f aca="false">IF(R$3&lt;=Initiatives!$J$46,Initiatives!$J$29/Initiatives!$J$46,0)+IF(R$3&gt;=Initiatives!$J$33,Initiatives!$J$30,0)+IF(R$3=Initiatives!$J$33,Initiatives!$J$39*Initiatives!$J$26,0)+R108*Initiatives!$J$27+R110*Initiatives!$J$28+IF(AND(Initiatives!$J$6="reprice",R$3&gt;=Initiatives!$J$33),Initiatives!$J$41*Initiatives!$J$21*(1-Inputs!$C$9)^(R$3-Initiatives!$J$33)-Initiatives!$J$31,0)</f>
        <v>133288431.2</v>
      </c>
      <c r="S114" s="8" t="n">
        <f aca="false">IF(S$3&lt;=Initiatives!$J$46,Initiatives!$J$29/Initiatives!$J$46,0)+IF(S$3&gt;=Initiatives!$J$33,Initiatives!$J$30,0)+IF(S$3=Initiatives!$J$33,Initiatives!$J$39*Initiatives!$J$26,0)+S108*Initiatives!$J$27+S110*Initiatives!$J$28+IF(AND(Initiatives!$J$6="reprice",S$3&gt;=Initiatives!$J$33),Initiatives!$J$41*Initiatives!$J$21*(1-Inputs!$C$9)^(S$3-Initiatives!$J$33)-Initiatives!$J$31,0)</f>
        <v>131439104.732</v>
      </c>
      <c r="T114" s="8" t="n">
        <f aca="false">IF(T$3&lt;=Initiatives!$J$46,Initiatives!$J$29/Initiatives!$J$46,0)+IF(T$3&gt;=Initiatives!$J$33,Initiatives!$J$30,0)+IF(T$3=Initiatives!$J$33,Initiatives!$J$39*Initiatives!$J$26,0)+T108*Initiatives!$J$27+T110*Initiatives!$J$28+IF(AND(Initiatives!$J$6="reprice",T$3&gt;=Initiatives!$J$33),Initiatives!$J$41*Initiatives!$J$21*(1-Inputs!$C$9)^(T$3-Initiatives!$J$33)-Initiatives!$J$31,0)</f>
        <v>129617518.16102</v>
      </c>
      <c r="U114" s="8" t="n">
        <f aca="false">IF(U$3&lt;=Initiatives!$J$46,Initiatives!$J$29/Initiatives!$J$46,0)+IF(U$3&gt;=Initiatives!$J$33,Initiatives!$J$30,0)+IF(U$3=Initiatives!$J$33,Initiatives!$J$39*Initiatives!$J$26,0)+U108*Initiatives!$J$27+U110*Initiatives!$J$28+IF(AND(Initiatives!$J$6="reprice",U$3&gt;=Initiatives!$J$33),Initiatives!$J$41*Initiatives!$J$21*(1-Inputs!$C$9)^(U$3-Initiatives!$J$33)-Initiatives!$J$31,0)</f>
        <v>127823255.388605</v>
      </c>
      <c r="V114" s="8" t="n">
        <f aca="false">IF(V$3&lt;=Initiatives!$J$46,Initiatives!$J$29/Initiatives!$J$46,0)+IF(V$3&gt;=Initiatives!$J$33,Initiatives!$J$30,0)+IF(V$3=Initiatives!$J$33,Initiatives!$J$39*Initiatives!$J$26,0)+V108*Initiatives!$J$27+V110*Initiatives!$J$28+IF(AND(Initiatives!$J$6="reprice",V$3&gt;=Initiatives!$J$33),Initiatives!$J$41*Initiatives!$J$21*(1-Inputs!$C$9)^(V$3-Initiatives!$J$33)-Initiatives!$J$31,0)</f>
        <v>126055906.557776</v>
      </c>
      <c r="W114" s="8" t="n">
        <f aca="false">IF(W$3&lt;=Initiatives!$J$46,Initiatives!$J$29/Initiatives!$J$46,0)+IF(W$3&gt;=Initiatives!$J$33,Initiatives!$J$30,0)+IF(W$3=Initiatives!$J$33,Initiatives!$J$39*Initiatives!$J$26,0)+W108*Initiatives!$J$27+W110*Initiatives!$J$28+IF(AND(Initiatives!$J$6="reprice",W$3&gt;=Initiatives!$J$33),Initiatives!$J$41*Initiatives!$J$21*(1-Inputs!$C$9)^(W$3-Initiatives!$J$33)-Initiatives!$J$31,0)</f>
        <v>124315067.959409</v>
      </c>
      <c r="X114" s="8" t="n">
        <f aca="false">IF(X$3&lt;=Initiatives!$J$46,Initiatives!$J$29/Initiatives!$J$46,0)+IF(X$3&gt;=Initiatives!$J$33,Initiatives!$J$30,0)+IF(X$3=Initiatives!$J$33,Initiatives!$J$39*Initiatives!$J$26,0)+X108*Initiatives!$J$27+X110*Initiatives!$J$28+IF(AND(Initiatives!$J$6="reprice",X$3&gt;=Initiatives!$J$33),Initiatives!$J$41*Initiatives!$J$21*(1-Inputs!$C$9)^(X$3-Initiatives!$J$33)-Initiatives!$J$31,0)</f>
        <v>122600341.940018</v>
      </c>
      <c r="Y114" s="8" t="n">
        <f aca="false">IF(Y$3&lt;=Initiatives!$J$46,Initiatives!$J$29/Initiatives!$J$46,0)+IF(Y$3&gt;=Initiatives!$J$33,Initiatives!$J$30,0)+IF(Y$3=Initiatives!$J$33,Initiatives!$J$39*Initiatives!$J$26,0)+Y108*Initiatives!$J$27+Y110*Initiatives!$J$28+IF(AND(Initiatives!$J$6="reprice",Y$3&gt;=Initiatives!$J$33),Initiatives!$J$41*Initiatives!$J$21*(1-Inputs!$C$9)^(Y$3-Initiatives!$J$33)-Initiatives!$J$31,0)</f>
        <v>120911336.810918</v>
      </c>
      <c r="Z114" s="8" t="n">
        <f aca="false">IF(Z$3&lt;=Initiatives!$J$46,Initiatives!$J$29/Initiatives!$J$46,0)+IF(Z$3&gt;=Initiatives!$J$33,Initiatives!$J$30,0)+IF(Z$3=Initiatives!$J$33,Initiatives!$J$39*Initiatives!$J$26,0)+Z108*Initiatives!$J$27+Z110*Initiatives!$J$28+IF(AND(Initiatives!$J$6="reprice",Z$3&gt;=Initiatives!$J$33),Initiatives!$J$41*Initiatives!$J$21*(1-Inputs!$C$9)^(Z$3-Initiatives!$J$33)-Initiatives!$J$31,0)</f>
        <v>119247666.758754</v>
      </c>
    </row>
    <row r="115" customFormat="false" ht="15" hidden="false" customHeight="false" outlineLevel="0" collapsed="false">
      <c r="A115" s="4" t="s">
        <v>231</v>
      </c>
      <c r="B115" s="4" t="s">
        <v>232</v>
      </c>
      <c r="C115" s="8" t="n">
        <f aca="false">(C112+C113)*Initiatives!$J$32-C114</f>
        <v>-11538461.5384615</v>
      </c>
      <c r="D115" s="8" t="n">
        <f aca="false">(D112+D113)*Initiatives!$J$32-D114</f>
        <v>-11538461.5384615</v>
      </c>
      <c r="E115" s="8" t="n">
        <f aca="false">(E112+E113)*Initiatives!$J$32-E114</f>
        <v>-11538461.5384615</v>
      </c>
      <c r="F115" s="8" t="n">
        <f aca="false">(F112+F113)*Initiatives!$J$32-F114</f>
        <v>-11538461.5384615</v>
      </c>
      <c r="G115" s="8" t="n">
        <f aca="false">(G112+G113)*Initiatives!$J$32-G114</f>
        <v>-11538461.5384615</v>
      </c>
      <c r="H115" s="8" t="n">
        <f aca="false">(H112+H113)*Initiatives!$J$32-H114</f>
        <v>-11538461.5384615</v>
      </c>
      <c r="I115" s="8" t="n">
        <f aca="false">(I112+I113)*Initiatives!$J$32-I114</f>
        <v>-11538461.5384615</v>
      </c>
      <c r="J115" s="8" t="n">
        <f aca="false">(J112+J113)*Initiatives!$J$32-J114</f>
        <v>-11538461.5384615</v>
      </c>
      <c r="K115" s="8" t="n">
        <f aca="false">(K112+K113)*Initiatives!$J$32-K114</f>
        <v>-11538461.5384615</v>
      </c>
      <c r="L115" s="8" t="n">
        <f aca="false">(L112+L113)*Initiatives!$J$32-L114</f>
        <v>-11538461.5384615</v>
      </c>
      <c r="M115" s="8" t="n">
        <f aca="false">(M112+M113)*Initiatives!$J$32-M114</f>
        <v>-11538461.5384615</v>
      </c>
      <c r="N115" s="8" t="n">
        <f aca="false">(N112+N113)*Initiatives!$J$32-N114</f>
        <v>-11538461.5384615</v>
      </c>
      <c r="O115" s="8" t="n">
        <f aca="false">(O112+O113)*Initiatives!$J$32-O114</f>
        <v>-11538461.5384615</v>
      </c>
      <c r="P115" s="8" t="n">
        <f aca="false">(P112+P113)*Initiatives!$J$32-P114</f>
        <v>1704038857.14286</v>
      </c>
      <c r="Q115" s="8" t="n">
        <f aca="false">(Q112+Q113)*Initiatives!$J$32-Q114</f>
        <v>1622817874.28571</v>
      </c>
      <c r="R115" s="8" t="n">
        <f aca="false">(R112+R113)*Initiatives!$J$32-R114</f>
        <v>1598325606.17143</v>
      </c>
      <c r="S115" s="8" t="n">
        <f aca="false">(S112+S113)*Initiatives!$J$32-S114</f>
        <v>1574200722.07886</v>
      </c>
      <c r="T115" s="8" t="n">
        <f aca="false">(T112+T113)*Initiatives!$J$32-T114</f>
        <v>1550437711.24767</v>
      </c>
      <c r="U115" s="8" t="n">
        <f aca="false">(U112+U113)*Initiatives!$J$32-U114</f>
        <v>1527031145.57896</v>
      </c>
      <c r="V115" s="8" t="n">
        <f aca="false">(V112+V113)*Initiatives!$J$32-V114</f>
        <v>1503975678.39527</v>
      </c>
      <c r="W115" s="8" t="n">
        <f aca="false">(W112+W113)*Initiatives!$J$32-W114</f>
        <v>1481266043.21935</v>
      </c>
      <c r="X115" s="8" t="n">
        <f aca="false">(X112+X113)*Initiatives!$J$32-X114</f>
        <v>1458897052.57106</v>
      </c>
      <c r="Y115" s="8" t="n">
        <f aca="false">(Y112+Y113)*Initiatives!$J$32-Y114</f>
        <v>1436863596.78249</v>
      </c>
      <c r="Z115" s="8" t="n">
        <f aca="false">(Z112+Z113)*Initiatives!$J$32-Z114</f>
        <v>1415160642.83075</v>
      </c>
    </row>
    <row r="116" customFormat="false" ht="15" hidden="false" customHeight="false" outlineLevel="0" collapsed="false">
      <c r="A116" s="4" t="s">
        <v>233</v>
      </c>
      <c r="B116" s="4" t="s">
        <v>234</v>
      </c>
      <c r="C116" s="8" t="n">
        <f aca="false">C109-C111</f>
        <v>0</v>
      </c>
      <c r="D116" s="8" t="n">
        <f aca="false">D109-D111</f>
        <v>0</v>
      </c>
      <c r="E116" s="8" t="n">
        <f aca="false">E109-E111</f>
        <v>0</v>
      </c>
      <c r="F116" s="8" t="n">
        <f aca="false">F109-F111</f>
        <v>0</v>
      </c>
      <c r="G116" s="8" t="n">
        <f aca="false">G109-G111</f>
        <v>0</v>
      </c>
      <c r="H116" s="8" t="n">
        <f aca="false">H109-H111</f>
        <v>0</v>
      </c>
      <c r="I116" s="8" t="n">
        <f aca="false">I109-I111</f>
        <v>0</v>
      </c>
      <c r="J116" s="8" t="n">
        <f aca="false">J109-J111</f>
        <v>0</v>
      </c>
      <c r="K116" s="8" t="n">
        <f aca="false">K109-K111</f>
        <v>0</v>
      </c>
      <c r="L116" s="8" t="n">
        <f aca="false">L109-L111</f>
        <v>0</v>
      </c>
      <c r="M116" s="8" t="n">
        <f aca="false">M109-M111</f>
        <v>0</v>
      </c>
      <c r="N116" s="8" t="n">
        <f aca="false">N109-N111</f>
        <v>0</v>
      </c>
      <c r="O116" s="8" t="n">
        <f aca="false">O109-O111</f>
        <v>0</v>
      </c>
      <c r="P116" s="8" t="n">
        <f aca="false">P109-P111</f>
        <v>-6688</v>
      </c>
      <c r="Q116" s="8" t="n">
        <f aca="false">Q109-Q111</f>
        <v>-13275.68</v>
      </c>
      <c r="R116" s="8" t="n">
        <f aca="false">R109-R111</f>
        <v>-13076.5448</v>
      </c>
      <c r="S116" s="8" t="n">
        <f aca="false">S109-S111</f>
        <v>-12880.396628</v>
      </c>
      <c r="T116" s="8" t="n">
        <f aca="false">T109-T111</f>
        <v>-12687.19067858</v>
      </c>
      <c r="U116" s="8" t="n">
        <f aca="false">U109-U111</f>
        <v>-12496.8828184013</v>
      </c>
      <c r="V116" s="8" t="n">
        <f aca="false">V109-V111</f>
        <v>-12309.4295761253</v>
      </c>
      <c r="W116" s="8" t="n">
        <f aca="false">W109-W111</f>
        <v>-12124.7881324834</v>
      </c>
      <c r="X116" s="8" t="n">
        <f aca="false">X109-X111</f>
        <v>-11942.9163104961</v>
      </c>
      <c r="Y116" s="8" t="n">
        <f aca="false">Y109-Y111</f>
        <v>-11763.7725658387</v>
      </c>
      <c r="Z116" s="8" t="n">
        <f aca="false">Z109-Z111</f>
        <v>-11587.3159773511</v>
      </c>
    </row>
    <row r="117" customFormat="false" ht="15" hidden="false" customHeight="false" outlineLevel="0" collapsed="false">
      <c r="A117" s="4" t="s">
        <v>235</v>
      </c>
      <c r="B117" s="4" t="s">
        <v>236</v>
      </c>
      <c r="C117" s="8" t="n">
        <f aca="false">C110*Initiatives!$J$24</f>
        <v>0</v>
      </c>
      <c r="D117" s="8" t="n">
        <f aca="false">D110*Initiatives!$J$24</f>
        <v>0</v>
      </c>
      <c r="E117" s="8" t="n">
        <f aca="false">E110*Initiatives!$J$24</f>
        <v>0</v>
      </c>
      <c r="F117" s="8" t="n">
        <f aca="false">F110*Initiatives!$J$24</f>
        <v>0</v>
      </c>
      <c r="G117" s="8" t="n">
        <f aca="false">G110*Initiatives!$J$24</f>
        <v>0</v>
      </c>
      <c r="H117" s="8" t="n">
        <f aca="false">H110*Initiatives!$J$24</f>
        <v>0</v>
      </c>
      <c r="I117" s="8" t="n">
        <f aca="false">I110*Initiatives!$J$24</f>
        <v>0</v>
      </c>
      <c r="J117" s="8" t="n">
        <f aca="false">J110*Initiatives!$J$24</f>
        <v>0</v>
      </c>
      <c r="K117" s="8" t="n">
        <f aca="false">K110*Initiatives!$J$24</f>
        <v>0</v>
      </c>
      <c r="L117" s="8" t="n">
        <f aca="false">L110*Initiatives!$J$24</f>
        <v>0</v>
      </c>
      <c r="M117" s="8" t="n">
        <f aca="false">M110*Initiatives!$J$24</f>
        <v>0</v>
      </c>
      <c r="N117" s="8" t="n">
        <f aca="false">N110*Initiatives!$J$24</f>
        <v>0</v>
      </c>
      <c r="O117" s="8" t="n">
        <f aca="false">O110*Initiatives!$J$24</f>
        <v>0</v>
      </c>
      <c r="P117" s="8" t="n">
        <f aca="false">P110*Initiatives!$J$24</f>
        <v>0</v>
      </c>
      <c r="Q117" s="8" t="n">
        <f aca="false">Q110*Initiatives!$J$24</f>
        <v>0</v>
      </c>
      <c r="R117" s="8" t="n">
        <f aca="false">R110*Initiatives!$J$24</f>
        <v>0</v>
      </c>
      <c r="S117" s="8" t="n">
        <f aca="false">S110*Initiatives!$J$24</f>
        <v>0</v>
      </c>
      <c r="T117" s="8" t="n">
        <f aca="false">T110*Initiatives!$J$24</f>
        <v>0</v>
      </c>
      <c r="U117" s="8" t="n">
        <f aca="false">U110*Initiatives!$J$24</f>
        <v>0</v>
      </c>
      <c r="V117" s="8" t="n">
        <f aca="false">V110*Initiatives!$J$24</f>
        <v>0</v>
      </c>
      <c r="W117" s="8" t="n">
        <f aca="false">W110*Initiatives!$J$24</f>
        <v>0</v>
      </c>
      <c r="X117" s="8" t="n">
        <f aca="false">X110*Initiatives!$J$24</f>
        <v>0</v>
      </c>
      <c r="Y117" s="8" t="n">
        <f aca="false">Y110*Initiatives!$J$24</f>
        <v>0</v>
      </c>
      <c r="Z117" s="8" t="n">
        <f aca="false">Z110*Initiatives!$J$24</f>
        <v>0</v>
      </c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" hidden="false" customHeight="false" outlineLevel="0" collapsed="false">
      <c r="A119" s="17" t="s">
        <v>244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customFormat="false" ht="15" hidden="false" customHeight="false" outlineLevel="0" collapsed="false">
      <c r="A120" s="4" t="s">
        <v>213</v>
      </c>
      <c r="B120" s="4" t="s">
        <v>214</v>
      </c>
      <c r="C120" s="24" t="n">
        <f aca="false">IF(C$3&lt;Initiatives!$K$33,0,MIN((C$3-Initiatives!$K$33+1)/Initiatives!$K$34,1))</f>
        <v>0</v>
      </c>
      <c r="D120" s="24" t="n">
        <f aca="false">IF(D$3&lt;Initiatives!$K$33,0,MIN((D$3-Initiatives!$K$33+1)/Initiatives!$K$34,1))</f>
        <v>0</v>
      </c>
      <c r="E120" s="24" t="n">
        <f aca="false">IF(E$3&lt;Initiatives!$K$33,0,MIN((E$3-Initiatives!$K$33+1)/Initiatives!$K$34,1))</f>
        <v>0</v>
      </c>
      <c r="F120" s="24" t="n">
        <f aca="false">IF(F$3&lt;Initiatives!$K$33,0,MIN((F$3-Initiatives!$K$33+1)/Initiatives!$K$34,1))</f>
        <v>0</v>
      </c>
      <c r="G120" s="24" t="n">
        <f aca="false">IF(G$3&lt;Initiatives!$K$33,0,MIN((G$3-Initiatives!$K$33+1)/Initiatives!$K$34,1))</f>
        <v>0</v>
      </c>
      <c r="H120" s="24" t="n">
        <f aca="false">IF(H$3&lt;Initiatives!$K$33,0,MIN((H$3-Initiatives!$K$33+1)/Initiatives!$K$34,1))</f>
        <v>0</v>
      </c>
      <c r="I120" s="24" t="n">
        <f aca="false">IF(I$3&lt;Initiatives!$K$33,0,MIN((I$3-Initiatives!$K$33+1)/Initiatives!$K$34,1))</f>
        <v>0</v>
      </c>
      <c r="J120" s="24" t="n">
        <f aca="false">IF(J$3&lt;Initiatives!$K$33,0,MIN((J$3-Initiatives!$K$33+1)/Initiatives!$K$34,1))</f>
        <v>0.25</v>
      </c>
      <c r="K120" s="24" t="n">
        <f aca="false">IF(K$3&lt;Initiatives!$K$33,0,MIN((K$3-Initiatives!$K$33+1)/Initiatives!$K$34,1))</f>
        <v>0.5</v>
      </c>
      <c r="L120" s="24" t="n">
        <f aca="false">IF(L$3&lt;Initiatives!$K$33,0,MIN((L$3-Initiatives!$K$33+1)/Initiatives!$K$34,1))</f>
        <v>0.75</v>
      </c>
      <c r="M120" s="24" t="n">
        <f aca="false">IF(M$3&lt;Initiatives!$K$33,0,MIN((M$3-Initiatives!$K$33+1)/Initiatives!$K$34,1))</f>
        <v>1</v>
      </c>
      <c r="N120" s="24" t="n">
        <f aca="false">IF(N$3&lt;Initiatives!$K$33,0,MIN((N$3-Initiatives!$K$33+1)/Initiatives!$K$34,1))</f>
        <v>1</v>
      </c>
      <c r="O120" s="24" t="n">
        <f aca="false">IF(O$3&lt;Initiatives!$K$33,0,MIN((O$3-Initiatives!$K$33+1)/Initiatives!$K$34,1))</f>
        <v>1</v>
      </c>
      <c r="P120" s="24" t="n">
        <f aca="false">IF(P$3&lt;Initiatives!$K$33,0,MIN((P$3-Initiatives!$K$33+1)/Initiatives!$K$34,1))</f>
        <v>1</v>
      </c>
      <c r="Q120" s="24" t="n">
        <f aca="false">IF(Q$3&lt;Initiatives!$K$33,0,MIN((Q$3-Initiatives!$K$33+1)/Initiatives!$K$34,1))</f>
        <v>1</v>
      </c>
      <c r="R120" s="24" t="n">
        <f aca="false">IF(R$3&lt;Initiatives!$K$33,0,MIN((R$3-Initiatives!$K$33+1)/Initiatives!$K$34,1))</f>
        <v>1</v>
      </c>
      <c r="S120" s="24" t="n">
        <f aca="false">IF(S$3&lt;Initiatives!$K$33,0,MIN((S$3-Initiatives!$K$33+1)/Initiatives!$K$34,1))</f>
        <v>1</v>
      </c>
      <c r="T120" s="24" t="n">
        <f aca="false">IF(T$3&lt;Initiatives!$K$33,0,MIN((T$3-Initiatives!$K$33+1)/Initiatives!$K$34,1))</f>
        <v>1</v>
      </c>
      <c r="U120" s="24" t="n">
        <f aca="false">IF(U$3&lt;Initiatives!$K$33,0,MIN((U$3-Initiatives!$K$33+1)/Initiatives!$K$34,1))</f>
        <v>1</v>
      </c>
      <c r="V120" s="24" t="n">
        <f aca="false">IF(V$3&lt;Initiatives!$K$33,0,MIN((V$3-Initiatives!$K$33+1)/Initiatives!$K$34,1))</f>
        <v>1</v>
      </c>
      <c r="W120" s="24" t="n">
        <f aca="false">IF(W$3&lt;Initiatives!$K$33,0,MIN((W$3-Initiatives!$K$33+1)/Initiatives!$K$34,1))</f>
        <v>1</v>
      </c>
      <c r="X120" s="24" t="n">
        <f aca="false">IF(X$3&lt;Initiatives!$K$33,0,MIN((X$3-Initiatives!$K$33+1)/Initiatives!$K$34,1))</f>
        <v>1</v>
      </c>
      <c r="Y120" s="24" t="n">
        <f aca="false">IF(Y$3&lt;Initiatives!$K$33,0,MIN((Y$3-Initiatives!$K$33+1)/Initiatives!$K$34,1))</f>
        <v>1</v>
      </c>
      <c r="Z120" s="24" t="n">
        <f aca="false">IF(Z$3&lt;Initiatives!$K$33,0,MIN((Z$3-Initiatives!$K$33+1)/Initiatives!$K$34,1))</f>
        <v>1</v>
      </c>
    </row>
    <row r="121" customFormat="false" ht="15" hidden="false" customHeight="false" outlineLevel="0" collapsed="false">
      <c r="A121" s="4" t="s">
        <v>215</v>
      </c>
      <c r="B121" s="4" t="s">
        <v>216</v>
      </c>
      <c r="C121" s="8" t="n">
        <f aca="false">Initiatives!$K$40*C120</f>
        <v>0</v>
      </c>
      <c r="D121" s="8" t="n">
        <f aca="false">Initiatives!$K$40*D120</f>
        <v>0</v>
      </c>
      <c r="E121" s="8" t="n">
        <f aca="false">Initiatives!$K$40*E120</f>
        <v>0</v>
      </c>
      <c r="F121" s="8" t="n">
        <f aca="false">Initiatives!$K$40*F120</f>
        <v>0</v>
      </c>
      <c r="G121" s="8" t="n">
        <f aca="false">Initiatives!$K$40*G120</f>
        <v>0</v>
      </c>
      <c r="H121" s="8" t="n">
        <f aca="false">Initiatives!$K$40*H120</f>
        <v>0</v>
      </c>
      <c r="I121" s="8" t="n">
        <f aca="false">Initiatives!$K$40*I120</f>
        <v>0</v>
      </c>
      <c r="J121" s="8" t="n">
        <f aca="false">Initiatives!$K$40*J120</f>
        <v>0</v>
      </c>
      <c r="K121" s="8" t="n">
        <f aca="false">Initiatives!$K$40*K120</f>
        <v>0</v>
      </c>
      <c r="L121" s="8" t="n">
        <f aca="false">Initiatives!$K$40*L120</f>
        <v>0</v>
      </c>
      <c r="M121" s="8" t="n">
        <f aca="false">Initiatives!$K$40*M120</f>
        <v>0</v>
      </c>
      <c r="N121" s="8" t="n">
        <f aca="false">Initiatives!$K$40*N120</f>
        <v>0</v>
      </c>
      <c r="O121" s="8" t="n">
        <f aca="false">Initiatives!$K$40*O120</f>
        <v>0</v>
      </c>
      <c r="P121" s="8" t="n">
        <f aca="false">Initiatives!$K$40*P120</f>
        <v>0</v>
      </c>
      <c r="Q121" s="8" t="n">
        <f aca="false">Initiatives!$K$40*Q120</f>
        <v>0</v>
      </c>
      <c r="R121" s="8" t="n">
        <f aca="false">Initiatives!$K$40*R120</f>
        <v>0</v>
      </c>
      <c r="S121" s="8" t="n">
        <f aca="false">Initiatives!$K$40*S120</f>
        <v>0</v>
      </c>
      <c r="T121" s="8" t="n">
        <f aca="false">Initiatives!$K$40*T120</f>
        <v>0</v>
      </c>
      <c r="U121" s="8" t="n">
        <f aca="false">Initiatives!$K$40*U120</f>
        <v>0</v>
      </c>
      <c r="V121" s="8" t="n">
        <f aca="false">Initiatives!$K$40*V120</f>
        <v>0</v>
      </c>
      <c r="W121" s="8" t="n">
        <f aca="false">Initiatives!$K$40*W120</f>
        <v>0</v>
      </c>
      <c r="X121" s="8" t="n">
        <f aca="false">Initiatives!$K$40*X120</f>
        <v>0</v>
      </c>
      <c r="Y121" s="8" t="n">
        <f aca="false">Initiatives!$K$40*Y120</f>
        <v>0</v>
      </c>
      <c r="Z121" s="8" t="n">
        <f aca="false">Initiatives!$K$40*Z120</f>
        <v>0</v>
      </c>
    </row>
    <row r="122" customFormat="false" ht="15" hidden="false" customHeight="false" outlineLevel="0" collapsed="false">
      <c r="A122" s="4" t="s">
        <v>217</v>
      </c>
      <c r="B122" s="4" t="s">
        <v>218</v>
      </c>
      <c r="C122" s="8" t="n">
        <f aca="false">MAX(C121-N(B121),0)</f>
        <v>0</v>
      </c>
      <c r="D122" s="8" t="n">
        <f aca="false">MAX(D121-N(C121),0)</f>
        <v>0</v>
      </c>
      <c r="E122" s="8" t="n">
        <f aca="false">MAX(E121-N(D121),0)</f>
        <v>0</v>
      </c>
      <c r="F122" s="8" t="n">
        <f aca="false">MAX(F121-N(E121),0)</f>
        <v>0</v>
      </c>
      <c r="G122" s="8" t="n">
        <f aca="false">MAX(G121-N(F121),0)</f>
        <v>0</v>
      </c>
      <c r="H122" s="8" t="n">
        <f aca="false">MAX(H121-N(G121),0)</f>
        <v>0</v>
      </c>
      <c r="I122" s="8" t="n">
        <f aca="false">MAX(I121-N(H121),0)</f>
        <v>0</v>
      </c>
      <c r="J122" s="8" t="n">
        <f aca="false">MAX(J121-N(I121),0)</f>
        <v>0</v>
      </c>
      <c r="K122" s="8" t="n">
        <f aca="false">MAX(K121-N(J121),0)</f>
        <v>0</v>
      </c>
      <c r="L122" s="8" t="n">
        <f aca="false">MAX(L121-N(K121),0)</f>
        <v>0</v>
      </c>
      <c r="M122" s="8" t="n">
        <f aca="false">MAX(M121-N(L121),0)</f>
        <v>0</v>
      </c>
      <c r="N122" s="8" t="n">
        <f aca="false">MAX(N121-N(M121),0)</f>
        <v>0</v>
      </c>
      <c r="O122" s="8" t="n">
        <f aca="false">MAX(O121-N(N121),0)</f>
        <v>0</v>
      </c>
      <c r="P122" s="8" t="n">
        <f aca="false">MAX(P121-N(O121),0)</f>
        <v>0</v>
      </c>
      <c r="Q122" s="8" t="n">
        <f aca="false">MAX(Q121-N(P121),0)</f>
        <v>0</v>
      </c>
      <c r="R122" s="8" t="n">
        <f aca="false">MAX(R121-N(Q121),0)</f>
        <v>0</v>
      </c>
      <c r="S122" s="8" t="n">
        <f aca="false">MAX(S121-N(R121),0)</f>
        <v>0</v>
      </c>
      <c r="T122" s="8" t="n">
        <f aca="false">MAX(T121-N(S121),0)</f>
        <v>0</v>
      </c>
      <c r="U122" s="8" t="n">
        <f aca="false">MAX(U121-N(T121),0)</f>
        <v>0</v>
      </c>
      <c r="V122" s="8" t="n">
        <f aca="false">MAX(V121-N(U121),0)</f>
        <v>0</v>
      </c>
      <c r="W122" s="8" t="n">
        <f aca="false">MAX(W121-N(V121),0)</f>
        <v>0</v>
      </c>
      <c r="X122" s="8" t="n">
        <f aca="false">MAX(X121-N(W121),0)</f>
        <v>0</v>
      </c>
      <c r="Y122" s="8" t="n">
        <f aca="false">MAX(Y121-N(X121),0)</f>
        <v>0</v>
      </c>
      <c r="Z122" s="8" t="n">
        <f aca="false">MAX(Z121-N(Y121),0)</f>
        <v>0</v>
      </c>
    </row>
    <row r="123" customFormat="false" ht="15" hidden="false" customHeight="false" outlineLevel="0" collapsed="false">
      <c r="A123" s="4" t="s">
        <v>219</v>
      </c>
      <c r="B123" s="4" t="s">
        <v>220</v>
      </c>
      <c r="C123" s="8" t="n">
        <f aca="false">IF(Initiatives!$K$6="adoption",N(B123)*(1-Inputs!$C$9)+N(B124)*Inputs!$C$9*Initiatives!$K$16,IF(Initiatives!$K$6="relative",N(B123)*(1-Inputs!$C$9)+C$4*Inputs!$C$9*Initiatives!$K$23*C120,0))</f>
        <v>0</v>
      </c>
      <c r="D123" s="8" t="n">
        <f aca="false">IF(Initiatives!$K$6="adoption",N(C123)*(1-Inputs!$C$9)+N(C124)*Inputs!$C$9*Initiatives!$K$16,IF(Initiatives!$K$6="relative",N(C123)*(1-Inputs!$C$9)+D$4*Inputs!$C$9*Initiatives!$K$23*D120,0))</f>
        <v>0</v>
      </c>
      <c r="E123" s="8" t="n">
        <f aca="false">IF(Initiatives!$K$6="adoption",N(D123)*(1-Inputs!$C$9)+N(D124)*Inputs!$C$9*Initiatives!$K$16,IF(Initiatives!$K$6="relative",N(D123)*(1-Inputs!$C$9)+E$4*Inputs!$C$9*Initiatives!$K$23*E120,0))</f>
        <v>0</v>
      </c>
      <c r="F123" s="8" t="n">
        <f aca="false">IF(Initiatives!$K$6="adoption",N(E123)*(1-Inputs!$C$9)+N(E124)*Inputs!$C$9*Initiatives!$K$16,IF(Initiatives!$K$6="relative",N(E123)*(1-Inputs!$C$9)+F$4*Inputs!$C$9*Initiatives!$K$23*F120,0))</f>
        <v>0</v>
      </c>
      <c r="G123" s="8" t="n">
        <f aca="false">IF(Initiatives!$K$6="adoption",N(F123)*(1-Inputs!$C$9)+N(F124)*Inputs!$C$9*Initiatives!$K$16,IF(Initiatives!$K$6="relative",N(F123)*(1-Inputs!$C$9)+G$4*Inputs!$C$9*Initiatives!$K$23*G120,0))</f>
        <v>0</v>
      </c>
      <c r="H123" s="8" t="n">
        <f aca="false">IF(Initiatives!$K$6="adoption",N(G123)*(1-Inputs!$C$9)+N(G124)*Inputs!$C$9*Initiatives!$K$16,IF(Initiatives!$K$6="relative",N(G123)*(1-Inputs!$C$9)+H$4*Inputs!$C$9*Initiatives!$K$23*H120,0))</f>
        <v>0</v>
      </c>
      <c r="I123" s="8" t="n">
        <f aca="false">IF(Initiatives!$K$6="adoption",N(H123)*(1-Inputs!$C$9)+N(H124)*Inputs!$C$9*Initiatives!$K$16,IF(Initiatives!$K$6="relative",N(H123)*(1-Inputs!$C$9)+I$4*Inputs!$C$9*Initiatives!$K$23*I120,0))</f>
        <v>0</v>
      </c>
      <c r="J123" s="8" t="n">
        <f aca="false">IF(Initiatives!$K$6="adoption",N(I123)*(1-Inputs!$C$9)+N(I124)*Inputs!$C$9*Initiatives!$K$16,IF(Initiatives!$K$6="relative",N(I123)*(1-Inputs!$C$9)+J$4*Inputs!$C$9*Initiatives!$K$23*J120,0))</f>
        <v>584.835571018098</v>
      </c>
      <c r="K123" s="8" t="n">
        <f aca="false">IF(Initiatives!$K$6="adoption",N(J123)*(1-Inputs!$C$9)+N(J124)*Inputs!$C$9*Initiatives!$K$16,IF(Initiatives!$K$6="relative",N(J123)*(1-Inputs!$C$9)+K$4*Inputs!$C$9*Initiatives!$K$23*K120,0))</f>
        <v>1728.18911235848</v>
      </c>
      <c r="L123" s="8" t="n">
        <f aca="false">IF(Initiatives!$K$6="adoption",N(K123)*(1-Inputs!$C$9)+N(K124)*Inputs!$C$9*Initiatives!$K$16,IF(Initiatives!$K$6="relative",N(K123)*(1-Inputs!$C$9)+L$4*Inputs!$C$9*Initiatives!$K$23*L120,0))</f>
        <v>3404.53255134621</v>
      </c>
      <c r="M123" s="8" t="n">
        <f aca="false">IF(Initiatives!$K$6="adoption",N(L123)*(1-Inputs!$C$9)+N(L124)*Inputs!$C$9*Initiatives!$K$16,IF(Initiatives!$K$6="relative",N(L123)*(1-Inputs!$C$9)+M$4*Inputs!$C$9*Initiatives!$K$23*M120,0))</f>
        <v>5589.10760512669</v>
      </c>
      <c r="N123" s="8" t="n">
        <f aca="false">IF(Initiatives!$K$6="adoption",N(M123)*(1-Inputs!$C$9)+N(M124)*Inputs!$C$9*Initiatives!$K$16,IF(Initiatives!$K$6="relative",N(M123)*(1-Inputs!$C$9)+N$4*Inputs!$C$9*Initiatives!$K$23*N120,0))</f>
        <v>7707.3793874697</v>
      </c>
      <c r="O123" s="8" t="n">
        <f aca="false">IF(Initiatives!$K$6="adoption",N(N123)*(1-Inputs!$C$9)+N(N124)*Inputs!$C$9*Initiatives!$K$16,IF(Initiatives!$K$6="relative",N(N123)*(1-Inputs!$C$9)+O$4*Inputs!$C$9*Initiatives!$K$23*O120,0))</f>
        <v>9760.84546713127</v>
      </c>
      <c r="P123" s="8" t="n">
        <f aca="false">IF(Initiatives!$K$6="adoption",N(O123)*(1-Inputs!$C$9)+N(O124)*Inputs!$C$9*Initiatives!$K$16,IF(Initiatives!$K$6="relative",N(O123)*(1-Inputs!$C$9)+P$4*Inputs!$C$9*Initiatives!$K$23*P120,0))</f>
        <v>11750.9734040408</v>
      </c>
      <c r="Q123" s="8" t="n">
        <f aca="false">IF(Initiatives!$K$6="adoption",N(P123)*(1-Inputs!$C$9)+N(P124)*Inputs!$C$9*Initiatives!$K$16,IF(Initiatives!$K$6="relative",N(P123)*(1-Inputs!$C$9)+Q$4*Inputs!$C$9*Initiatives!$K$23*Q120,0))</f>
        <v>13679.201312613</v>
      </c>
      <c r="R123" s="8" t="n">
        <f aca="false">IF(Initiatives!$K$6="adoption",N(Q123)*(1-Inputs!$C$9)+N(Q124)*Inputs!$C$9*Initiatives!$K$16,IF(Initiatives!$K$6="relative",N(Q123)*(1-Inputs!$C$9)+R$4*Inputs!$C$9*Initiatives!$K$23*R120,0))</f>
        <v>15546.938414912</v>
      </c>
      <c r="S123" s="8" t="n">
        <f aca="false">IF(Initiatives!$K$6="adoption",N(R123)*(1-Inputs!$C$9)+N(R124)*Inputs!$C$9*Initiatives!$K$16,IF(Initiatives!$K$6="relative",N(R123)*(1-Inputs!$C$9)+S$4*Inputs!$C$9*Initiatives!$K$23*S120,0))</f>
        <v>17355.5655838468</v>
      </c>
      <c r="T123" s="8" t="n">
        <f aca="false">IF(Initiatives!$K$6="adoption",N(S123)*(1-Inputs!$C$9)+N(S124)*Inputs!$C$9*Initiatives!$K$16,IF(Initiatives!$K$6="relative",N(S123)*(1-Inputs!$C$9)+T$4*Inputs!$C$9*Initiatives!$K$23*T120,0))</f>
        <v>19106.4358765702</v>
      </c>
      <c r="U123" s="8" t="n">
        <f aca="false">IF(Initiatives!$K$6="adoption",N(T123)*(1-Inputs!$C$9)+N(T124)*Inputs!$C$9*Initiatives!$K$16,IF(Initiatives!$K$6="relative",N(T123)*(1-Inputs!$C$9)+U$4*Inputs!$C$9*Initiatives!$K$23*U120,0))</f>
        <v>20800.8750582555</v>
      </c>
      <c r="V123" s="8" t="n">
        <f aca="false">IF(Initiatives!$K$6="adoption",N(U123)*(1-Inputs!$C$9)+N(U124)*Inputs!$C$9*Initiatives!$K$16,IF(Initiatives!$K$6="relative",N(U123)*(1-Inputs!$C$9)+V$4*Inputs!$C$9*Initiatives!$K$23*V120,0))</f>
        <v>22440.182116418</v>
      </c>
      <c r="W123" s="8" t="n">
        <f aca="false">IF(Initiatives!$K$6="adoption",N(V123)*(1-Inputs!$C$9)+N(V124)*Inputs!$C$9*Initiatives!$K$16,IF(Initiatives!$K$6="relative",N(V123)*(1-Inputs!$C$9)+W$4*Inputs!$C$9*Initiatives!$K$23*W120,0))</f>
        <v>24025.6297659475</v>
      </c>
      <c r="X123" s="8" t="n">
        <f aca="false">IF(Initiatives!$K$6="adoption",N(W123)*(1-Inputs!$C$9)+N(W124)*Inputs!$C$9*Initiatives!$K$16,IF(Initiatives!$K$6="relative",N(W123)*(1-Inputs!$C$9)+X$4*Inputs!$C$9*Initiatives!$K$23*X120,0))</f>
        <v>25558.464945015</v>
      </c>
      <c r="Y123" s="8" t="n">
        <f aca="false">IF(Initiatives!$K$6="adoption",N(X123)*(1-Inputs!$C$9)+N(X124)*Inputs!$C$9*Initiatives!$K$16,IF(Initiatives!$K$6="relative",N(X123)*(1-Inputs!$C$9)+Y$4*Inputs!$C$9*Initiatives!$K$23*Y120,0))</f>
        <v>27039.9093020131</v>
      </c>
      <c r="Z123" s="8" t="n">
        <f aca="false">IF(Initiatives!$K$6="adoption",N(Y123)*(1-Inputs!$C$9)+N(Y124)*Inputs!$C$9*Initiatives!$K$16,IF(Initiatives!$K$6="relative",N(Y123)*(1-Inputs!$C$9)+Z$4*Inputs!$C$9*Initiatives!$K$23*Z120,0))</f>
        <v>28471.1596736886</v>
      </c>
    </row>
    <row r="124" customFormat="false" ht="15" hidden="false" customHeight="false" outlineLevel="0" collapsed="false">
      <c r="A124" s="4" t="s">
        <v>221</v>
      </c>
      <c r="B124" s="4" t="s">
        <v>222</v>
      </c>
      <c r="C124" s="8" t="n">
        <f aca="false">N(B124)*(1-Initiatives!$K$45)*(1-Inputs!$C$9*(1-Initiatives!$K$16))+C122</f>
        <v>0</v>
      </c>
      <c r="D124" s="8" t="n">
        <f aca="false">N(C124)*(1-Initiatives!$K$45)*(1-Inputs!$C$9*(1-Initiatives!$K$16))+D122</f>
        <v>0</v>
      </c>
      <c r="E124" s="8" t="n">
        <f aca="false">N(D124)*(1-Initiatives!$K$45)*(1-Inputs!$C$9*(1-Initiatives!$K$16))+E122</f>
        <v>0</v>
      </c>
      <c r="F124" s="8" t="n">
        <f aca="false">N(E124)*(1-Initiatives!$K$45)*(1-Inputs!$C$9*(1-Initiatives!$K$16))+F122</f>
        <v>0</v>
      </c>
      <c r="G124" s="8" t="n">
        <f aca="false">N(F124)*(1-Initiatives!$K$45)*(1-Inputs!$C$9*(1-Initiatives!$K$16))+G122</f>
        <v>0</v>
      </c>
      <c r="H124" s="8" t="n">
        <f aca="false">N(G124)*(1-Initiatives!$K$45)*(1-Inputs!$C$9*(1-Initiatives!$K$16))+H122</f>
        <v>0</v>
      </c>
      <c r="I124" s="8" t="n">
        <f aca="false">N(H124)*(1-Initiatives!$K$45)*(1-Inputs!$C$9*(1-Initiatives!$K$16))+I122</f>
        <v>0</v>
      </c>
      <c r="J124" s="8" t="n">
        <f aca="false">N(I124)*(1-Initiatives!$K$45)*(1-Inputs!$C$9*(1-Initiatives!$K$16))+J122</f>
        <v>0</v>
      </c>
      <c r="K124" s="8" t="n">
        <f aca="false">N(J124)*(1-Initiatives!$K$45)*(1-Inputs!$C$9*(1-Initiatives!$K$16))+K122</f>
        <v>0</v>
      </c>
      <c r="L124" s="8" t="n">
        <f aca="false">N(K124)*(1-Initiatives!$K$45)*(1-Inputs!$C$9*(1-Initiatives!$K$16))+L122</f>
        <v>0</v>
      </c>
      <c r="M124" s="8" t="n">
        <f aca="false">N(L124)*(1-Initiatives!$K$45)*(1-Inputs!$C$9*(1-Initiatives!$K$16))+M122</f>
        <v>0</v>
      </c>
      <c r="N124" s="8" t="n">
        <f aca="false">N(M124)*(1-Initiatives!$K$45)*(1-Inputs!$C$9*(1-Initiatives!$K$16))+N122</f>
        <v>0</v>
      </c>
      <c r="O124" s="8" t="n">
        <f aca="false">N(N124)*(1-Initiatives!$K$45)*(1-Inputs!$C$9*(1-Initiatives!$K$16))+O122</f>
        <v>0</v>
      </c>
      <c r="P124" s="8" t="n">
        <f aca="false">N(O124)*(1-Initiatives!$K$45)*(1-Inputs!$C$9*(1-Initiatives!$K$16))+P122</f>
        <v>0</v>
      </c>
      <c r="Q124" s="8" t="n">
        <f aca="false">N(P124)*(1-Initiatives!$K$45)*(1-Inputs!$C$9*(1-Initiatives!$K$16))+Q122</f>
        <v>0</v>
      </c>
      <c r="R124" s="8" t="n">
        <f aca="false">N(Q124)*(1-Initiatives!$K$45)*(1-Inputs!$C$9*(1-Initiatives!$K$16))+R122</f>
        <v>0</v>
      </c>
      <c r="S124" s="8" t="n">
        <f aca="false">N(R124)*(1-Initiatives!$K$45)*(1-Inputs!$C$9*(1-Initiatives!$K$16))+S122</f>
        <v>0</v>
      </c>
      <c r="T124" s="8" t="n">
        <f aca="false">N(S124)*(1-Initiatives!$K$45)*(1-Inputs!$C$9*(1-Initiatives!$K$16))+T122</f>
        <v>0</v>
      </c>
      <c r="U124" s="8" t="n">
        <f aca="false">N(T124)*(1-Initiatives!$K$45)*(1-Inputs!$C$9*(1-Initiatives!$K$16))+U122</f>
        <v>0</v>
      </c>
      <c r="V124" s="8" t="n">
        <f aca="false">N(U124)*(1-Initiatives!$K$45)*(1-Inputs!$C$9*(1-Initiatives!$K$16))+V122</f>
        <v>0</v>
      </c>
      <c r="W124" s="8" t="n">
        <f aca="false">N(V124)*(1-Initiatives!$K$45)*(1-Inputs!$C$9*(1-Initiatives!$K$16))+W122</f>
        <v>0</v>
      </c>
      <c r="X124" s="8" t="n">
        <f aca="false">N(W124)*(1-Initiatives!$K$45)*(1-Inputs!$C$9*(1-Initiatives!$K$16))+X122</f>
        <v>0</v>
      </c>
      <c r="Y124" s="8" t="n">
        <f aca="false">N(X124)*(1-Initiatives!$K$45)*(1-Inputs!$C$9*(1-Initiatives!$K$16))+Y122</f>
        <v>0</v>
      </c>
      <c r="Z124" s="8" t="n">
        <f aca="false">N(Y124)*(1-Initiatives!$K$45)*(1-Inputs!$C$9*(1-Initiatives!$K$16))+Z122</f>
        <v>0</v>
      </c>
    </row>
    <row r="125" customFormat="false" ht="15" hidden="false" customHeight="false" outlineLevel="0" collapsed="false">
      <c r="A125" s="4" t="s">
        <v>223</v>
      </c>
      <c r="B125" s="4" t="s">
        <v>224</v>
      </c>
      <c r="C125" s="8" t="n">
        <f aca="false">N(B125)*(1-Inputs!$C$9)+IF(AND(C$3&gt;=Initiatives!$K$33,C$3&lt;Initiatives!$K$33+Initiatives!$K$47),Initiatives!$K$43/Initiatives!$K$47,0)</f>
        <v>0</v>
      </c>
      <c r="D125" s="8" t="n">
        <f aca="false">N(C125)*(1-Inputs!$C$9)+IF(AND(D$3&gt;=Initiatives!$K$33,D$3&lt;Initiatives!$K$33+Initiatives!$K$47),Initiatives!$K$43/Initiatives!$K$47,0)</f>
        <v>0</v>
      </c>
      <c r="E125" s="8" t="n">
        <f aca="false">N(D125)*(1-Inputs!$C$9)+IF(AND(E$3&gt;=Initiatives!$K$33,E$3&lt;Initiatives!$K$33+Initiatives!$K$47),Initiatives!$K$43/Initiatives!$K$47,0)</f>
        <v>0</v>
      </c>
      <c r="F125" s="8" t="n">
        <f aca="false">N(E125)*(1-Inputs!$C$9)+IF(AND(F$3&gt;=Initiatives!$K$33,F$3&lt;Initiatives!$K$33+Initiatives!$K$47),Initiatives!$K$43/Initiatives!$K$47,0)</f>
        <v>0</v>
      </c>
      <c r="G125" s="8" t="n">
        <f aca="false">N(F125)*(1-Inputs!$C$9)+IF(AND(G$3&gt;=Initiatives!$K$33,G$3&lt;Initiatives!$K$33+Initiatives!$K$47),Initiatives!$K$43/Initiatives!$K$47,0)</f>
        <v>0</v>
      </c>
      <c r="H125" s="8" t="n">
        <f aca="false">N(G125)*(1-Inputs!$C$9)+IF(AND(H$3&gt;=Initiatives!$K$33,H$3&lt;Initiatives!$K$33+Initiatives!$K$47),Initiatives!$K$43/Initiatives!$K$47,0)</f>
        <v>0</v>
      </c>
      <c r="I125" s="8" t="n">
        <f aca="false">N(H125)*(1-Inputs!$C$9)+IF(AND(I$3&gt;=Initiatives!$K$33,I$3&lt;Initiatives!$K$33+Initiatives!$K$47),Initiatives!$K$43/Initiatives!$K$47,0)</f>
        <v>0</v>
      </c>
      <c r="J125" s="8" t="n">
        <f aca="false">N(I125)*(1-Inputs!$C$9)+IF(AND(J$3&gt;=Initiatives!$K$33,J$3&lt;Initiatives!$K$33+Initiatives!$K$47),Initiatives!$K$43/Initiatives!$K$47,0)</f>
        <v>0</v>
      </c>
      <c r="K125" s="8" t="n">
        <f aca="false">N(J125)*(1-Inputs!$C$9)+IF(AND(K$3&gt;=Initiatives!$K$33,K$3&lt;Initiatives!$K$33+Initiatives!$K$47),Initiatives!$K$43/Initiatives!$K$47,0)</f>
        <v>0</v>
      </c>
      <c r="L125" s="8" t="n">
        <f aca="false">N(K125)*(1-Inputs!$C$9)+IF(AND(L$3&gt;=Initiatives!$K$33,L$3&lt;Initiatives!$K$33+Initiatives!$K$47),Initiatives!$K$43/Initiatives!$K$47,0)</f>
        <v>0</v>
      </c>
      <c r="M125" s="8" t="n">
        <f aca="false">N(L125)*(1-Inputs!$C$9)+IF(AND(M$3&gt;=Initiatives!$K$33,M$3&lt;Initiatives!$K$33+Initiatives!$K$47),Initiatives!$K$43/Initiatives!$K$47,0)</f>
        <v>0</v>
      </c>
      <c r="N125" s="8" t="n">
        <f aca="false">N(M125)*(1-Inputs!$C$9)+IF(AND(N$3&gt;=Initiatives!$K$33,N$3&lt;Initiatives!$K$33+Initiatives!$K$47),Initiatives!$K$43/Initiatives!$K$47,0)</f>
        <v>0</v>
      </c>
      <c r="O125" s="8" t="n">
        <f aca="false">N(N125)*(1-Inputs!$C$9)+IF(AND(O$3&gt;=Initiatives!$K$33,O$3&lt;Initiatives!$K$33+Initiatives!$K$47),Initiatives!$K$43/Initiatives!$K$47,0)</f>
        <v>0</v>
      </c>
      <c r="P125" s="8" t="n">
        <f aca="false">N(O125)*(1-Inputs!$C$9)+IF(AND(P$3&gt;=Initiatives!$K$33,P$3&lt;Initiatives!$K$33+Initiatives!$K$47),Initiatives!$K$43/Initiatives!$K$47,0)</f>
        <v>0</v>
      </c>
      <c r="Q125" s="8" t="n">
        <f aca="false">N(P125)*(1-Inputs!$C$9)+IF(AND(Q$3&gt;=Initiatives!$K$33,Q$3&lt;Initiatives!$K$33+Initiatives!$K$47),Initiatives!$K$43/Initiatives!$K$47,0)</f>
        <v>0</v>
      </c>
      <c r="R125" s="8" t="n">
        <f aca="false">N(Q125)*(1-Inputs!$C$9)+IF(AND(R$3&gt;=Initiatives!$K$33,R$3&lt;Initiatives!$K$33+Initiatives!$K$47),Initiatives!$K$43/Initiatives!$K$47,0)</f>
        <v>0</v>
      </c>
      <c r="S125" s="8" t="n">
        <f aca="false">N(R125)*(1-Inputs!$C$9)+IF(AND(S$3&gt;=Initiatives!$K$33,S$3&lt;Initiatives!$K$33+Initiatives!$K$47),Initiatives!$K$43/Initiatives!$K$47,0)</f>
        <v>0</v>
      </c>
      <c r="T125" s="8" t="n">
        <f aca="false">N(S125)*(1-Inputs!$C$9)+IF(AND(T$3&gt;=Initiatives!$K$33,T$3&lt;Initiatives!$K$33+Initiatives!$K$47),Initiatives!$K$43/Initiatives!$K$47,0)</f>
        <v>0</v>
      </c>
      <c r="U125" s="8" t="n">
        <f aca="false">N(T125)*(1-Inputs!$C$9)+IF(AND(U$3&gt;=Initiatives!$K$33,U$3&lt;Initiatives!$K$33+Initiatives!$K$47),Initiatives!$K$43/Initiatives!$K$47,0)</f>
        <v>0</v>
      </c>
      <c r="V125" s="8" t="n">
        <f aca="false">N(U125)*(1-Inputs!$C$9)+IF(AND(V$3&gt;=Initiatives!$K$33,V$3&lt;Initiatives!$K$33+Initiatives!$K$47),Initiatives!$K$43/Initiatives!$K$47,0)</f>
        <v>0</v>
      </c>
      <c r="W125" s="8" t="n">
        <f aca="false">N(V125)*(1-Inputs!$C$9)+IF(AND(W$3&gt;=Initiatives!$K$33,W$3&lt;Initiatives!$K$33+Initiatives!$K$47),Initiatives!$K$43/Initiatives!$K$47,0)</f>
        <v>0</v>
      </c>
      <c r="X125" s="8" t="n">
        <f aca="false">N(W125)*(1-Inputs!$C$9)+IF(AND(X$3&gt;=Initiatives!$K$33,X$3&lt;Initiatives!$K$33+Initiatives!$K$47),Initiatives!$K$43/Initiatives!$K$47,0)</f>
        <v>0</v>
      </c>
      <c r="Y125" s="8" t="n">
        <f aca="false">N(X125)*(1-Inputs!$C$9)+IF(AND(Y$3&gt;=Initiatives!$K$33,Y$3&lt;Initiatives!$K$33+Initiatives!$K$47),Initiatives!$K$43/Initiatives!$K$47,0)</f>
        <v>0</v>
      </c>
      <c r="Z125" s="8" t="n">
        <f aca="false">N(Y125)*(1-Inputs!$C$9)+IF(AND(Z$3&gt;=Initiatives!$K$33,Z$3&lt;Initiatives!$K$33+Initiatives!$K$47),Initiatives!$K$43/Initiatives!$K$47,0)</f>
        <v>0</v>
      </c>
    </row>
    <row r="126" customFormat="false" ht="15" hidden="false" customHeight="false" outlineLevel="0" collapsed="false">
      <c r="A126" s="4" t="s">
        <v>225</v>
      </c>
      <c r="B126" s="4" t="s">
        <v>226</v>
      </c>
      <c r="C126" s="8" t="n">
        <f aca="false">IF(Initiatives!$K$6="adoption",C124*Initiatives!$K$14+C123*Initiatives!$K$9-C125*Initiatives!$K$9,IF(Initiatives!$K$6="reprice",IF(C$3&gt;=Initiatives!$K$33,(Initiatives!$K$41*Initiatives!$K$44+Initiatives!$K$42*Initiatives!$K$20)*(1-Inputs!$C$9)^(C$3-Initiatives!$K$33),0)-C125*Initiatives!$K$9,C$5*Initiatives!$K$22*C120+C123*Inputs!$C$8))</f>
        <v>0</v>
      </c>
      <c r="D126" s="8" t="n">
        <f aca="false">IF(Initiatives!$K$6="adoption",D124*Initiatives!$K$14+D123*Initiatives!$K$9-D125*Initiatives!$K$9,IF(Initiatives!$K$6="reprice",IF(D$3&gt;=Initiatives!$K$33,(Initiatives!$K$41*Initiatives!$K$44+Initiatives!$K$42*Initiatives!$K$20)*(1-Inputs!$C$9)^(D$3-Initiatives!$K$33),0)-D125*Initiatives!$K$9,D$5*Initiatives!$K$22*D120+D123*Inputs!$C$8))</f>
        <v>0</v>
      </c>
      <c r="E126" s="8" t="n">
        <f aca="false">IF(Initiatives!$K$6="adoption",E124*Initiatives!$K$14+E123*Initiatives!$K$9-E125*Initiatives!$K$9,IF(Initiatives!$K$6="reprice",IF(E$3&gt;=Initiatives!$K$33,(Initiatives!$K$41*Initiatives!$K$44+Initiatives!$K$42*Initiatives!$K$20)*(1-Inputs!$C$9)^(E$3-Initiatives!$K$33),0)-E125*Initiatives!$K$9,E$5*Initiatives!$K$22*E120+E123*Inputs!$C$8))</f>
        <v>0</v>
      </c>
      <c r="F126" s="8" t="n">
        <f aca="false">IF(Initiatives!$K$6="adoption",F124*Initiatives!$K$14+F123*Initiatives!$K$9-F125*Initiatives!$K$9,IF(Initiatives!$K$6="reprice",IF(F$3&gt;=Initiatives!$K$33,(Initiatives!$K$41*Initiatives!$K$44+Initiatives!$K$42*Initiatives!$K$20)*(1-Inputs!$C$9)^(F$3-Initiatives!$K$33),0)-F125*Initiatives!$K$9,F$5*Initiatives!$K$22*F120+F123*Inputs!$C$8))</f>
        <v>0</v>
      </c>
      <c r="G126" s="8" t="n">
        <f aca="false">IF(Initiatives!$K$6="adoption",G124*Initiatives!$K$14+G123*Initiatives!$K$9-G125*Initiatives!$K$9,IF(Initiatives!$K$6="reprice",IF(G$3&gt;=Initiatives!$K$33,(Initiatives!$K$41*Initiatives!$K$44+Initiatives!$K$42*Initiatives!$K$20)*(1-Inputs!$C$9)^(G$3-Initiatives!$K$33),0)-G125*Initiatives!$K$9,G$5*Initiatives!$K$22*G120+G123*Inputs!$C$8))</f>
        <v>0</v>
      </c>
      <c r="H126" s="8" t="n">
        <f aca="false">IF(Initiatives!$K$6="adoption",H124*Initiatives!$K$14+H123*Initiatives!$K$9-H125*Initiatives!$K$9,IF(Initiatives!$K$6="reprice",IF(H$3&gt;=Initiatives!$K$33,(Initiatives!$K$41*Initiatives!$K$44+Initiatives!$K$42*Initiatives!$K$20)*(1-Inputs!$C$9)^(H$3-Initiatives!$K$33),0)-H125*Initiatives!$K$9,H$5*Initiatives!$K$22*H120+H123*Inputs!$C$8))</f>
        <v>0</v>
      </c>
      <c r="I126" s="8" t="n">
        <f aca="false">IF(Initiatives!$K$6="adoption",I124*Initiatives!$K$14+I123*Initiatives!$K$9-I125*Initiatives!$K$9,IF(Initiatives!$K$6="reprice",IF(I$3&gt;=Initiatives!$K$33,(Initiatives!$K$41*Initiatives!$K$44+Initiatives!$K$42*Initiatives!$K$20)*(1-Inputs!$C$9)^(I$3-Initiatives!$K$33),0)-I125*Initiatives!$K$9,I$5*Initiatives!$K$22*I120+I123*Inputs!$C$8))</f>
        <v>0</v>
      </c>
      <c r="J126" s="8" t="n">
        <f aca="false">IF(Initiatives!$K$6="adoption",J124*Initiatives!$K$14+J123*Initiatives!$K$9-J125*Initiatives!$K$9,IF(Initiatives!$K$6="reprice",IF(J$3&gt;=Initiatives!$K$33,(Initiatives!$K$41*Initiatives!$K$44+Initiatives!$K$42*Initiatives!$K$20)*(1-Inputs!$C$9)^(J$3-Initiatives!$K$33),0)-J125*Initiatives!$K$9,J$5*Initiatives!$K$22*J120+J123*Inputs!$C$8))</f>
        <v>443597780.617228</v>
      </c>
      <c r="K126" s="8" t="n">
        <f aca="false">IF(Initiatives!$K$6="adoption",K124*Initiatives!$K$14+K123*Initiatives!$K$9-K125*Initiatives!$K$9,IF(Initiatives!$K$6="reprice",IF(K$3&gt;=Initiatives!$K$33,(Initiatives!$K$41*Initiatives!$K$44+Initiatives!$K$42*Initiatives!$K$20)*(1-Inputs!$C$9)^(K$3-Initiatives!$K$33),0)-K125*Initiatives!$K$9,K$5*Initiatives!$K$22*K120+K123*Inputs!$C$8))</f>
        <v>884544794.008815</v>
      </c>
      <c r="L126" s="8" t="n">
        <f aca="false">IF(Initiatives!$K$6="adoption",L124*Initiatives!$K$14+L123*Initiatives!$K$9-L125*Initiatives!$K$9,IF(Initiatives!$K$6="reprice",IF(L$3&gt;=Initiatives!$K$33,(Initiatives!$K$41*Initiatives!$K$44+Initiatives!$K$42*Initiatives!$K$20)*(1-Inputs!$C$9)^(L$3-Initiatives!$K$33),0)-L125*Initiatives!$K$9,L$5*Initiatives!$K$22*L120+L123*Inputs!$C$8))</f>
        <v>1322660896.198</v>
      </c>
      <c r="M126" s="8" t="n">
        <f aca="false">IF(Initiatives!$K$6="adoption",M124*Initiatives!$K$14+M123*Initiatives!$K$9-M125*Initiatives!$K$9,IF(Initiatives!$K$6="reprice",IF(M$3&gt;=Initiatives!$K$33,(Initiatives!$K$41*Initiatives!$K$44+Initiatives!$K$42*Initiatives!$K$20)*(1-Inputs!$C$9)^(M$3-Initiatives!$K$33),0)-M125*Initiatives!$K$9,M$5*Initiatives!$K$22*M120+M123*Inputs!$C$8))</f>
        <v>1757774341.81234</v>
      </c>
      <c r="N126" s="8" t="n">
        <f aca="false">IF(Initiatives!$K$6="adoption",N124*Initiatives!$K$14+N123*Initiatives!$K$9-N125*Initiatives!$K$9,IF(Initiatives!$K$6="reprice",IF(N$3&gt;=Initiatives!$K$33,(Initiatives!$K$41*Initiatives!$K$44+Initiatives!$K$42*Initiatives!$K$20)*(1-Inputs!$C$9)^(N$3-Initiatives!$K$33),0)-N125*Initiatives!$K$9,N$5*Initiatives!$K$22*N120+N123*Inputs!$C$8))</f>
        <v>1772146732.01893</v>
      </c>
      <c r="O126" s="8" t="n">
        <f aca="false">IF(Initiatives!$K$6="adoption",O124*Initiatives!$K$14+O123*Initiatives!$K$9-O125*Initiatives!$K$9,IF(Initiatives!$K$6="reprice",IF(O$3&gt;=Initiatives!$K$33,(Initiatives!$K$41*Initiatives!$K$44+Initiatives!$K$42*Initiatives!$K$20)*(1-Inputs!$C$9)^(O$3-Initiatives!$K$33),0)-O125*Initiatives!$K$9,O$5*Initiatives!$K$22*O120+O123*Inputs!$C$8))</f>
        <v>1785692451.2924</v>
      </c>
      <c r="P126" s="8" t="n">
        <f aca="false">IF(Initiatives!$K$6="adoption",P124*Initiatives!$K$14+P123*Initiatives!$K$9-P125*Initiatives!$K$9,IF(Initiatives!$K$6="reprice",IF(P$3&gt;=Initiatives!$K$33,(Initiatives!$K$41*Initiatives!$K$44+Initiatives!$K$42*Initiatives!$K$20)*(1-Inputs!$C$9)^(P$3-Initiatives!$K$33),0)-P125*Initiatives!$K$9,P$5*Initiatives!$K$22*P120+P123*Inputs!$C$8))</f>
        <v>1798433065.97297</v>
      </c>
      <c r="Q126" s="8" t="n">
        <f aca="false">IF(Initiatives!$K$6="adoption",Q124*Initiatives!$K$14+Q123*Initiatives!$K$9-Q125*Initiatives!$K$9,IF(Initiatives!$K$6="reprice",IF(Q$3&gt;=Initiatives!$K$33,(Initiatives!$K$41*Initiatives!$K$44+Initiatives!$K$42*Initiatives!$K$20)*(1-Inputs!$C$9)^(Q$3-Initiatives!$K$33),0)-Q125*Initiatives!$K$9,Q$5*Initiatives!$K$22*Q120+Q123*Inputs!$C$8))</f>
        <v>1810389681.41159</v>
      </c>
      <c r="R126" s="8" t="n">
        <f aca="false">IF(Initiatives!$K$6="adoption",R124*Initiatives!$K$14+R123*Initiatives!$K$9-R125*Initiatives!$K$9,IF(Initiatives!$K$6="reprice",IF(R$3&gt;=Initiatives!$K$33,(Initiatives!$K$41*Initiatives!$K$44+Initiatives!$K$42*Initiatives!$K$20)*(1-Inputs!$C$9)^(R$3-Initiatives!$K$33),0)-R125*Initiatives!$K$9,R$5*Initiatives!$K$22*R120+R123*Inputs!$C$8))</f>
        <v>1821582950.94719</v>
      </c>
      <c r="S126" s="8" t="n">
        <f aca="false">IF(Initiatives!$K$6="adoption",S124*Initiatives!$K$14+S123*Initiatives!$K$9-S125*Initiatives!$K$9,IF(Initiatives!$K$6="reprice",IF(S$3&gt;=Initiatives!$K$33,(Initiatives!$K$41*Initiatives!$K$44+Initiatives!$K$42*Initiatives!$K$20)*(1-Inputs!$C$9)^(S$3-Initiatives!$K$33),0)-S125*Initiatives!$K$9,S$5*Initiatives!$K$22*S120+S123*Inputs!$C$8))</f>
        <v>1832033084.71842</v>
      </c>
      <c r="T126" s="8" t="n">
        <f aca="false">IF(Initiatives!$K$6="adoption",T124*Initiatives!$K$14+T123*Initiatives!$K$9-T125*Initiatives!$K$9,IF(Initiatives!$K$6="reprice",IF(T$3&gt;=Initiatives!$K$33,(Initiatives!$K$41*Initiatives!$K$44+Initiatives!$K$42*Initiatives!$K$20)*(1-Inputs!$C$9)^(T$3-Initiatives!$K$33),0)-T125*Initiatives!$K$9,T$5*Initiatives!$K$22*T120+T123*Inputs!$C$8))</f>
        <v>1841759858.31254</v>
      </c>
      <c r="U126" s="8" t="n">
        <f aca="false">IF(Initiatives!$K$6="adoption",U124*Initiatives!$K$14+U123*Initiatives!$K$9-U125*Initiatives!$K$9,IF(Initiatives!$K$6="reprice",IF(U$3&gt;=Initiatives!$K$33,(Initiatives!$K$41*Initiatives!$K$44+Initiatives!$K$42*Initiatives!$K$20)*(1-Inputs!$C$9)^(U$3-Initiatives!$K$33),0)-U125*Initiatives!$K$9,U$5*Initiatives!$K$22*U120+U123*Inputs!$C$8))</f>
        <v>1850782621.25478</v>
      </c>
      <c r="V126" s="8" t="n">
        <f aca="false">IF(Initiatives!$K$6="adoption",V124*Initiatives!$K$14+V123*Initiatives!$K$9-V125*Initiatives!$K$9,IF(Initiatives!$K$6="reprice",IF(V$3&gt;=Initiatives!$K$33,(Initiatives!$K$41*Initiatives!$K$44+Initiatives!$K$42*Initiatives!$K$20)*(1-Inputs!$C$9)^(V$3-Initiatives!$K$33),0)-V125*Initiatives!$K$9,V$5*Initiatives!$K$22*V120+V123*Inputs!$C$8))</f>
        <v>1859120305.34063</v>
      </c>
      <c r="W126" s="8" t="n">
        <f aca="false">IF(Initiatives!$K$6="adoption",W124*Initiatives!$K$14+W123*Initiatives!$K$9-W125*Initiatives!$K$9,IF(Initiatives!$K$6="reprice",IF(W$3&gt;=Initiatives!$K$33,(Initiatives!$K$41*Initiatives!$K$44+Initiatives!$K$42*Initiatives!$K$20)*(1-Inputs!$C$9)^(W$3-Initiatives!$K$33),0)-W125*Initiatives!$K$9,W$5*Initiatives!$K$22*W120+W123*Inputs!$C$8))</f>
        <v>1866791432.81412</v>
      </c>
      <c r="X126" s="8" t="n">
        <f aca="false">IF(Initiatives!$K$6="adoption",X124*Initiatives!$K$14+X123*Initiatives!$K$9-X125*Initiatives!$K$9,IF(Initiatives!$K$6="reprice",IF(X$3&gt;=Initiatives!$K$33,(Initiatives!$K$41*Initiatives!$K$44+Initiatives!$K$42*Initiatives!$K$20)*(1-Inputs!$C$9)^(X$3-Initiatives!$K$33),0)-X125*Initiatives!$K$9,X$5*Initiatives!$K$22*X120+X123*Inputs!$C$8))</f>
        <v>1873814124.39471</v>
      </c>
      <c r="Y126" s="8" t="n">
        <f aca="false">IF(Initiatives!$K$6="adoption",Y124*Initiatives!$K$14+Y123*Initiatives!$K$9-Y125*Initiatives!$K$9,IF(Initiatives!$K$6="reprice",IF(Y$3&gt;=Initiatives!$K$33,(Initiatives!$K$41*Initiatives!$K$44+Initiatives!$K$42*Initiatives!$K$20)*(1-Inputs!$C$9)^(Y$3-Initiatives!$K$33),0)-Y125*Initiatives!$K$9,Y$5*Initiatives!$K$22*Y120+Y123*Inputs!$C$8))</f>
        <v>1880206107.1555</v>
      </c>
      <c r="Z126" s="8" t="n">
        <f aca="false">IF(Initiatives!$K$6="adoption",Z124*Initiatives!$K$14+Z123*Initiatives!$K$9-Z125*Initiatives!$K$9,IF(Initiatives!$K$6="reprice",IF(Z$3&gt;=Initiatives!$K$33,(Initiatives!$K$41*Initiatives!$K$44+Initiatives!$K$42*Initiatives!$K$20)*(1-Inputs!$C$9)^(Z$3-Initiatives!$K$33),0)-Z125*Initiatives!$K$9,Z$5*Initiatives!$K$22*Z120+Z123*Inputs!$C$8))</f>
        <v>1885984722.25547</v>
      </c>
    </row>
    <row r="127" customFormat="false" ht="15" hidden="false" customHeight="false" outlineLevel="0" collapsed="false">
      <c r="A127" s="4" t="s">
        <v>227</v>
      </c>
      <c r="B127" s="4" t="s">
        <v>228</v>
      </c>
      <c r="C127" s="8" t="n">
        <f aca="false">C124*Initiatives!$K$24*Initiatives!$K$25</f>
        <v>0</v>
      </c>
      <c r="D127" s="8" t="n">
        <f aca="false">D124*Initiatives!$K$24*Initiatives!$K$25</f>
        <v>0</v>
      </c>
      <c r="E127" s="8" t="n">
        <f aca="false">E124*Initiatives!$K$24*Initiatives!$K$25</f>
        <v>0</v>
      </c>
      <c r="F127" s="8" t="n">
        <f aca="false">F124*Initiatives!$K$24*Initiatives!$K$25</f>
        <v>0</v>
      </c>
      <c r="G127" s="8" t="n">
        <f aca="false">G124*Initiatives!$K$24*Initiatives!$K$25</f>
        <v>0</v>
      </c>
      <c r="H127" s="8" t="n">
        <f aca="false">H124*Initiatives!$K$24*Initiatives!$K$25</f>
        <v>0</v>
      </c>
      <c r="I127" s="8" t="n">
        <f aca="false">I124*Initiatives!$K$24*Initiatives!$K$25</f>
        <v>0</v>
      </c>
      <c r="J127" s="8" t="n">
        <f aca="false">J124*Initiatives!$K$24*Initiatives!$K$25</f>
        <v>0</v>
      </c>
      <c r="K127" s="8" t="n">
        <f aca="false">K124*Initiatives!$K$24*Initiatives!$K$25</f>
        <v>0</v>
      </c>
      <c r="L127" s="8" t="n">
        <f aca="false">L124*Initiatives!$K$24*Initiatives!$K$25</f>
        <v>0</v>
      </c>
      <c r="M127" s="8" t="n">
        <f aca="false">M124*Initiatives!$K$24*Initiatives!$K$25</f>
        <v>0</v>
      </c>
      <c r="N127" s="8" t="n">
        <f aca="false">N124*Initiatives!$K$24*Initiatives!$K$25</f>
        <v>0</v>
      </c>
      <c r="O127" s="8" t="n">
        <f aca="false">O124*Initiatives!$K$24*Initiatives!$K$25</f>
        <v>0</v>
      </c>
      <c r="P127" s="8" t="n">
        <f aca="false">P124*Initiatives!$K$24*Initiatives!$K$25</f>
        <v>0</v>
      </c>
      <c r="Q127" s="8" t="n">
        <f aca="false">Q124*Initiatives!$K$24*Initiatives!$K$25</f>
        <v>0</v>
      </c>
      <c r="R127" s="8" t="n">
        <f aca="false">R124*Initiatives!$K$24*Initiatives!$K$25</f>
        <v>0</v>
      </c>
      <c r="S127" s="8" t="n">
        <f aca="false">S124*Initiatives!$K$24*Initiatives!$K$25</f>
        <v>0</v>
      </c>
      <c r="T127" s="8" t="n">
        <f aca="false">T124*Initiatives!$K$24*Initiatives!$K$25</f>
        <v>0</v>
      </c>
      <c r="U127" s="8" t="n">
        <f aca="false">U124*Initiatives!$K$24*Initiatives!$K$25</f>
        <v>0</v>
      </c>
      <c r="V127" s="8" t="n">
        <f aca="false">V124*Initiatives!$K$24*Initiatives!$K$25</f>
        <v>0</v>
      </c>
      <c r="W127" s="8" t="n">
        <f aca="false">W124*Initiatives!$K$24*Initiatives!$K$25</f>
        <v>0</v>
      </c>
      <c r="X127" s="8" t="n">
        <f aca="false">X124*Initiatives!$K$24*Initiatives!$K$25</f>
        <v>0</v>
      </c>
      <c r="Y127" s="8" t="n">
        <f aca="false">Y124*Initiatives!$K$24*Initiatives!$K$25</f>
        <v>0</v>
      </c>
      <c r="Z127" s="8" t="n">
        <f aca="false">Z124*Initiatives!$K$24*Initiatives!$K$25</f>
        <v>0</v>
      </c>
    </row>
    <row r="128" customFormat="false" ht="15" hidden="false" customHeight="false" outlineLevel="0" collapsed="false">
      <c r="A128" s="4" t="s">
        <v>229</v>
      </c>
      <c r="B128" s="4" t="s">
        <v>230</v>
      </c>
      <c r="C128" s="8" t="n">
        <f aca="false">IF(C$3&lt;=Initiatives!$K$46,Initiatives!$K$29/Initiatives!$K$46,0)+IF(C$3&gt;=Initiatives!$K$33,Initiatives!$K$30,0)+IF(C$3=Initiatives!$K$33,Initiatives!$K$39*Initiatives!$K$26,0)+C122*Initiatives!$K$27+C124*Initiatives!$K$28+IF(AND(Initiatives!$K$6="reprice",C$3&gt;=Initiatives!$K$33),Initiatives!$K$41*Initiatives!$K$21*(1-Inputs!$C$9)^(C$3-Initiatives!$K$33)-Initiatives!$K$31,0)</f>
        <v>1285714285.71429</v>
      </c>
      <c r="D128" s="8" t="n">
        <f aca="false">IF(D$3&lt;=Initiatives!$K$46,Initiatives!$K$29/Initiatives!$K$46,0)+IF(D$3&gt;=Initiatives!$K$33,Initiatives!$K$30,0)+IF(D$3=Initiatives!$K$33,Initiatives!$K$39*Initiatives!$K$26,0)+D122*Initiatives!$K$27+D124*Initiatives!$K$28+IF(AND(Initiatives!$K$6="reprice",D$3&gt;=Initiatives!$K$33),Initiatives!$K$41*Initiatives!$K$21*(1-Inputs!$C$9)^(D$3-Initiatives!$K$33)-Initiatives!$K$31,0)</f>
        <v>1285714285.71429</v>
      </c>
      <c r="E128" s="8" t="n">
        <f aca="false">IF(E$3&lt;=Initiatives!$K$46,Initiatives!$K$29/Initiatives!$K$46,0)+IF(E$3&gt;=Initiatives!$K$33,Initiatives!$K$30,0)+IF(E$3=Initiatives!$K$33,Initiatives!$K$39*Initiatives!$K$26,0)+E122*Initiatives!$K$27+E124*Initiatives!$K$28+IF(AND(Initiatives!$K$6="reprice",E$3&gt;=Initiatives!$K$33),Initiatives!$K$41*Initiatives!$K$21*(1-Inputs!$C$9)^(E$3-Initiatives!$K$33)-Initiatives!$K$31,0)</f>
        <v>1285714285.71429</v>
      </c>
      <c r="F128" s="8" t="n">
        <f aca="false">IF(F$3&lt;=Initiatives!$K$46,Initiatives!$K$29/Initiatives!$K$46,0)+IF(F$3&gt;=Initiatives!$K$33,Initiatives!$K$30,0)+IF(F$3=Initiatives!$K$33,Initiatives!$K$39*Initiatives!$K$26,0)+F122*Initiatives!$K$27+F124*Initiatives!$K$28+IF(AND(Initiatives!$K$6="reprice",F$3&gt;=Initiatives!$K$33),Initiatives!$K$41*Initiatives!$K$21*(1-Inputs!$C$9)^(F$3-Initiatives!$K$33)-Initiatives!$K$31,0)</f>
        <v>1285714285.71429</v>
      </c>
      <c r="G128" s="8" t="n">
        <f aca="false">IF(G$3&lt;=Initiatives!$K$46,Initiatives!$K$29/Initiatives!$K$46,0)+IF(G$3&gt;=Initiatives!$K$33,Initiatives!$K$30,0)+IF(G$3=Initiatives!$K$33,Initiatives!$K$39*Initiatives!$K$26,0)+G122*Initiatives!$K$27+G124*Initiatives!$K$28+IF(AND(Initiatives!$K$6="reprice",G$3&gt;=Initiatives!$K$33),Initiatives!$K$41*Initiatives!$K$21*(1-Inputs!$C$9)^(G$3-Initiatives!$K$33)-Initiatives!$K$31,0)</f>
        <v>1285714285.71429</v>
      </c>
      <c r="H128" s="8" t="n">
        <f aca="false">IF(H$3&lt;=Initiatives!$K$46,Initiatives!$K$29/Initiatives!$K$46,0)+IF(H$3&gt;=Initiatives!$K$33,Initiatives!$K$30,0)+IF(H$3=Initiatives!$K$33,Initiatives!$K$39*Initiatives!$K$26,0)+H122*Initiatives!$K$27+H124*Initiatives!$K$28+IF(AND(Initiatives!$K$6="reprice",H$3&gt;=Initiatives!$K$33),Initiatives!$K$41*Initiatives!$K$21*(1-Inputs!$C$9)^(H$3-Initiatives!$K$33)-Initiatives!$K$31,0)</f>
        <v>1285714285.71429</v>
      </c>
      <c r="I128" s="8" t="n">
        <f aca="false">IF(I$3&lt;=Initiatives!$K$46,Initiatives!$K$29/Initiatives!$K$46,0)+IF(I$3&gt;=Initiatives!$K$33,Initiatives!$K$30,0)+IF(I$3=Initiatives!$K$33,Initiatives!$K$39*Initiatives!$K$26,0)+I122*Initiatives!$K$27+I124*Initiatives!$K$28+IF(AND(Initiatives!$K$6="reprice",I$3&gt;=Initiatives!$K$33),Initiatives!$K$41*Initiatives!$K$21*(1-Inputs!$C$9)^(I$3-Initiatives!$K$33)-Initiatives!$K$31,0)</f>
        <v>1285714285.71429</v>
      </c>
      <c r="J128" s="8" t="n">
        <f aca="false">IF(J$3&lt;=Initiatives!$K$46,Initiatives!$K$29/Initiatives!$K$46,0)+IF(J$3&gt;=Initiatives!$K$33,Initiatives!$K$30,0)+IF(J$3=Initiatives!$K$33,Initiatives!$K$39*Initiatives!$K$26,0)+J122*Initiatives!$K$27+J124*Initiatives!$K$28+IF(AND(Initiatives!$K$6="reprice",J$3&gt;=Initiatives!$K$33),Initiatives!$K$41*Initiatives!$K$21*(1-Inputs!$C$9)^(J$3-Initiatives!$K$33)-Initiatives!$K$31,0)</f>
        <v>150000000</v>
      </c>
      <c r="K128" s="8" t="n">
        <f aca="false">IF(K$3&lt;=Initiatives!$K$46,Initiatives!$K$29/Initiatives!$K$46,0)+IF(K$3&gt;=Initiatives!$K$33,Initiatives!$K$30,0)+IF(K$3=Initiatives!$K$33,Initiatives!$K$39*Initiatives!$K$26,0)+K122*Initiatives!$K$27+K124*Initiatives!$K$28+IF(AND(Initiatives!$K$6="reprice",K$3&gt;=Initiatives!$K$33),Initiatives!$K$41*Initiatives!$K$21*(1-Inputs!$C$9)^(K$3-Initiatives!$K$33)-Initiatives!$K$31,0)</f>
        <v>150000000</v>
      </c>
      <c r="L128" s="8" t="n">
        <f aca="false">IF(L$3&lt;=Initiatives!$K$46,Initiatives!$K$29/Initiatives!$K$46,0)+IF(L$3&gt;=Initiatives!$K$33,Initiatives!$K$30,0)+IF(L$3=Initiatives!$K$33,Initiatives!$K$39*Initiatives!$K$26,0)+L122*Initiatives!$K$27+L124*Initiatives!$K$28+IF(AND(Initiatives!$K$6="reprice",L$3&gt;=Initiatives!$K$33),Initiatives!$K$41*Initiatives!$K$21*(1-Inputs!$C$9)^(L$3-Initiatives!$K$33)-Initiatives!$K$31,0)</f>
        <v>150000000</v>
      </c>
      <c r="M128" s="8" t="n">
        <f aca="false">IF(M$3&lt;=Initiatives!$K$46,Initiatives!$K$29/Initiatives!$K$46,0)+IF(M$3&gt;=Initiatives!$K$33,Initiatives!$K$30,0)+IF(M$3=Initiatives!$K$33,Initiatives!$K$39*Initiatives!$K$26,0)+M122*Initiatives!$K$27+M124*Initiatives!$K$28+IF(AND(Initiatives!$K$6="reprice",M$3&gt;=Initiatives!$K$33),Initiatives!$K$41*Initiatives!$K$21*(1-Inputs!$C$9)^(M$3-Initiatives!$K$33)-Initiatives!$K$31,0)</f>
        <v>150000000</v>
      </c>
      <c r="N128" s="8" t="n">
        <f aca="false">IF(N$3&lt;=Initiatives!$K$46,Initiatives!$K$29/Initiatives!$K$46,0)+IF(N$3&gt;=Initiatives!$K$33,Initiatives!$K$30,0)+IF(N$3=Initiatives!$K$33,Initiatives!$K$39*Initiatives!$K$26,0)+N122*Initiatives!$K$27+N124*Initiatives!$K$28+IF(AND(Initiatives!$K$6="reprice",N$3&gt;=Initiatives!$K$33),Initiatives!$K$41*Initiatives!$K$21*(1-Inputs!$C$9)^(N$3-Initiatives!$K$33)-Initiatives!$K$31,0)</f>
        <v>150000000</v>
      </c>
      <c r="O128" s="8" t="n">
        <f aca="false">IF(O$3&lt;=Initiatives!$K$46,Initiatives!$K$29/Initiatives!$K$46,0)+IF(O$3&gt;=Initiatives!$K$33,Initiatives!$K$30,0)+IF(O$3=Initiatives!$K$33,Initiatives!$K$39*Initiatives!$K$26,0)+O122*Initiatives!$K$27+O124*Initiatives!$K$28+IF(AND(Initiatives!$K$6="reprice",O$3&gt;=Initiatives!$K$33),Initiatives!$K$41*Initiatives!$K$21*(1-Inputs!$C$9)^(O$3-Initiatives!$K$33)-Initiatives!$K$31,0)</f>
        <v>150000000</v>
      </c>
      <c r="P128" s="8" t="n">
        <f aca="false">IF(P$3&lt;=Initiatives!$K$46,Initiatives!$K$29/Initiatives!$K$46,0)+IF(P$3&gt;=Initiatives!$K$33,Initiatives!$K$30,0)+IF(P$3=Initiatives!$K$33,Initiatives!$K$39*Initiatives!$K$26,0)+P122*Initiatives!$K$27+P124*Initiatives!$K$28+IF(AND(Initiatives!$K$6="reprice",P$3&gt;=Initiatives!$K$33),Initiatives!$K$41*Initiatives!$K$21*(1-Inputs!$C$9)^(P$3-Initiatives!$K$33)-Initiatives!$K$31,0)</f>
        <v>150000000</v>
      </c>
      <c r="Q128" s="8" t="n">
        <f aca="false">IF(Q$3&lt;=Initiatives!$K$46,Initiatives!$K$29/Initiatives!$K$46,0)+IF(Q$3&gt;=Initiatives!$K$33,Initiatives!$K$30,0)+IF(Q$3=Initiatives!$K$33,Initiatives!$K$39*Initiatives!$K$26,0)+Q122*Initiatives!$K$27+Q124*Initiatives!$K$28+IF(AND(Initiatives!$K$6="reprice",Q$3&gt;=Initiatives!$K$33),Initiatives!$K$41*Initiatives!$K$21*(1-Inputs!$C$9)^(Q$3-Initiatives!$K$33)-Initiatives!$K$31,0)</f>
        <v>150000000</v>
      </c>
      <c r="R128" s="8" t="n">
        <f aca="false">IF(R$3&lt;=Initiatives!$K$46,Initiatives!$K$29/Initiatives!$K$46,0)+IF(R$3&gt;=Initiatives!$K$33,Initiatives!$K$30,0)+IF(R$3=Initiatives!$K$33,Initiatives!$K$39*Initiatives!$K$26,0)+R122*Initiatives!$K$27+R124*Initiatives!$K$28+IF(AND(Initiatives!$K$6="reprice",R$3&gt;=Initiatives!$K$33),Initiatives!$K$41*Initiatives!$K$21*(1-Inputs!$C$9)^(R$3-Initiatives!$K$33)-Initiatives!$K$31,0)</f>
        <v>150000000</v>
      </c>
      <c r="S128" s="8" t="n">
        <f aca="false">IF(S$3&lt;=Initiatives!$K$46,Initiatives!$K$29/Initiatives!$K$46,0)+IF(S$3&gt;=Initiatives!$K$33,Initiatives!$K$30,0)+IF(S$3=Initiatives!$K$33,Initiatives!$K$39*Initiatives!$K$26,0)+S122*Initiatives!$K$27+S124*Initiatives!$K$28+IF(AND(Initiatives!$K$6="reprice",S$3&gt;=Initiatives!$K$33),Initiatives!$K$41*Initiatives!$K$21*(1-Inputs!$C$9)^(S$3-Initiatives!$K$33)-Initiatives!$K$31,0)</f>
        <v>150000000</v>
      </c>
      <c r="T128" s="8" t="n">
        <f aca="false">IF(T$3&lt;=Initiatives!$K$46,Initiatives!$K$29/Initiatives!$K$46,0)+IF(T$3&gt;=Initiatives!$K$33,Initiatives!$K$30,0)+IF(T$3=Initiatives!$K$33,Initiatives!$K$39*Initiatives!$K$26,0)+T122*Initiatives!$K$27+T124*Initiatives!$K$28+IF(AND(Initiatives!$K$6="reprice",T$3&gt;=Initiatives!$K$33),Initiatives!$K$41*Initiatives!$K$21*(1-Inputs!$C$9)^(T$3-Initiatives!$K$33)-Initiatives!$K$31,0)</f>
        <v>150000000</v>
      </c>
      <c r="U128" s="8" t="n">
        <f aca="false">IF(U$3&lt;=Initiatives!$K$46,Initiatives!$K$29/Initiatives!$K$46,0)+IF(U$3&gt;=Initiatives!$K$33,Initiatives!$K$30,0)+IF(U$3=Initiatives!$K$33,Initiatives!$K$39*Initiatives!$K$26,0)+U122*Initiatives!$K$27+U124*Initiatives!$K$28+IF(AND(Initiatives!$K$6="reprice",U$3&gt;=Initiatives!$K$33),Initiatives!$K$41*Initiatives!$K$21*(1-Inputs!$C$9)^(U$3-Initiatives!$K$33)-Initiatives!$K$31,0)</f>
        <v>150000000</v>
      </c>
      <c r="V128" s="8" t="n">
        <f aca="false">IF(V$3&lt;=Initiatives!$K$46,Initiatives!$K$29/Initiatives!$K$46,0)+IF(V$3&gt;=Initiatives!$K$33,Initiatives!$K$30,0)+IF(V$3=Initiatives!$K$33,Initiatives!$K$39*Initiatives!$K$26,0)+V122*Initiatives!$K$27+V124*Initiatives!$K$28+IF(AND(Initiatives!$K$6="reprice",V$3&gt;=Initiatives!$K$33),Initiatives!$K$41*Initiatives!$K$21*(1-Inputs!$C$9)^(V$3-Initiatives!$K$33)-Initiatives!$K$31,0)</f>
        <v>150000000</v>
      </c>
      <c r="W128" s="8" t="n">
        <f aca="false">IF(W$3&lt;=Initiatives!$K$46,Initiatives!$K$29/Initiatives!$K$46,0)+IF(W$3&gt;=Initiatives!$K$33,Initiatives!$K$30,0)+IF(W$3=Initiatives!$K$33,Initiatives!$K$39*Initiatives!$K$26,0)+W122*Initiatives!$K$27+W124*Initiatives!$K$28+IF(AND(Initiatives!$K$6="reprice",W$3&gt;=Initiatives!$K$33),Initiatives!$K$41*Initiatives!$K$21*(1-Inputs!$C$9)^(W$3-Initiatives!$K$33)-Initiatives!$K$31,0)</f>
        <v>150000000</v>
      </c>
      <c r="X128" s="8" t="n">
        <f aca="false">IF(X$3&lt;=Initiatives!$K$46,Initiatives!$K$29/Initiatives!$K$46,0)+IF(X$3&gt;=Initiatives!$K$33,Initiatives!$K$30,0)+IF(X$3=Initiatives!$K$33,Initiatives!$K$39*Initiatives!$K$26,0)+X122*Initiatives!$K$27+X124*Initiatives!$K$28+IF(AND(Initiatives!$K$6="reprice",X$3&gt;=Initiatives!$K$33),Initiatives!$K$41*Initiatives!$K$21*(1-Inputs!$C$9)^(X$3-Initiatives!$K$33)-Initiatives!$K$31,0)</f>
        <v>150000000</v>
      </c>
      <c r="Y128" s="8" t="n">
        <f aca="false">IF(Y$3&lt;=Initiatives!$K$46,Initiatives!$K$29/Initiatives!$K$46,0)+IF(Y$3&gt;=Initiatives!$K$33,Initiatives!$K$30,0)+IF(Y$3=Initiatives!$K$33,Initiatives!$K$39*Initiatives!$K$26,0)+Y122*Initiatives!$K$27+Y124*Initiatives!$K$28+IF(AND(Initiatives!$K$6="reprice",Y$3&gt;=Initiatives!$K$33),Initiatives!$K$41*Initiatives!$K$21*(1-Inputs!$C$9)^(Y$3-Initiatives!$K$33)-Initiatives!$K$31,0)</f>
        <v>150000000</v>
      </c>
      <c r="Z128" s="8" t="n">
        <f aca="false">IF(Z$3&lt;=Initiatives!$K$46,Initiatives!$K$29/Initiatives!$K$46,0)+IF(Z$3&gt;=Initiatives!$K$33,Initiatives!$K$30,0)+IF(Z$3=Initiatives!$K$33,Initiatives!$K$39*Initiatives!$K$26,0)+Z122*Initiatives!$K$27+Z124*Initiatives!$K$28+IF(AND(Initiatives!$K$6="reprice",Z$3&gt;=Initiatives!$K$33),Initiatives!$K$41*Initiatives!$K$21*(1-Inputs!$C$9)^(Z$3-Initiatives!$K$33)-Initiatives!$K$31,0)</f>
        <v>150000000</v>
      </c>
    </row>
    <row r="129" customFormat="false" ht="15" hidden="false" customHeight="false" outlineLevel="0" collapsed="false">
      <c r="A129" s="4" t="s">
        <v>231</v>
      </c>
      <c r="B129" s="4" t="s">
        <v>232</v>
      </c>
      <c r="C129" s="8" t="n">
        <f aca="false">(C126+C127)*Initiatives!$K$32-C128</f>
        <v>-1285714285.71429</v>
      </c>
      <c r="D129" s="8" t="n">
        <f aca="false">(D126+D127)*Initiatives!$K$32-D128</f>
        <v>-1285714285.71429</v>
      </c>
      <c r="E129" s="8" t="n">
        <f aca="false">(E126+E127)*Initiatives!$K$32-E128</f>
        <v>-1285714285.71429</v>
      </c>
      <c r="F129" s="8" t="n">
        <f aca="false">(F126+F127)*Initiatives!$K$32-F128</f>
        <v>-1285714285.71429</v>
      </c>
      <c r="G129" s="8" t="n">
        <f aca="false">(G126+G127)*Initiatives!$K$32-G128</f>
        <v>-1285714285.71429</v>
      </c>
      <c r="H129" s="8" t="n">
        <f aca="false">(H126+H127)*Initiatives!$K$32-H128</f>
        <v>-1285714285.71429</v>
      </c>
      <c r="I129" s="8" t="n">
        <f aca="false">(I126+I127)*Initiatives!$K$32-I128</f>
        <v>-1285714285.71429</v>
      </c>
      <c r="J129" s="8" t="n">
        <f aca="false">(J126+J127)*Initiatives!$K$32-J128</f>
        <v>227058113.524643</v>
      </c>
      <c r="K129" s="8" t="n">
        <f aca="false">(K126+K127)*Initiatives!$K$32-K128</f>
        <v>601863074.907493</v>
      </c>
      <c r="L129" s="8" t="n">
        <f aca="false">(L126+L127)*Initiatives!$K$32-L128</f>
        <v>974261761.768301</v>
      </c>
      <c r="M129" s="8" t="n">
        <f aca="false">(M126+M127)*Initiatives!$K$32-M128</f>
        <v>1344108190.54049</v>
      </c>
      <c r="N129" s="8" t="n">
        <f aca="false">(N126+N127)*Initiatives!$K$32-N128</f>
        <v>1356324722.21609</v>
      </c>
      <c r="O129" s="8" t="n">
        <f aca="false">(O126+O127)*Initiatives!$K$32-O128</f>
        <v>1367838583.59854</v>
      </c>
      <c r="P129" s="8" t="n">
        <f aca="false">(P126+P127)*Initiatives!$K$32-P128</f>
        <v>1378668106.07703</v>
      </c>
      <c r="Q129" s="8" t="n">
        <f aca="false">(Q126+Q127)*Initiatives!$K$32-Q128</f>
        <v>1388831229.19985</v>
      </c>
      <c r="R129" s="8" t="n">
        <f aca="false">(R126+R127)*Initiatives!$K$32-R128</f>
        <v>1398345508.30512</v>
      </c>
      <c r="S129" s="8" t="n">
        <f aca="false">(S126+S127)*Initiatives!$K$32-S128</f>
        <v>1407228122.01066</v>
      </c>
      <c r="T129" s="8" t="n">
        <f aca="false">(T126+T127)*Initiatives!$K$32-T128</f>
        <v>1415495879.56566</v>
      </c>
      <c r="U129" s="8" t="n">
        <f aca="false">(U126+U127)*Initiatives!$K$32-U128</f>
        <v>1423165228.06656</v>
      </c>
      <c r="V129" s="8" t="n">
        <f aca="false">(V126+V127)*Initiatives!$K$32-V128</f>
        <v>1430252259.53954</v>
      </c>
      <c r="W129" s="8" t="n">
        <f aca="false">(W126+W127)*Initiatives!$K$32-W128</f>
        <v>1436772717.892</v>
      </c>
      <c r="X129" s="8" t="n">
        <f aca="false">(X126+X127)*Initiatives!$K$32-X128</f>
        <v>1442742005.7355</v>
      </c>
      <c r="Y129" s="8" t="n">
        <f aca="false">(Y126+Y127)*Initiatives!$K$32-Y128</f>
        <v>1448175191.08217</v>
      </c>
      <c r="Z129" s="8" t="n">
        <f aca="false">(Z126+Z127)*Initiatives!$K$32-Z128</f>
        <v>1453087013.91715</v>
      </c>
    </row>
    <row r="130" customFormat="false" ht="15" hidden="false" customHeight="false" outlineLevel="0" collapsed="false">
      <c r="A130" s="4" t="s">
        <v>233</v>
      </c>
      <c r="B130" s="4" t="s">
        <v>234</v>
      </c>
      <c r="C130" s="8" t="n">
        <f aca="false">C123-C125</f>
        <v>0</v>
      </c>
      <c r="D130" s="8" t="n">
        <f aca="false">D123-D125</f>
        <v>0</v>
      </c>
      <c r="E130" s="8" t="n">
        <f aca="false">E123-E125</f>
        <v>0</v>
      </c>
      <c r="F130" s="8" t="n">
        <f aca="false">F123-F125</f>
        <v>0</v>
      </c>
      <c r="G130" s="8" t="n">
        <f aca="false">G123-G125</f>
        <v>0</v>
      </c>
      <c r="H130" s="8" t="n">
        <f aca="false">H123-H125</f>
        <v>0</v>
      </c>
      <c r="I130" s="8" t="n">
        <f aca="false">I123-I125</f>
        <v>0</v>
      </c>
      <c r="J130" s="8" t="n">
        <f aca="false">J123-J125</f>
        <v>584.835571018098</v>
      </c>
      <c r="K130" s="8" t="n">
        <f aca="false">K123-K125</f>
        <v>1728.18911235848</v>
      </c>
      <c r="L130" s="8" t="n">
        <f aca="false">L123-L125</f>
        <v>3404.53255134621</v>
      </c>
      <c r="M130" s="8" t="n">
        <f aca="false">M123-M125</f>
        <v>5589.10760512669</v>
      </c>
      <c r="N130" s="8" t="n">
        <f aca="false">N123-N125</f>
        <v>7707.3793874697</v>
      </c>
      <c r="O130" s="8" t="n">
        <f aca="false">O123-O125</f>
        <v>9760.84546713127</v>
      </c>
      <c r="P130" s="8" t="n">
        <f aca="false">P123-P125</f>
        <v>11750.9734040408</v>
      </c>
      <c r="Q130" s="8" t="n">
        <f aca="false">Q123-Q125</f>
        <v>13679.201312613</v>
      </c>
      <c r="R130" s="8" t="n">
        <f aca="false">R123-R125</f>
        <v>15546.938414912</v>
      </c>
      <c r="S130" s="8" t="n">
        <f aca="false">S123-S125</f>
        <v>17355.5655838468</v>
      </c>
      <c r="T130" s="8" t="n">
        <f aca="false">T123-T125</f>
        <v>19106.4358765702</v>
      </c>
      <c r="U130" s="8" t="n">
        <f aca="false">U123-U125</f>
        <v>20800.8750582555</v>
      </c>
      <c r="V130" s="8" t="n">
        <f aca="false">V123-V125</f>
        <v>22440.182116418</v>
      </c>
      <c r="W130" s="8" t="n">
        <f aca="false">W123-W125</f>
        <v>24025.6297659475</v>
      </c>
      <c r="X130" s="8" t="n">
        <f aca="false">X123-X125</f>
        <v>25558.464945015</v>
      </c>
      <c r="Y130" s="8" t="n">
        <f aca="false">Y123-Y125</f>
        <v>27039.9093020131</v>
      </c>
      <c r="Z130" s="8" t="n">
        <f aca="false">Z123-Z125</f>
        <v>28471.1596736886</v>
      </c>
    </row>
    <row r="131" customFormat="false" ht="15" hidden="false" customHeight="false" outlineLevel="0" collapsed="false">
      <c r="A131" s="4" t="s">
        <v>235</v>
      </c>
      <c r="B131" s="4" t="s">
        <v>236</v>
      </c>
      <c r="C131" s="8" t="n">
        <f aca="false">C124*Initiatives!$K$24</f>
        <v>0</v>
      </c>
      <c r="D131" s="8" t="n">
        <f aca="false">D124*Initiatives!$K$24</f>
        <v>0</v>
      </c>
      <c r="E131" s="8" t="n">
        <f aca="false">E124*Initiatives!$K$24</f>
        <v>0</v>
      </c>
      <c r="F131" s="8" t="n">
        <f aca="false">F124*Initiatives!$K$24</f>
        <v>0</v>
      </c>
      <c r="G131" s="8" t="n">
        <f aca="false">G124*Initiatives!$K$24</f>
        <v>0</v>
      </c>
      <c r="H131" s="8" t="n">
        <f aca="false">H124*Initiatives!$K$24</f>
        <v>0</v>
      </c>
      <c r="I131" s="8" t="n">
        <f aca="false">I124*Initiatives!$K$24</f>
        <v>0</v>
      </c>
      <c r="J131" s="8" t="n">
        <f aca="false">J124*Initiatives!$K$24</f>
        <v>0</v>
      </c>
      <c r="K131" s="8" t="n">
        <f aca="false">K124*Initiatives!$K$24</f>
        <v>0</v>
      </c>
      <c r="L131" s="8" t="n">
        <f aca="false">L124*Initiatives!$K$24</f>
        <v>0</v>
      </c>
      <c r="M131" s="8" t="n">
        <f aca="false">M124*Initiatives!$K$24</f>
        <v>0</v>
      </c>
      <c r="N131" s="8" t="n">
        <f aca="false">N124*Initiatives!$K$24</f>
        <v>0</v>
      </c>
      <c r="O131" s="8" t="n">
        <f aca="false">O124*Initiatives!$K$24</f>
        <v>0</v>
      </c>
      <c r="P131" s="8" t="n">
        <f aca="false">P124*Initiatives!$K$24</f>
        <v>0</v>
      </c>
      <c r="Q131" s="8" t="n">
        <f aca="false">Q124*Initiatives!$K$24</f>
        <v>0</v>
      </c>
      <c r="R131" s="8" t="n">
        <f aca="false">R124*Initiatives!$K$24</f>
        <v>0</v>
      </c>
      <c r="S131" s="8" t="n">
        <f aca="false">S124*Initiatives!$K$24</f>
        <v>0</v>
      </c>
      <c r="T131" s="8" t="n">
        <f aca="false">T124*Initiatives!$K$24</f>
        <v>0</v>
      </c>
      <c r="U131" s="8" t="n">
        <f aca="false">U124*Initiatives!$K$24</f>
        <v>0</v>
      </c>
      <c r="V131" s="8" t="n">
        <f aca="false">V124*Initiatives!$K$24</f>
        <v>0</v>
      </c>
      <c r="W131" s="8" t="n">
        <f aca="false">W124*Initiatives!$K$24</f>
        <v>0</v>
      </c>
      <c r="X131" s="8" t="n">
        <f aca="false">X124*Initiatives!$K$24</f>
        <v>0</v>
      </c>
      <c r="Y131" s="8" t="n">
        <f aca="false">Y124*Initiatives!$K$24</f>
        <v>0</v>
      </c>
      <c r="Z131" s="8" t="n">
        <f aca="false">Z124*Initiatives!$K$24</f>
        <v>0</v>
      </c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" hidden="false" customHeight="false" outlineLevel="0" collapsed="false">
      <c r="A133" s="17" t="s">
        <v>245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customFormat="false" ht="15" hidden="false" customHeight="false" outlineLevel="0" collapsed="false">
      <c r="A134" s="4" t="s">
        <v>213</v>
      </c>
      <c r="B134" s="4" t="s">
        <v>214</v>
      </c>
      <c r="C134" s="24" t="n">
        <f aca="false">IF(C$3&lt;Initiatives!$L$33,0,MIN((C$3-Initiatives!$L$33+1)/Initiatives!$L$34,1))</f>
        <v>0</v>
      </c>
      <c r="D134" s="24" t="n">
        <f aca="false">IF(D$3&lt;Initiatives!$L$33,0,MIN((D$3-Initiatives!$L$33+1)/Initiatives!$L$34,1))</f>
        <v>0</v>
      </c>
      <c r="E134" s="24" t="n">
        <f aca="false">IF(E$3&lt;Initiatives!$L$33,0,MIN((E$3-Initiatives!$L$33+1)/Initiatives!$L$34,1))</f>
        <v>0</v>
      </c>
      <c r="F134" s="24" t="n">
        <f aca="false">IF(F$3&lt;Initiatives!$L$33,0,MIN((F$3-Initiatives!$L$33+1)/Initiatives!$L$34,1))</f>
        <v>0</v>
      </c>
      <c r="G134" s="24" t="n">
        <f aca="false">IF(G$3&lt;Initiatives!$L$33,0,MIN((G$3-Initiatives!$L$33+1)/Initiatives!$L$34,1))</f>
        <v>0</v>
      </c>
      <c r="H134" s="24" t="n">
        <f aca="false">IF(H$3&lt;Initiatives!$L$33,0,MIN((H$3-Initiatives!$L$33+1)/Initiatives!$L$34,1))</f>
        <v>0</v>
      </c>
      <c r="I134" s="24" t="n">
        <f aca="false">IF(I$3&lt;Initiatives!$L$33,0,MIN((I$3-Initiatives!$L$33+1)/Initiatives!$L$34,1))</f>
        <v>0</v>
      </c>
      <c r="J134" s="24" t="n">
        <f aca="false">IF(J$3&lt;Initiatives!$L$33,0,MIN((J$3-Initiatives!$L$33+1)/Initiatives!$L$34,1))</f>
        <v>0</v>
      </c>
      <c r="K134" s="24" t="n">
        <f aca="false">IF(K$3&lt;Initiatives!$L$33,0,MIN((K$3-Initiatives!$L$33+1)/Initiatives!$L$34,1))</f>
        <v>0.25</v>
      </c>
      <c r="L134" s="24" t="n">
        <f aca="false">IF(L$3&lt;Initiatives!$L$33,0,MIN((L$3-Initiatives!$L$33+1)/Initiatives!$L$34,1))</f>
        <v>0.5</v>
      </c>
      <c r="M134" s="24" t="n">
        <f aca="false">IF(M$3&lt;Initiatives!$L$33,0,MIN((M$3-Initiatives!$L$33+1)/Initiatives!$L$34,1))</f>
        <v>0.75</v>
      </c>
      <c r="N134" s="24" t="n">
        <f aca="false">IF(N$3&lt;Initiatives!$L$33,0,MIN((N$3-Initiatives!$L$33+1)/Initiatives!$L$34,1))</f>
        <v>1</v>
      </c>
      <c r="O134" s="24" t="n">
        <f aca="false">IF(O$3&lt;Initiatives!$L$33,0,MIN((O$3-Initiatives!$L$33+1)/Initiatives!$L$34,1))</f>
        <v>1</v>
      </c>
      <c r="P134" s="24" t="n">
        <f aca="false">IF(P$3&lt;Initiatives!$L$33,0,MIN((P$3-Initiatives!$L$33+1)/Initiatives!$L$34,1))</f>
        <v>1</v>
      </c>
      <c r="Q134" s="24" t="n">
        <f aca="false">IF(Q$3&lt;Initiatives!$L$33,0,MIN((Q$3-Initiatives!$L$33+1)/Initiatives!$L$34,1))</f>
        <v>1</v>
      </c>
      <c r="R134" s="24" t="n">
        <f aca="false">IF(R$3&lt;Initiatives!$L$33,0,MIN((R$3-Initiatives!$L$33+1)/Initiatives!$L$34,1))</f>
        <v>1</v>
      </c>
      <c r="S134" s="24" t="n">
        <f aca="false">IF(S$3&lt;Initiatives!$L$33,0,MIN((S$3-Initiatives!$L$33+1)/Initiatives!$L$34,1))</f>
        <v>1</v>
      </c>
      <c r="T134" s="24" t="n">
        <f aca="false">IF(T$3&lt;Initiatives!$L$33,0,MIN((T$3-Initiatives!$L$33+1)/Initiatives!$L$34,1))</f>
        <v>1</v>
      </c>
      <c r="U134" s="24" t="n">
        <f aca="false">IF(U$3&lt;Initiatives!$L$33,0,MIN((U$3-Initiatives!$L$33+1)/Initiatives!$L$34,1))</f>
        <v>1</v>
      </c>
      <c r="V134" s="24" t="n">
        <f aca="false">IF(V$3&lt;Initiatives!$L$33,0,MIN((V$3-Initiatives!$L$33+1)/Initiatives!$L$34,1))</f>
        <v>1</v>
      </c>
      <c r="W134" s="24" t="n">
        <f aca="false">IF(W$3&lt;Initiatives!$L$33,0,MIN((W$3-Initiatives!$L$33+1)/Initiatives!$L$34,1))</f>
        <v>1</v>
      </c>
      <c r="X134" s="24" t="n">
        <f aca="false">IF(X$3&lt;Initiatives!$L$33,0,MIN((X$3-Initiatives!$L$33+1)/Initiatives!$L$34,1))</f>
        <v>1</v>
      </c>
      <c r="Y134" s="24" t="n">
        <f aca="false">IF(Y$3&lt;Initiatives!$L$33,0,MIN((Y$3-Initiatives!$L$33+1)/Initiatives!$L$34,1))</f>
        <v>1</v>
      </c>
      <c r="Z134" s="24" t="n">
        <f aca="false">IF(Z$3&lt;Initiatives!$L$33,0,MIN((Z$3-Initiatives!$L$33+1)/Initiatives!$L$34,1))</f>
        <v>1</v>
      </c>
    </row>
    <row r="135" customFormat="false" ht="15" hidden="false" customHeight="false" outlineLevel="0" collapsed="false">
      <c r="A135" s="4" t="s">
        <v>215</v>
      </c>
      <c r="B135" s="4" t="s">
        <v>216</v>
      </c>
      <c r="C135" s="8" t="n">
        <f aca="false">Initiatives!$L$40*C134</f>
        <v>0</v>
      </c>
      <c r="D135" s="8" t="n">
        <f aca="false">Initiatives!$L$40*D134</f>
        <v>0</v>
      </c>
      <c r="E135" s="8" t="n">
        <f aca="false">Initiatives!$L$40*E134</f>
        <v>0</v>
      </c>
      <c r="F135" s="8" t="n">
        <f aca="false">Initiatives!$L$40*F134</f>
        <v>0</v>
      </c>
      <c r="G135" s="8" t="n">
        <f aca="false">Initiatives!$L$40*G134</f>
        <v>0</v>
      </c>
      <c r="H135" s="8" t="n">
        <f aca="false">Initiatives!$L$40*H134</f>
        <v>0</v>
      </c>
      <c r="I135" s="8" t="n">
        <f aca="false">Initiatives!$L$40*I134</f>
        <v>0</v>
      </c>
      <c r="J135" s="8" t="n">
        <f aca="false">Initiatives!$L$40*J134</f>
        <v>0</v>
      </c>
      <c r="K135" s="8" t="n">
        <f aca="false">Initiatives!$L$40*K134</f>
        <v>5068.8</v>
      </c>
      <c r="L135" s="8" t="n">
        <f aca="false">Initiatives!$L$40*L134</f>
        <v>10137.6</v>
      </c>
      <c r="M135" s="8" t="n">
        <f aca="false">Initiatives!$L$40*M134</f>
        <v>15206.4</v>
      </c>
      <c r="N135" s="8" t="n">
        <f aca="false">Initiatives!$L$40*N134</f>
        <v>20275.2</v>
      </c>
      <c r="O135" s="8" t="n">
        <f aca="false">Initiatives!$L$40*O134</f>
        <v>20275.2</v>
      </c>
      <c r="P135" s="8" t="n">
        <f aca="false">Initiatives!$L$40*P134</f>
        <v>20275.2</v>
      </c>
      <c r="Q135" s="8" t="n">
        <f aca="false">Initiatives!$L$40*Q134</f>
        <v>20275.2</v>
      </c>
      <c r="R135" s="8" t="n">
        <f aca="false">Initiatives!$L$40*R134</f>
        <v>20275.2</v>
      </c>
      <c r="S135" s="8" t="n">
        <f aca="false">Initiatives!$L$40*S134</f>
        <v>20275.2</v>
      </c>
      <c r="T135" s="8" t="n">
        <f aca="false">Initiatives!$L$40*T134</f>
        <v>20275.2</v>
      </c>
      <c r="U135" s="8" t="n">
        <f aca="false">Initiatives!$L$40*U134</f>
        <v>20275.2</v>
      </c>
      <c r="V135" s="8" t="n">
        <f aca="false">Initiatives!$L$40*V134</f>
        <v>20275.2</v>
      </c>
      <c r="W135" s="8" t="n">
        <f aca="false">Initiatives!$L$40*W134</f>
        <v>20275.2</v>
      </c>
      <c r="X135" s="8" t="n">
        <f aca="false">Initiatives!$L$40*X134</f>
        <v>20275.2</v>
      </c>
      <c r="Y135" s="8" t="n">
        <f aca="false">Initiatives!$L$40*Y134</f>
        <v>20275.2</v>
      </c>
      <c r="Z135" s="8" t="n">
        <f aca="false">Initiatives!$L$40*Z134</f>
        <v>20275.2</v>
      </c>
    </row>
    <row r="136" customFormat="false" ht="15" hidden="false" customHeight="false" outlineLevel="0" collapsed="false">
      <c r="A136" s="4" t="s">
        <v>217</v>
      </c>
      <c r="B136" s="4" t="s">
        <v>218</v>
      </c>
      <c r="C136" s="8" t="n">
        <f aca="false">MAX(C135-N(B135),0)</f>
        <v>0</v>
      </c>
      <c r="D136" s="8" t="n">
        <f aca="false">MAX(D135-N(C135),0)</f>
        <v>0</v>
      </c>
      <c r="E136" s="8" t="n">
        <f aca="false">MAX(E135-N(D135),0)</f>
        <v>0</v>
      </c>
      <c r="F136" s="8" t="n">
        <f aca="false">MAX(F135-N(E135),0)</f>
        <v>0</v>
      </c>
      <c r="G136" s="8" t="n">
        <f aca="false">MAX(G135-N(F135),0)</f>
        <v>0</v>
      </c>
      <c r="H136" s="8" t="n">
        <f aca="false">MAX(H135-N(G135),0)</f>
        <v>0</v>
      </c>
      <c r="I136" s="8" t="n">
        <f aca="false">MAX(I135-N(H135),0)</f>
        <v>0</v>
      </c>
      <c r="J136" s="8" t="n">
        <f aca="false">MAX(J135-N(I135),0)</f>
        <v>0</v>
      </c>
      <c r="K136" s="8" t="n">
        <f aca="false">MAX(K135-N(J135),0)</f>
        <v>5068.8</v>
      </c>
      <c r="L136" s="8" t="n">
        <f aca="false">MAX(L135-N(K135),0)</f>
        <v>5068.8</v>
      </c>
      <c r="M136" s="8" t="n">
        <f aca="false">MAX(M135-N(L135),0)</f>
        <v>5068.8</v>
      </c>
      <c r="N136" s="8" t="n">
        <f aca="false">MAX(N135-N(M135),0)</f>
        <v>5068.8</v>
      </c>
      <c r="O136" s="8" t="n">
        <f aca="false">MAX(O135-N(N135),0)</f>
        <v>0</v>
      </c>
      <c r="P136" s="8" t="n">
        <f aca="false">MAX(P135-N(O135),0)</f>
        <v>0</v>
      </c>
      <c r="Q136" s="8" t="n">
        <f aca="false">MAX(Q135-N(P135),0)</f>
        <v>0</v>
      </c>
      <c r="R136" s="8" t="n">
        <f aca="false">MAX(R135-N(Q135),0)</f>
        <v>0</v>
      </c>
      <c r="S136" s="8" t="n">
        <f aca="false">MAX(S135-N(R135),0)</f>
        <v>0</v>
      </c>
      <c r="T136" s="8" t="n">
        <f aca="false">MAX(T135-N(S135),0)</f>
        <v>0</v>
      </c>
      <c r="U136" s="8" t="n">
        <f aca="false">MAX(U135-N(T135),0)</f>
        <v>0</v>
      </c>
      <c r="V136" s="8" t="n">
        <f aca="false">MAX(V135-N(U135),0)</f>
        <v>0</v>
      </c>
      <c r="W136" s="8" t="n">
        <f aca="false">MAX(W135-N(V135),0)</f>
        <v>0</v>
      </c>
      <c r="X136" s="8" t="n">
        <f aca="false">MAX(X135-N(W135),0)</f>
        <v>0</v>
      </c>
      <c r="Y136" s="8" t="n">
        <f aca="false">MAX(Y135-N(X135),0)</f>
        <v>0</v>
      </c>
      <c r="Z136" s="8" t="n">
        <f aca="false">MAX(Z135-N(Y135),0)</f>
        <v>0</v>
      </c>
    </row>
    <row r="137" customFormat="false" ht="15" hidden="false" customHeight="false" outlineLevel="0" collapsed="false">
      <c r="A137" s="4" t="s">
        <v>219</v>
      </c>
      <c r="B137" s="4" t="s">
        <v>220</v>
      </c>
      <c r="C137" s="8" t="n">
        <f aca="false">IF(Initiatives!$L$6="adoption",N(B137)*(1-Inputs!$C$9)+N(B138)*Inputs!$C$9*Initiatives!$L$16,IF(Initiatives!$L$6="relative",N(B137)*(1-Inputs!$C$9)+C$4*Inputs!$C$9*Initiatives!$L$23*C134,0))</f>
        <v>0</v>
      </c>
      <c r="D137" s="8" t="n">
        <f aca="false">IF(Initiatives!$L$6="adoption",N(C137)*(1-Inputs!$C$9)+N(C138)*Inputs!$C$9*Initiatives!$L$16,IF(Initiatives!$L$6="relative",N(C137)*(1-Inputs!$C$9)+D$4*Inputs!$C$9*Initiatives!$L$23*D134,0))</f>
        <v>0</v>
      </c>
      <c r="E137" s="8" t="n">
        <f aca="false">IF(Initiatives!$L$6="adoption",N(D137)*(1-Inputs!$C$9)+N(D138)*Inputs!$C$9*Initiatives!$L$16,IF(Initiatives!$L$6="relative",N(D137)*(1-Inputs!$C$9)+E$4*Inputs!$C$9*Initiatives!$L$23*E134,0))</f>
        <v>0</v>
      </c>
      <c r="F137" s="8" t="n">
        <f aca="false">IF(Initiatives!$L$6="adoption",N(E137)*(1-Inputs!$C$9)+N(E138)*Inputs!$C$9*Initiatives!$L$16,IF(Initiatives!$L$6="relative",N(E137)*(1-Inputs!$C$9)+F$4*Inputs!$C$9*Initiatives!$L$23*F134,0))</f>
        <v>0</v>
      </c>
      <c r="G137" s="8" t="n">
        <f aca="false">IF(Initiatives!$L$6="adoption",N(F137)*(1-Inputs!$C$9)+N(F138)*Inputs!$C$9*Initiatives!$L$16,IF(Initiatives!$L$6="relative",N(F137)*(1-Inputs!$C$9)+G$4*Inputs!$C$9*Initiatives!$L$23*G134,0))</f>
        <v>0</v>
      </c>
      <c r="H137" s="8" t="n">
        <f aca="false">IF(Initiatives!$L$6="adoption",N(G137)*(1-Inputs!$C$9)+N(G138)*Inputs!$C$9*Initiatives!$L$16,IF(Initiatives!$L$6="relative",N(G137)*(1-Inputs!$C$9)+H$4*Inputs!$C$9*Initiatives!$L$23*H134,0))</f>
        <v>0</v>
      </c>
      <c r="I137" s="8" t="n">
        <f aca="false">IF(Initiatives!$L$6="adoption",N(H137)*(1-Inputs!$C$9)+N(H138)*Inputs!$C$9*Initiatives!$L$16,IF(Initiatives!$L$6="relative",N(H137)*(1-Inputs!$C$9)+I$4*Inputs!$C$9*Initiatives!$L$23*I134,0))</f>
        <v>0</v>
      </c>
      <c r="J137" s="8" t="n">
        <f aca="false">IF(Initiatives!$L$6="adoption",N(I137)*(1-Inputs!$C$9)+N(I138)*Inputs!$C$9*Initiatives!$L$16,IF(Initiatives!$L$6="relative",N(I137)*(1-Inputs!$C$9)+J$4*Inputs!$C$9*Initiatives!$L$23*J134,0))</f>
        <v>0</v>
      </c>
      <c r="K137" s="8" t="n">
        <f aca="false">IF(Initiatives!$L$6="adoption",N(J137)*(1-Inputs!$C$9)+N(J138)*Inputs!$C$9*Initiatives!$L$16,IF(Initiatives!$L$6="relative",N(J137)*(1-Inputs!$C$9)+K$4*Inputs!$C$9*Initiatives!$L$23*K134,0))</f>
        <v>0</v>
      </c>
      <c r="L137" s="8" t="n">
        <f aca="false">IF(Initiatives!$L$6="adoption",N(K137)*(1-Inputs!$C$9)+N(K138)*Inputs!$C$9*Initiatives!$L$16,IF(Initiatives!$L$6="relative",N(K137)*(1-Inputs!$C$9)+L$4*Inputs!$C$9*Initiatives!$L$23*L134,0))</f>
        <v>22.8096</v>
      </c>
      <c r="M137" s="8" t="n">
        <f aca="false">IF(Initiatives!$L$6="adoption",N(L137)*(1-Inputs!$C$9)+N(L138)*Inputs!$C$9*Initiatives!$L$16,IF(Initiatives!$L$6="relative",N(L137)*(1-Inputs!$C$9)+M$4*Inputs!$C$9*Initiatives!$L$23*M134,0))</f>
        <v>67.8471552</v>
      </c>
      <c r="N137" s="8" t="n">
        <f aca="false">IF(Initiatives!$L$6="adoption",N(M137)*(1-Inputs!$C$9)+N(M138)*Inputs!$C$9*Initiatives!$L$16,IF(Initiatives!$L$6="relative",N(M137)*(1-Inputs!$C$9)+N$4*Inputs!$C$9*Initiatives!$L$23*N134,0))</f>
        <v>134.5422602304</v>
      </c>
      <c r="O137" s="8" t="n">
        <f aca="false">IF(Initiatives!$L$6="adoption",N(N137)*(1-Inputs!$C$9)+N(N138)*Inputs!$C$9*Initiatives!$L$16,IF(Initiatives!$L$6="relative",N(N137)*(1-Inputs!$C$9)+O$4*Inputs!$C$9*Initiatives!$L$23*O134,0))</f>
        <v>222.335554155581</v>
      </c>
      <c r="P137" s="8" t="n">
        <f aca="false">IF(Initiatives!$L$6="adoption",N(O137)*(1-Inputs!$C$9)+N(O138)*Inputs!$C$9*Initiatives!$L$16,IF(Initiatives!$L$6="relative",N(O137)*(1-Inputs!$C$9)+P$4*Inputs!$C$9*Initiatives!$L$23*P134,0))</f>
        <v>307.868928679683</v>
      </c>
      <c r="Q137" s="8" t="n">
        <f aca="false">IF(Initiatives!$L$6="adoption",N(P137)*(1-Inputs!$C$9)+N(P138)*Inputs!$C$9*Initiatives!$L$16,IF(Initiatives!$L$6="relative",N(P137)*(1-Inputs!$C$9)+Q$4*Inputs!$C$9*Initiatives!$L$23*Q134,0))</f>
        <v>391.186184303642</v>
      </c>
      <c r="R137" s="8" t="n">
        <f aca="false">IF(Initiatives!$L$6="adoption",N(Q137)*(1-Inputs!$C$9)+N(Q138)*Inputs!$C$9*Initiatives!$L$16,IF(Initiatives!$L$6="relative",N(Q137)*(1-Inputs!$C$9)+R$4*Inputs!$C$9*Initiatives!$L$23*R134,0))</f>
        <v>472.330360552922</v>
      </c>
      <c r="S137" s="8" t="n">
        <f aca="false">IF(Initiatives!$L$6="adoption",N(R137)*(1-Inputs!$C$9)+N(R138)*Inputs!$C$9*Initiatives!$L$16,IF(Initiatives!$L$6="relative",N(R137)*(1-Inputs!$C$9)+S$4*Inputs!$C$9*Initiatives!$L$23*S134,0))</f>
        <v>551.343748483818</v>
      </c>
      <c r="T137" s="8" t="n">
        <f aca="false">IF(Initiatives!$L$6="adoption",N(S137)*(1-Inputs!$C$9)+N(S138)*Inputs!$C$9*Initiatives!$L$16,IF(Initiatives!$L$6="relative",N(S137)*(1-Inputs!$C$9)+T$4*Inputs!$C$9*Initiatives!$L$23*T134,0))</f>
        <v>628.267902990689</v>
      </c>
      <c r="U137" s="8" t="n">
        <f aca="false">IF(Initiatives!$L$6="adoption",N(T137)*(1-Inputs!$C$9)+N(T138)*Inputs!$C$9*Initiatives!$L$16,IF(Initiatives!$L$6="relative",N(T137)*(1-Inputs!$C$9)+U$4*Inputs!$C$9*Initiatives!$L$23*U134,0))</f>
        <v>703.143654917248</v>
      </c>
      <c r="V137" s="8" t="n">
        <f aca="false">IF(Initiatives!$L$6="adoption",N(U137)*(1-Inputs!$C$9)+N(U138)*Inputs!$C$9*Initiatives!$L$16,IF(Initiatives!$L$6="relative",N(U137)*(1-Inputs!$C$9)+V$4*Inputs!$C$9*Initiatives!$L$23*V134,0))</f>
        <v>776.011122974959</v>
      </c>
      <c r="W137" s="8" t="n">
        <f aca="false">IF(Initiatives!$L$6="adoption",N(V137)*(1-Inputs!$C$9)+N(V138)*Inputs!$C$9*Initiatives!$L$16,IF(Initiatives!$L$6="relative",N(V137)*(1-Inputs!$C$9)+W$4*Inputs!$C$9*Initiatives!$L$23*W134,0))</f>
        <v>846.90972547155</v>
      </c>
      <c r="X137" s="8" t="n">
        <f aca="false">IF(Initiatives!$L$6="adoption",N(W137)*(1-Inputs!$C$9)+N(W138)*Inputs!$C$9*Initiatives!$L$16,IF(Initiatives!$L$6="relative",N(W137)*(1-Inputs!$C$9)+X$4*Inputs!$C$9*Initiatives!$L$23*X134,0))</f>
        <v>915.878191852608</v>
      </c>
      <c r="Y137" s="8" t="n">
        <f aca="false">IF(Initiatives!$L$6="adoption",N(X137)*(1-Inputs!$C$9)+N(X138)*Inputs!$C$9*Initiatives!$L$16,IF(Initiatives!$L$6="relative",N(X137)*(1-Inputs!$C$9)+Y$4*Inputs!$C$9*Initiatives!$L$23*Y134,0))</f>
        <v>982.954574059188</v>
      </c>
      <c r="Z137" s="8" t="n">
        <f aca="false">IF(Initiatives!$L$6="adoption",N(Y137)*(1-Inputs!$C$9)+N(Y138)*Inputs!$C$9*Initiatives!$L$16,IF(Initiatives!$L$6="relative",N(Y137)*(1-Inputs!$C$9)+Z$4*Inputs!$C$9*Initiatives!$L$23*Z134,0))</f>
        <v>1048.17625770428</v>
      </c>
    </row>
    <row r="138" customFormat="false" ht="15" hidden="false" customHeight="false" outlineLevel="0" collapsed="false">
      <c r="A138" s="4" t="s">
        <v>221</v>
      </c>
      <c r="B138" s="4" t="s">
        <v>222</v>
      </c>
      <c r="C138" s="8" t="n">
        <f aca="false">N(B138)*(1-Initiatives!$L$45)*(1-Inputs!$C$9*(1-Initiatives!$L$16))+C136</f>
        <v>0</v>
      </c>
      <c r="D138" s="8" t="n">
        <f aca="false">N(C138)*(1-Initiatives!$L$45)*(1-Inputs!$C$9*(1-Initiatives!$L$16))+D136</f>
        <v>0</v>
      </c>
      <c r="E138" s="8" t="n">
        <f aca="false">N(D138)*(1-Initiatives!$L$45)*(1-Inputs!$C$9*(1-Initiatives!$L$16))+E136</f>
        <v>0</v>
      </c>
      <c r="F138" s="8" t="n">
        <f aca="false">N(E138)*(1-Initiatives!$L$45)*(1-Inputs!$C$9*(1-Initiatives!$L$16))+F136</f>
        <v>0</v>
      </c>
      <c r="G138" s="8" t="n">
        <f aca="false">N(F138)*(1-Initiatives!$L$45)*(1-Inputs!$C$9*(1-Initiatives!$L$16))+G136</f>
        <v>0</v>
      </c>
      <c r="H138" s="8" t="n">
        <f aca="false">N(G138)*(1-Initiatives!$L$45)*(1-Inputs!$C$9*(1-Initiatives!$L$16))+H136</f>
        <v>0</v>
      </c>
      <c r="I138" s="8" t="n">
        <f aca="false">N(H138)*(1-Initiatives!$L$45)*(1-Inputs!$C$9*(1-Initiatives!$L$16))+I136</f>
        <v>0</v>
      </c>
      <c r="J138" s="8" t="n">
        <f aca="false">N(I138)*(1-Initiatives!$L$45)*(1-Inputs!$C$9*(1-Initiatives!$L$16))+J136</f>
        <v>0</v>
      </c>
      <c r="K138" s="8" t="n">
        <f aca="false">N(J138)*(1-Initiatives!$L$45)*(1-Inputs!$C$9*(1-Initiatives!$L$16))+K136</f>
        <v>5068.8</v>
      </c>
      <c r="L138" s="8" t="n">
        <f aca="false">N(K138)*(1-Initiatives!$L$45)*(1-Inputs!$C$9*(1-Initiatives!$L$16))+L136</f>
        <v>10084.3776</v>
      </c>
      <c r="M138" s="8" t="n">
        <f aca="false">N(L138)*(1-Initiatives!$L$45)*(1-Inputs!$C$9*(1-Initiatives!$L$16))+M136</f>
        <v>15047.2916352</v>
      </c>
      <c r="N138" s="8" t="n">
        <f aca="false">N(M138)*(1-Initiatives!$L$45)*(1-Inputs!$C$9*(1-Initiatives!$L$16))+N136</f>
        <v>19958.0950730304</v>
      </c>
      <c r="O138" s="8" t="n">
        <f aca="false">N(N138)*(1-Initiatives!$L$45)*(1-Inputs!$C$9*(1-Initiatives!$L$16))+O136</f>
        <v>19748.5350747636</v>
      </c>
      <c r="P138" s="8" t="n">
        <f aca="false">N(O138)*(1-Initiatives!$L$45)*(1-Inputs!$C$9*(1-Initiatives!$L$16))+P136</f>
        <v>19541.1754564786</v>
      </c>
      <c r="Q138" s="8" t="n">
        <f aca="false">N(P138)*(1-Initiatives!$L$45)*(1-Inputs!$C$9*(1-Initiatives!$L$16))+Q136</f>
        <v>19335.9931141855</v>
      </c>
      <c r="R138" s="8" t="n">
        <f aca="false">N(Q138)*(1-Initiatives!$L$45)*(1-Inputs!$C$9*(1-Initiatives!$L$16))+R136</f>
        <v>19132.9651864866</v>
      </c>
      <c r="S138" s="8" t="n">
        <f aca="false">N(R138)*(1-Initiatives!$L$45)*(1-Inputs!$C$9*(1-Initiatives!$L$16))+S136</f>
        <v>18932.0690520285</v>
      </c>
      <c r="T138" s="8" t="n">
        <f aca="false">N(S138)*(1-Initiatives!$L$45)*(1-Inputs!$C$9*(1-Initiatives!$L$16))+T136</f>
        <v>18733.2823269822</v>
      </c>
      <c r="U138" s="8" t="n">
        <f aca="false">N(T138)*(1-Initiatives!$L$45)*(1-Inputs!$C$9*(1-Initiatives!$L$16))+U136</f>
        <v>18536.5828625489</v>
      </c>
      <c r="V138" s="8" t="n">
        <f aca="false">N(U138)*(1-Initiatives!$L$45)*(1-Inputs!$C$9*(1-Initiatives!$L$16))+V136</f>
        <v>18341.9487424921</v>
      </c>
      <c r="W138" s="8" t="n">
        <f aca="false">N(V138)*(1-Initiatives!$L$45)*(1-Inputs!$C$9*(1-Initiatives!$L$16))+W136</f>
        <v>18149.358280696</v>
      </c>
      <c r="X138" s="8" t="n">
        <f aca="false">N(W138)*(1-Initiatives!$L$45)*(1-Inputs!$C$9*(1-Initiatives!$L$16))+X136</f>
        <v>17958.7900187486</v>
      </c>
      <c r="Y138" s="8" t="n">
        <f aca="false">N(X138)*(1-Initiatives!$L$45)*(1-Inputs!$C$9*(1-Initiatives!$L$16))+Y136</f>
        <v>17770.2227235518</v>
      </c>
      <c r="Z138" s="8" t="n">
        <f aca="false">N(Y138)*(1-Initiatives!$L$45)*(1-Inputs!$C$9*(1-Initiatives!$L$16))+Z136</f>
        <v>17583.6353849545</v>
      </c>
    </row>
    <row r="139" customFormat="false" ht="15" hidden="false" customHeight="false" outlineLevel="0" collapsed="false">
      <c r="A139" s="4" t="s">
        <v>223</v>
      </c>
      <c r="B139" s="4" t="s">
        <v>224</v>
      </c>
      <c r="C139" s="8" t="n">
        <f aca="false">N(B139)*(1-Inputs!$C$9)+IF(AND(C$3&gt;=Initiatives!$L$33,C$3&lt;Initiatives!$L$33+Initiatives!$L$47),Initiatives!$L$43/Initiatives!$L$47,0)</f>
        <v>0</v>
      </c>
      <c r="D139" s="8" t="n">
        <f aca="false">N(C139)*(1-Inputs!$C$9)+IF(AND(D$3&gt;=Initiatives!$L$33,D$3&lt;Initiatives!$L$33+Initiatives!$L$47),Initiatives!$L$43/Initiatives!$L$47,0)</f>
        <v>0</v>
      </c>
      <c r="E139" s="8" t="n">
        <f aca="false">N(D139)*(1-Inputs!$C$9)+IF(AND(E$3&gt;=Initiatives!$L$33,E$3&lt;Initiatives!$L$33+Initiatives!$L$47),Initiatives!$L$43/Initiatives!$L$47,0)</f>
        <v>0</v>
      </c>
      <c r="F139" s="8" t="n">
        <f aca="false">N(E139)*(1-Inputs!$C$9)+IF(AND(F$3&gt;=Initiatives!$L$33,F$3&lt;Initiatives!$L$33+Initiatives!$L$47),Initiatives!$L$43/Initiatives!$L$47,0)</f>
        <v>0</v>
      </c>
      <c r="G139" s="8" t="n">
        <f aca="false">N(F139)*(1-Inputs!$C$9)+IF(AND(G$3&gt;=Initiatives!$L$33,G$3&lt;Initiatives!$L$33+Initiatives!$L$47),Initiatives!$L$43/Initiatives!$L$47,0)</f>
        <v>0</v>
      </c>
      <c r="H139" s="8" t="n">
        <f aca="false">N(G139)*(1-Inputs!$C$9)+IF(AND(H$3&gt;=Initiatives!$L$33,H$3&lt;Initiatives!$L$33+Initiatives!$L$47),Initiatives!$L$43/Initiatives!$L$47,0)</f>
        <v>0</v>
      </c>
      <c r="I139" s="8" t="n">
        <f aca="false">N(H139)*(1-Inputs!$C$9)+IF(AND(I$3&gt;=Initiatives!$L$33,I$3&lt;Initiatives!$L$33+Initiatives!$L$47),Initiatives!$L$43/Initiatives!$L$47,0)</f>
        <v>0</v>
      </c>
      <c r="J139" s="8" t="n">
        <f aca="false">N(I139)*(1-Inputs!$C$9)+IF(AND(J$3&gt;=Initiatives!$L$33,J$3&lt;Initiatives!$L$33+Initiatives!$L$47),Initiatives!$L$43/Initiatives!$L$47,0)</f>
        <v>0</v>
      </c>
      <c r="K139" s="8" t="n">
        <f aca="false">N(J139)*(1-Inputs!$C$9)+IF(AND(K$3&gt;=Initiatives!$L$33,K$3&lt;Initiatives!$L$33+Initiatives!$L$47),Initiatives!$L$43/Initiatives!$L$47,0)</f>
        <v>0</v>
      </c>
      <c r="L139" s="8" t="n">
        <f aca="false">N(K139)*(1-Inputs!$C$9)+IF(AND(L$3&gt;=Initiatives!$L$33,L$3&lt;Initiatives!$L$33+Initiatives!$L$47),Initiatives!$L$43/Initiatives!$L$47,0)</f>
        <v>0</v>
      </c>
      <c r="M139" s="8" t="n">
        <f aca="false">N(L139)*(1-Inputs!$C$9)+IF(AND(M$3&gt;=Initiatives!$L$33,M$3&lt;Initiatives!$L$33+Initiatives!$L$47),Initiatives!$L$43/Initiatives!$L$47,0)</f>
        <v>0</v>
      </c>
      <c r="N139" s="8" t="n">
        <f aca="false">N(M139)*(1-Inputs!$C$9)+IF(AND(N$3&gt;=Initiatives!$L$33,N$3&lt;Initiatives!$L$33+Initiatives!$L$47),Initiatives!$L$43/Initiatives!$L$47,0)</f>
        <v>0</v>
      </c>
      <c r="O139" s="8" t="n">
        <f aca="false">N(N139)*(1-Inputs!$C$9)+IF(AND(O$3&gt;=Initiatives!$L$33,O$3&lt;Initiatives!$L$33+Initiatives!$L$47),Initiatives!$L$43/Initiatives!$L$47,0)</f>
        <v>0</v>
      </c>
      <c r="P139" s="8" t="n">
        <f aca="false">N(O139)*(1-Inputs!$C$9)+IF(AND(P$3&gt;=Initiatives!$L$33,P$3&lt;Initiatives!$L$33+Initiatives!$L$47),Initiatives!$L$43/Initiatives!$L$47,0)</f>
        <v>0</v>
      </c>
      <c r="Q139" s="8" t="n">
        <f aca="false">N(P139)*(1-Inputs!$C$9)+IF(AND(Q$3&gt;=Initiatives!$L$33,Q$3&lt;Initiatives!$L$33+Initiatives!$L$47),Initiatives!$L$43/Initiatives!$L$47,0)</f>
        <v>0</v>
      </c>
      <c r="R139" s="8" t="n">
        <f aca="false">N(Q139)*(1-Inputs!$C$9)+IF(AND(R$3&gt;=Initiatives!$L$33,R$3&lt;Initiatives!$L$33+Initiatives!$L$47),Initiatives!$L$43/Initiatives!$L$47,0)</f>
        <v>0</v>
      </c>
      <c r="S139" s="8" t="n">
        <f aca="false">N(R139)*(1-Inputs!$C$9)+IF(AND(S$3&gt;=Initiatives!$L$33,S$3&lt;Initiatives!$L$33+Initiatives!$L$47),Initiatives!$L$43/Initiatives!$L$47,0)</f>
        <v>0</v>
      </c>
      <c r="T139" s="8" t="n">
        <f aca="false">N(S139)*(1-Inputs!$C$9)+IF(AND(T$3&gt;=Initiatives!$L$33,T$3&lt;Initiatives!$L$33+Initiatives!$L$47),Initiatives!$L$43/Initiatives!$L$47,0)</f>
        <v>0</v>
      </c>
      <c r="U139" s="8" t="n">
        <f aca="false">N(T139)*(1-Inputs!$C$9)+IF(AND(U$3&gt;=Initiatives!$L$33,U$3&lt;Initiatives!$L$33+Initiatives!$L$47),Initiatives!$L$43/Initiatives!$L$47,0)</f>
        <v>0</v>
      </c>
      <c r="V139" s="8" t="n">
        <f aca="false">N(U139)*(1-Inputs!$C$9)+IF(AND(V$3&gt;=Initiatives!$L$33,V$3&lt;Initiatives!$L$33+Initiatives!$L$47),Initiatives!$L$43/Initiatives!$L$47,0)</f>
        <v>0</v>
      </c>
      <c r="W139" s="8" t="n">
        <f aca="false">N(V139)*(1-Inputs!$C$9)+IF(AND(W$3&gt;=Initiatives!$L$33,W$3&lt;Initiatives!$L$33+Initiatives!$L$47),Initiatives!$L$43/Initiatives!$L$47,0)</f>
        <v>0</v>
      </c>
      <c r="X139" s="8" t="n">
        <f aca="false">N(W139)*(1-Inputs!$C$9)+IF(AND(X$3&gt;=Initiatives!$L$33,X$3&lt;Initiatives!$L$33+Initiatives!$L$47),Initiatives!$L$43/Initiatives!$L$47,0)</f>
        <v>0</v>
      </c>
      <c r="Y139" s="8" t="n">
        <f aca="false">N(X139)*(1-Inputs!$C$9)+IF(AND(Y$3&gt;=Initiatives!$L$33,Y$3&lt;Initiatives!$L$33+Initiatives!$L$47),Initiatives!$L$43/Initiatives!$L$47,0)</f>
        <v>0</v>
      </c>
      <c r="Z139" s="8" t="n">
        <f aca="false">N(Y139)*(1-Inputs!$C$9)+IF(AND(Z$3&gt;=Initiatives!$L$33,Z$3&lt;Initiatives!$L$33+Initiatives!$L$47),Initiatives!$L$43/Initiatives!$L$47,0)</f>
        <v>0</v>
      </c>
    </row>
    <row r="140" customFormat="false" ht="15" hidden="false" customHeight="false" outlineLevel="0" collapsed="false">
      <c r="A140" s="4" t="s">
        <v>225</v>
      </c>
      <c r="B140" s="4" t="s">
        <v>226</v>
      </c>
      <c r="C140" s="8" t="n">
        <f aca="false">IF(Initiatives!$L$6="adoption",C138*Initiatives!$L$14+C137*Initiatives!$L$9-C139*Initiatives!$L$9,IF(Initiatives!$L$6="reprice",IF(C$3&gt;=Initiatives!$L$33,(Initiatives!$L$41*Initiatives!$L$44+Initiatives!$L$42*Initiatives!$L$20)*(1-Inputs!$C$9)^(C$3-Initiatives!$L$33),0)-C139*Initiatives!$L$9,C$5*Initiatives!$L$22*C134+C137*Inputs!$C$8))</f>
        <v>0</v>
      </c>
      <c r="D140" s="8" t="n">
        <f aca="false">IF(Initiatives!$L$6="adoption",D138*Initiatives!$L$14+D137*Initiatives!$L$9-D139*Initiatives!$L$9,IF(Initiatives!$L$6="reprice",IF(D$3&gt;=Initiatives!$L$33,(Initiatives!$L$41*Initiatives!$L$44+Initiatives!$L$42*Initiatives!$L$20)*(1-Inputs!$C$9)^(D$3-Initiatives!$L$33),0)-D139*Initiatives!$L$9,D$5*Initiatives!$L$22*D134+D137*Inputs!$C$8))</f>
        <v>0</v>
      </c>
      <c r="E140" s="8" t="n">
        <f aca="false">IF(Initiatives!$L$6="adoption",E138*Initiatives!$L$14+E137*Initiatives!$L$9-E139*Initiatives!$L$9,IF(Initiatives!$L$6="reprice",IF(E$3&gt;=Initiatives!$L$33,(Initiatives!$L$41*Initiatives!$L$44+Initiatives!$L$42*Initiatives!$L$20)*(1-Inputs!$C$9)^(E$3-Initiatives!$L$33),0)-E139*Initiatives!$L$9,E$5*Initiatives!$L$22*E134+E137*Inputs!$C$8))</f>
        <v>0</v>
      </c>
      <c r="F140" s="8" t="n">
        <f aca="false">IF(Initiatives!$L$6="adoption",F138*Initiatives!$L$14+F137*Initiatives!$L$9-F139*Initiatives!$L$9,IF(Initiatives!$L$6="reprice",IF(F$3&gt;=Initiatives!$L$33,(Initiatives!$L$41*Initiatives!$L$44+Initiatives!$L$42*Initiatives!$L$20)*(1-Inputs!$C$9)^(F$3-Initiatives!$L$33),0)-F139*Initiatives!$L$9,F$5*Initiatives!$L$22*F134+F137*Inputs!$C$8))</f>
        <v>0</v>
      </c>
      <c r="G140" s="8" t="n">
        <f aca="false">IF(Initiatives!$L$6="adoption",G138*Initiatives!$L$14+G137*Initiatives!$L$9-G139*Initiatives!$L$9,IF(Initiatives!$L$6="reprice",IF(G$3&gt;=Initiatives!$L$33,(Initiatives!$L$41*Initiatives!$L$44+Initiatives!$L$42*Initiatives!$L$20)*(1-Inputs!$C$9)^(G$3-Initiatives!$L$33),0)-G139*Initiatives!$L$9,G$5*Initiatives!$L$22*G134+G137*Inputs!$C$8))</f>
        <v>0</v>
      </c>
      <c r="H140" s="8" t="n">
        <f aca="false">IF(Initiatives!$L$6="adoption",H138*Initiatives!$L$14+H137*Initiatives!$L$9-H139*Initiatives!$L$9,IF(Initiatives!$L$6="reprice",IF(H$3&gt;=Initiatives!$L$33,(Initiatives!$L$41*Initiatives!$L$44+Initiatives!$L$42*Initiatives!$L$20)*(1-Inputs!$C$9)^(H$3-Initiatives!$L$33),0)-H139*Initiatives!$L$9,H$5*Initiatives!$L$22*H134+H137*Inputs!$C$8))</f>
        <v>0</v>
      </c>
      <c r="I140" s="8" t="n">
        <f aca="false">IF(Initiatives!$L$6="adoption",I138*Initiatives!$L$14+I137*Initiatives!$L$9-I139*Initiatives!$L$9,IF(Initiatives!$L$6="reprice",IF(I$3&gt;=Initiatives!$L$33,(Initiatives!$L$41*Initiatives!$L$44+Initiatives!$L$42*Initiatives!$L$20)*(1-Inputs!$C$9)^(I$3-Initiatives!$L$33),0)-I139*Initiatives!$L$9,I$5*Initiatives!$L$22*I134+I137*Inputs!$C$8))</f>
        <v>0</v>
      </c>
      <c r="J140" s="8" t="n">
        <f aca="false">IF(Initiatives!$L$6="adoption",J138*Initiatives!$L$14+J137*Initiatives!$L$9-J139*Initiatives!$L$9,IF(Initiatives!$L$6="reprice",IF(J$3&gt;=Initiatives!$L$33,(Initiatives!$L$41*Initiatives!$L$44+Initiatives!$L$42*Initiatives!$L$20)*(1-Inputs!$C$9)^(J$3-Initiatives!$L$33),0)-J139*Initiatives!$L$9,J$5*Initiatives!$L$22*J134+J137*Inputs!$C$8))</f>
        <v>0</v>
      </c>
      <c r="K140" s="8" t="n">
        <f aca="false">IF(Initiatives!$L$6="adoption",K138*Initiatives!$L$14+K137*Initiatives!$L$9-K139*Initiatives!$L$9,IF(Initiatives!$L$6="reprice",IF(K$3&gt;=Initiatives!$L$33,(Initiatives!$L$41*Initiatives!$L$44+Initiatives!$L$42*Initiatives!$L$20)*(1-Inputs!$C$9)^(K$3-Initiatives!$L$33),0)-K139*Initiatives!$L$9,K$5*Initiatives!$L$22*K134+K137*Inputs!$C$8))</f>
        <v>111513600</v>
      </c>
      <c r="L140" s="8" t="n">
        <f aca="false">IF(Initiatives!$L$6="adoption",L138*Initiatives!$L$14+L137*Initiatives!$L$9-L139*Initiatives!$L$9,IF(Initiatives!$L$6="reprice",IF(L$3&gt;=Initiatives!$L$33,(Initiatives!$L$41*Initiatives!$L$44+Initiatives!$L$42*Initiatives!$L$20)*(1-Inputs!$C$9)^(L$3-Initiatives!$L$33),0)-L139*Initiatives!$L$9,L$5*Initiatives!$L$22*L134+L137*Inputs!$C$8))</f>
        <v>222494976</v>
      </c>
      <c r="M140" s="8" t="n">
        <f aca="false">IF(Initiatives!$L$6="adoption",M138*Initiatives!$L$14+M137*Initiatives!$L$9-M139*Initiatives!$L$9,IF(Initiatives!$L$6="reprice",IF(M$3&gt;=Initiatives!$L$33,(Initiatives!$L$41*Initiatives!$L$44+Initiatives!$L$42*Initiatives!$L$20)*(1-Inputs!$C$9)^(M$3-Initiatives!$L$33),0)-M139*Initiatives!$L$9,M$5*Initiatives!$L$22*M134+M137*Inputs!$C$8))</f>
        <v>332940136.32</v>
      </c>
      <c r="N140" s="8" t="n">
        <f aca="false">IF(Initiatives!$L$6="adoption",N138*Initiatives!$L$14+N137*Initiatives!$L$9-N139*Initiatives!$L$9,IF(Initiatives!$L$6="reprice",IF(N$3&gt;=Initiatives!$L$33,(Initiatives!$L$41*Initiatives!$L$44+Initiatives!$L$42*Initiatives!$L$20)*(1-Inputs!$C$9)^(N$3-Initiatives!$L$33),0)-N139*Initiatives!$L$9,N$5*Initiatives!$L$22*N134+N137*Inputs!$C$8))</f>
        <v>442845274.89312</v>
      </c>
      <c r="O140" s="8" t="n">
        <f aca="false">IF(Initiatives!$L$6="adoption",O138*Initiatives!$L$14+O137*Initiatives!$L$9-O139*Initiatives!$L$9,IF(Initiatives!$L$6="reprice",IF(O$3&gt;=Initiatives!$L$33,(Initiatives!$L$41*Initiatives!$L$44+Initiatives!$L$42*Initiatives!$L$20)*(1-Inputs!$C$9)^(O$3-Initiatives!$L$33),0)-O139*Initiatives!$L$9,O$5*Initiatives!$L$22*O134+O137*Inputs!$C$8))</f>
        <v>440693167.161155</v>
      </c>
      <c r="P140" s="8" t="n">
        <f aca="false">IF(Initiatives!$L$6="adoption",P138*Initiatives!$L$14+P137*Initiatives!$L$9-P139*Initiatives!$L$9,IF(Initiatives!$L$6="reprice",IF(P$3&gt;=Initiatives!$L$33,(Initiatives!$L$41*Initiatives!$L$44+Initiatives!$L$42*Initiatives!$L$20)*(1-Inputs!$C$9)^(P$3-Initiatives!$L$33),0)-P139*Initiatives!$L$9,P$5*Initiatives!$L$22*P134+P137*Inputs!$C$8))</f>
        <v>438526190.04556</v>
      </c>
      <c r="Q140" s="8" t="n">
        <f aca="false">IF(Initiatives!$L$6="adoption",Q138*Initiatives!$L$14+Q137*Initiatives!$L$9-Q139*Initiatives!$L$9,IF(Initiatives!$L$6="reprice",IF(Q$3&gt;=Initiatives!$L$33,(Initiatives!$L$41*Initiatives!$L$44+Initiatives!$L$42*Initiatives!$L$20)*(1-Inputs!$C$9)^(Q$3-Initiatives!$L$33),0)-Q139*Initiatives!$L$9,Q$5*Initiatives!$L$22*Q134+Q137*Inputs!$C$8))</f>
        <v>436345061.672584</v>
      </c>
      <c r="R140" s="8" t="n">
        <f aca="false">IF(Initiatives!$L$6="adoption",R138*Initiatives!$L$14+R137*Initiatives!$L$9-R139*Initiatives!$L$9,IF(Initiatives!$L$6="reprice",IF(R$3&gt;=Initiatives!$L$33,(Initiatives!$L$41*Initiatives!$L$44+Initiatives!$L$42*Initiatives!$L$20)*(1-Inputs!$C$9)^(R$3-Initiatives!$L$33),0)-R139*Initiatives!$L$9,R$5*Initiatives!$L$22*R134+R137*Inputs!$C$8))</f>
        <v>434150484.198187</v>
      </c>
      <c r="S140" s="8" t="n">
        <f aca="false">IF(Initiatives!$L$6="adoption",S138*Initiatives!$L$14+S137*Initiatives!$L$9-S139*Initiatives!$L$9,IF(Initiatives!$L$6="reprice",IF(S$3&gt;=Initiatives!$L$33,(Initiatives!$L$41*Initiatives!$L$44+Initiatives!$L$42*Initiatives!$L$20)*(1-Inputs!$C$9)^(S$3-Initiatives!$L$33),0)-S139*Initiatives!$L$9,S$5*Initiatives!$L$22*S134+S137*Inputs!$C$8))</f>
        <v>431943144.102174</v>
      </c>
      <c r="T140" s="8" t="n">
        <f aca="false">IF(Initiatives!$L$6="adoption",T138*Initiatives!$L$14+T137*Initiatives!$L$9-T139*Initiatives!$L$9,IF(Initiatives!$L$6="reprice",IF(T$3&gt;=Initiatives!$L$33,(Initiatives!$L$41*Initiatives!$L$44+Initiatives!$L$42*Initiatives!$L$20)*(1-Inputs!$C$9)^(T$3-Initiatives!$L$33),0)-T139*Initiatives!$L$9,T$5*Initiatives!$L$22*T134+T137*Inputs!$C$8))</f>
        <v>429723712.477348</v>
      </c>
      <c r="U140" s="8" t="n">
        <f aca="false">IF(Initiatives!$L$6="adoption",U138*Initiatives!$L$14+U137*Initiatives!$L$9-U139*Initiatives!$L$9,IF(Initiatives!$L$6="reprice",IF(U$3&gt;=Initiatives!$L$33,(Initiatives!$L$41*Initiatives!$L$44+Initiatives!$L$42*Initiatives!$L$20)*(1-Inputs!$C$9)^(U$3-Initiatives!$L$33),0)-U139*Initiatives!$L$9,U$5*Initiatives!$L$22*U134+U137*Inputs!$C$8))</f>
        <v>427492845.313758</v>
      </c>
      <c r="V140" s="8" t="n">
        <f aca="false">IF(Initiatives!$L$6="adoption",V138*Initiatives!$L$14+V137*Initiatives!$L$9-V139*Initiatives!$L$9,IF(Initiatives!$L$6="reprice",IF(V$3&gt;=Initiatives!$L$33,(Initiatives!$L$41*Initiatives!$L$44+Initiatives!$L$42*Initiatives!$L$20)*(1-Inputs!$C$9)^(V$3-Initiatives!$L$33),0)-V139*Initiatives!$L$9,V$5*Initiatives!$L$22*V134+V137*Inputs!$C$8))</f>
        <v>425251183.778125</v>
      </c>
      <c r="W140" s="8" t="n">
        <f aca="false">IF(Initiatives!$L$6="adoption",W138*Initiatives!$L$14+W137*Initiatives!$L$9-W139*Initiatives!$L$9,IF(Initiatives!$L$6="reprice",IF(W$3&gt;=Initiatives!$L$33,(Initiatives!$L$41*Initiatives!$L$44+Initiatives!$L$42*Initiatives!$L$20)*(1-Inputs!$C$9)^(W$3-Initiatives!$L$33),0)-W139*Initiatives!$L$9,W$5*Initiatives!$L$22*W134+W137*Inputs!$C$8))</f>
        <v>422999354.488514</v>
      </c>
      <c r="X140" s="8" t="n">
        <f aca="false">IF(Initiatives!$L$6="adoption",X138*Initiatives!$L$14+X137*Initiatives!$L$9-X139*Initiatives!$L$9,IF(Initiatives!$L$6="reprice",IF(X$3&gt;=Initiatives!$L$33,(Initiatives!$L$41*Initiatives!$L$44+Initiatives!$L$42*Initiatives!$L$20)*(1-Inputs!$C$9)^(X$3-Initiatives!$L$33),0)-X139*Initiatives!$L$9,X$5*Initiatives!$L$22*X134+X137*Inputs!$C$8))</f>
        <v>420737969.784343</v>
      </c>
      <c r="Y140" s="8" t="n">
        <f aca="false">IF(Initiatives!$L$6="adoption",Y138*Initiatives!$L$14+Y137*Initiatives!$L$9-Y139*Initiatives!$L$9,IF(Initiatives!$L$6="reprice",IF(Y$3&gt;=Initiatives!$L$33,(Initiatives!$L$41*Initiatives!$L$44+Initiatives!$L$42*Initiatives!$L$20)*(1-Inputs!$C$9)^(Y$3-Initiatives!$L$33),0)-Y139*Initiatives!$L$9,Y$5*Initiatives!$L$22*Y134+Y137*Inputs!$C$8))</f>
        <v>418467627.991797</v>
      </c>
      <c r="Z140" s="8" t="n">
        <f aca="false">IF(Initiatives!$L$6="adoption",Z138*Initiatives!$L$14+Z137*Initiatives!$L$9-Z139*Initiatives!$L$9,IF(Initiatives!$L$6="reprice",IF(Z$3&gt;=Initiatives!$L$33,(Initiatives!$L$41*Initiatives!$L$44+Initiatives!$L$42*Initiatives!$L$20)*(1-Inputs!$C$9)^(Z$3-Initiatives!$L$33),0)-Z139*Initiatives!$L$9,Z$5*Initiatives!$L$22*Z134+Z137*Inputs!$C$8))</f>
        <v>416188913.684719</v>
      </c>
    </row>
    <row r="141" customFormat="false" ht="15" hidden="false" customHeight="false" outlineLevel="0" collapsed="false">
      <c r="A141" s="4" t="s">
        <v>227</v>
      </c>
      <c r="B141" s="4" t="s">
        <v>228</v>
      </c>
      <c r="C141" s="8" t="n">
        <f aca="false">C138*Initiatives!$L$24*Initiatives!$L$25</f>
        <v>0</v>
      </c>
      <c r="D141" s="8" t="n">
        <f aca="false">D138*Initiatives!$L$24*Initiatives!$L$25</f>
        <v>0</v>
      </c>
      <c r="E141" s="8" t="n">
        <f aca="false">E138*Initiatives!$L$24*Initiatives!$L$25</f>
        <v>0</v>
      </c>
      <c r="F141" s="8" t="n">
        <f aca="false">F138*Initiatives!$L$24*Initiatives!$L$25</f>
        <v>0</v>
      </c>
      <c r="G141" s="8" t="n">
        <f aca="false">G138*Initiatives!$L$24*Initiatives!$L$25</f>
        <v>0</v>
      </c>
      <c r="H141" s="8" t="n">
        <f aca="false">H138*Initiatives!$L$24*Initiatives!$L$25</f>
        <v>0</v>
      </c>
      <c r="I141" s="8" t="n">
        <f aca="false">I138*Initiatives!$L$24*Initiatives!$L$25</f>
        <v>0</v>
      </c>
      <c r="J141" s="8" t="n">
        <f aca="false">J138*Initiatives!$L$24*Initiatives!$L$25</f>
        <v>0</v>
      </c>
      <c r="K141" s="8" t="n">
        <f aca="false">K138*Initiatives!$L$24*Initiatives!$L$25</f>
        <v>24330240</v>
      </c>
      <c r="L141" s="8" t="n">
        <f aca="false">L138*Initiatives!$L$24*Initiatives!$L$25</f>
        <v>48405012.48</v>
      </c>
      <c r="M141" s="8" t="n">
        <f aca="false">M138*Initiatives!$L$24*Initiatives!$L$25</f>
        <v>72226999.84896</v>
      </c>
      <c r="N141" s="8" t="n">
        <f aca="false">N138*Initiatives!$L$24*Initiatives!$L$25</f>
        <v>95798856.3505459</v>
      </c>
      <c r="O141" s="8" t="n">
        <f aca="false">O138*Initiatives!$L$24*Initiatives!$L$25</f>
        <v>94792968.3588652</v>
      </c>
      <c r="P141" s="8" t="n">
        <f aca="false">P138*Initiatives!$L$24*Initiatives!$L$25</f>
        <v>93797642.1910971</v>
      </c>
      <c r="Q141" s="8" t="n">
        <f aca="false">Q138*Initiatives!$L$24*Initiatives!$L$25</f>
        <v>92812766.9480906</v>
      </c>
      <c r="R141" s="8" t="n">
        <f aca="false">R138*Initiatives!$L$24*Initiatives!$L$25</f>
        <v>91838232.8951357</v>
      </c>
      <c r="S141" s="8" t="n">
        <f aca="false">S138*Initiatives!$L$24*Initiatives!$L$25</f>
        <v>90873931.4497368</v>
      </c>
      <c r="T141" s="8" t="n">
        <f aca="false">T138*Initiatives!$L$24*Initiatives!$L$25</f>
        <v>89919755.1695145</v>
      </c>
      <c r="U141" s="8" t="n">
        <f aca="false">U138*Initiatives!$L$24*Initiatives!$L$25</f>
        <v>88975597.7402346</v>
      </c>
      <c r="V141" s="8" t="n">
        <f aca="false">V138*Initiatives!$L$24*Initiatives!$L$25</f>
        <v>88041353.9639622</v>
      </c>
      <c r="W141" s="8" t="n">
        <f aca="false">W138*Initiatives!$L$24*Initiatives!$L$25</f>
        <v>87116919.7473406</v>
      </c>
      <c r="X141" s="8" t="n">
        <f aca="false">X138*Initiatives!$L$24*Initiatives!$L$25</f>
        <v>86202192.0899935</v>
      </c>
      <c r="Y141" s="8" t="n">
        <f aca="false">Y138*Initiatives!$L$24*Initiatives!$L$25</f>
        <v>85297069.0730486</v>
      </c>
      <c r="Z141" s="8" t="n">
        <f aca="false">Z138*Initiatives!$L$24*Initiatives!$L$25</f>
        <v>84401449.8477816</v>
      </c>
    </row>
    <row r="142" customFormat="false" ht="15" hidden="false" customHeight="false" outlineLevel="0" collapsed="false">
      <c r="A142" s="4" t="s">
        <v>229</v>
      </c>
      <c r="B142" s="4" t="s">
        <v>230</v>
      </c>
      <c r="C142" s="8" t="n">
        <f aca="false">IF(C$3&lt;=Initiatives!$L$46,Initiatives!$L$29/Initiatives!$L$46,0)+IF(C$3&gt;=Initiatives!$L$33,Initiatives!$L$30,0)+IF(C$3=Initiatives!$L$33,Initiatives!$L$39*Initiatives!$L$26,0)+C136*Initiatives!$L$27+C138*Initiatives!$L$28+IF(AND(Initiatives!$L$6="reprice",C$3&gt;=Initiatives!$L$33),Initiatives!$L$41*Initiatives!$L$21*(1-Inputs!$C$9)^(C$3-Initiatives!$L$33)-Initiatives!$L$31,0)</f>
        <v>625000000</v>
      </c>
      <c r="D142" s="8" t="n">
        <f aca="false">IF(D$3&lt;=Initiatives!$L$46,Initiatives!$L$29/Initiatives!$L$46,0)+IF(D$3&gt;=Initiatives!$L$33,Initiatives!$L$30,0)+IF(D$3=Initiatives!$L$33,Initiatives!$L$39*Initiatives!$L$26,0)+D136*Initiatives!$L$27+D138*Initiatives!$L$28+IF(AND(Initiatives!$L$6="reprice",D$3&gt;=Initiatives!$L$33),Initiatives!$L$41*Initiatives!$L$21*(1-Inputs!$C$9)^(D$3-Initiatives!$L$33)-Initiatives!$L$31,0)</f>
        <v>625000000</v>
      </c>
      <c r="E142" s="8" t="n">
        <f aca="false">IF(E$3&lt;=Initiatives!$L$46,Initiatives!$L$29/Initiatives!$L$46,0)+IF(E$3&gt;=Initiatives!$L$33,Initiatives!$L$30,0)+IF(E$3=Initiatives!$L$33,Initiatives!$L$39*Initiatives!$L$26,0)+E136*Initiatives!$L$27+E138*Initiatives!$L$28+IF(AND(Initiatives!$L$6="reprice",E$3&gt;=Initiatives!$L$33),Initiatives!$L$41*Initiatives!$L$21*(1-Inputs!$C$9)^(E$3-Initiatives!$L$33)-Initiatives!$L$31,0)</f>
        <v>625000000</v>
      </c>
      <c r="F142" s="8" t="n">
        <f aca="false">IF(F$3&lt;=Initiatives!$L$46,Initiatives!$L$29/Initiatives!$L$46,0)+IF(F$3&gt;=Initiatives!$L$33,Initiatives!$L$30,0)+IF(F$3=Initiatives!$L$33,Initiatives!$L$39*Initiatives!$L$26,0)+F136*Initiatives!$L$27+F138*Initiatives!$L$28+IF(AND(Initiatives!$L$6="reprice",F$3&gt;=Initiatives!$L$33),Initiatives!$L$41*Initiatives!$L$21*(1-Inputs!$C$9)^(F$3-Initiatives!$L$33)-Initiatives!$L$31,0)</f>
        <v>625000000</v>
      </c>
      <c r="G142" s="8" t="n">
        <f aca="false">IF(G$3&lt;=Initiatives!$L$46,Initiatives!$L$29/Initiatives!$L$46,0)+IF(G$3&gt;=Initiatives!$L$33,Initiatives!$L$30,0)+IF(G$3=Initiatives!$L$33,Initiatives!$L$39*Initiatives!$L$26,0)+G136*Initiatives!$L$27+G138*Initiatives!$L$28+IF(AND(Initiatives!$L$6="reprice",G$3&gt;=Initiatives!$L$33),Initiatives!$L$41*Initiatives!$L$21*(1-Inputs!$C$9)^(G$3-Initiatives!$L$33)-Initiatives!$L$31,0)</f>
        <v>625000000</v>
      </c>
      <c r="H142" s="8" t="n">
        <f aca="false">IF(H$3&lt;=Initiatives!$L$46,Initiatives!$L$29/Initiatives!$L$46,0)+IF(H$3&gt;=Initiatives!$L$33,Initiatives!$L$30,0)+IF(H$3=Initiatives!$L$33,Initiatives!$L$39*Initiatives!$L$26,0)+H136*Initiatives!$L$27+H138*Initiatives!$L$28+IF(AND(Initiatives!$L$6="reprice",H$3&gt;=Initiatives!$L$33),Initiatives!$L$41*Initiatives!$L$21*(1-Inputs!$C$9)^(H$3-Initiatives!$L$33)-Initiatives!$L$31,0)</f>
        <v>625000000</v>
      </c>
      <c r="I142" s="8" t="n">
        <f aca="false">IF(I$3&lt;=Initiatives!$L$46,Initiatives!$L$29/Initiatives!$L$46,0)+IF(I$3&gt;=Initiatives!$L$33,Initiatives!$L$30,0)+IF(I$3=Initiatives!$L$33,Initiatives!$L$39*Initiatives!$L$26,0)+I136*Initiatives!$L$27+I138*Initiatives!$L$28+IF(AND(Initiatives!$L$6="reprice",I$3&gt;=Initiatives!$L$33),Initiatives!$L$41*Initiatives!$L$21*(1-Inputs!$C$9)^(I$3-Initiatives!$L$33)-Initiatives!$L$31,0)</f>
        <v>625000000</v>
      </c>
      <c r="J142" s="8" t="n">
        <f aca="false">IF(J$3&lt;=Initiatives!$L$46,Initiatives!$L$29/Initiatives!$L$46,0)+IF(J$3&gt;=Initiatives!$L$33,Initiatives!$L$30,0)+IF(J$3=Initiatives!$L$33,Initiatives!$L$39*Initiatives!$L$26,0)+J136*Initiatives!$L$27+J138*Initiatives!$L$28+IF(AND(Initiatives!$L$6="reprice",J$3&gt;=Initiatives!$L$33),Initiatives!$L$41*Initiatives!$L$21*(1-Inputs!$C$9)^(J$3-Initiatives!$L$33)-Initiatives!$L$31,0)</f>
        <v>625000000</v>
      </c>
      <c r="K142" s="8" t="n">
        <f aca="false">IF(K$3&lt;=Initiatives!$L$46,Initiatives!$L$29/Initiatives!$L$46,0)+IF(K$3&gt;=Initiatives!$L$33,Initiatives!$L$30,0)+IF(K$3=Initiatives!$L$33,Initiatives!$L$39*Initiatives!$L$26,0)+K136*Initiatives!$L$27+K138*Initiatives!$L$28+IF(AND(Initiatives!$L$6="reprice",K$3&gt;=Initiatives!$L$33),Initiatives!$L$41*Initiatives!$L$21*(1-Inputs!$C$9)^(K$3-Initiatives!$L$33)-Initiatives!$L$31,0)</f>
        <v>192771200</v>
      </c>
      <c r="L142" s="8" t="n">
        <f aca="false">IF(L$3&lt;=Initiatives!$L$46,Initiatives!$L$29/Initiatives!$L$46,0)+IF(L$3&gt;=Initiatives!$L$33,Initiatives!$L$30,0)+IF(L$3=Initiatives!$L$33,Initiatives!$L$39*Initiatives!$L$26,0)+L136*Initiatives!$L$27+L138*Initiatives!$L$28+IF(AND(Initiatives!$L$6="reprice",L$3&gt;=Initiatives!$L$33),Initiatives!$L$41*Initiatives!$L$21*(1-Inputs!$C$9)^(L$3-Initiatives!$L$33)-Initiatives!$L$31,0)</f>
        <v>115814566.4</v>
      </c>
      <c r="M142" s="8" t="n">
        <f aca="false">IF(M$3&lt;=Initiatives!$L$46,Initiatives!$L$29/Initiatives!$L$46,0)+IF(M$3&gt;=Initiatives!$L$33,Initiatives!$L$30,0)+IF(M$3=Initiatives!$L$33,Initiatives!$L$39*Initiatives!$L$26,0)+M136*Initiatives!$L$27+M138*Initiatives!$L$28+IF(AND(Initiatives!$L$6="reprice",M$3&gt;=Initiatives!$L$33),Initiatives!$L$41*Initiatives!$L$21*(1-Inputs!$C$9)^(M$3-Initiatives!$L$33)-Initiatives!$L$31,0)</f>
        <v>123258937.4528</v>
      </c>
      <c r="N142" s="8" t="n">
        <f aca="false">IF(N$3&lt;=Initiatives!$L$46,Initiatives!$L$29/Initiatives!$L$46,0)+IF(N$3&gt;=Initiatives!$L$33,Initiatives!$L$30,0)+IF(N$3=Initiatives!$L$33,Initiatives!$L$39*Initiatives!$L$26,0)+N136*Initiatives!$L$27+N138*Initiatives!$L$28+IF(AND(Initiatives!$L$6="reprice",N$3&gt;=Initiatives!$L$33),Initiatives!$L$41*Initiatives!$L$21*(1-Inputs!$C$9)^(N$3-Initiatives!$L$33)-Initiatives!$L$31,0)</f>
        <v>130625142.609546</v>
      </c>
      <c r="O142" s="8" t="n">
        <f aca="false">IF(O$3&lt;=Initiatives!$L$46,Initiatives!$L$29/Initiatives!$L$46,0)+IF(O$3&gt;=Initiatives!$L$33,Initiatives!$L$30,0)+IF(O$3=Initiatives!$L$33,Initiatives!$L$39*Initiatives!$L$26,0)+O136*Initiatives!$L$27+O138*Initiatives!$L$28+IF(AND(Initiatives!$L$6="reprice",O$3&gt;=Initiatives!$L$33),Initiatives!$L$41*Initiatives!$L$21*(1-Inputs!$C$9)^(O$3-Initiatives!$L$33)-Initiatives!$L$31,0)</f>
        <v>79622802.6121454</v>
      </c>
      <c r="P142" s="8" t="n">
        <f aca="false">IF(P$3&lt;=Initiatives!$L$46,Initiatives!$L$29/Initiatives!$L$46,0)+IF(P$3&gt;=Initiatives!$L$33,Initiatives!$L$30,0)+IF(P$3=Initiatives!$L$33,Initiatives!$L$39*Initiatives!$L$26,0)+P136*Initiatives!$L$27+P138*Initiatives!$L$28+IF(AND(Initiatives!$L$6="reprice",P$3&gt;=Initiatives!$L$33),Initiatives!$L$41*Initiatives!$L$21*(1-Inputs!$C$9)^(P$3-Initiatives!$L$33)-Initiatives!$L$31,0)</f>
        <v>79311763.1847179</v>
      </c>
      <c r="Q142" s="8" t="n">
        <f aca="false">IF(Q$3&lt;=Initiatives!$L$46,Initiatives!$L$29/Initiatives!$L$46,0)+IF(Q$3&gt;=Initiatives!$L$33,Initiatives!$L$30,0)+IF(Q$3=Initiatives!$L$33,Initiatives!$L$39*Initiatives!$L$26,0)+Q136*Initiatives!$L$27+Q138*Initiatives!$L$28+IF(AND(Initiatives!$L$6="reprice",Q$3&gt;=Initiatives!$L$33),Initiatives!$L$41*Initiatives!$L$21*(1-Inputs!$C$9)^(Q$3-Initiatives!$L$33)-Initiatives!$L$31,0)</f>
        <v>79003989.6712783</v>
      </c>
      <c r="R142" s="8" t="n">
        <f aca="false">IF(R$3&lt;=Initiatives!$L$46,Initiatives!$L$29/Initiatives!$L$46,0)+IF(R$3&gt;=Initiatives!$L$33,Initiatives!$L$30,0)+IF(R$3=Initiatives!$L$33,Initiatives!$L$39*Initiatives!$L$26,0)+R136*Initiatives!$L$27+R138*Initiatives!$L$28+IF(AND(Initiatives!$L$6="reprice",R$3&gt;=Initiatives!$L$33),Initiatives!$L$41*Initiatives!$L$21*(1-Inputs!$C$9)^(R$3-Initiatives!$L$33)-Initiatives!$L$31,0)</f>
        <v>78699447.7797299</v>
      </c>
      <c r="S142" s="8" t="n">
        <f aca="false">IF(S$3&lt;=Initiatives!$L$46,Initiatives!$L$29/Initiatives!$L$46,0)+IF(S$3&gt;=Initiatives!$L$33,Initiatives!$L$30,0)+IF(S$3=Initiatives!$L$33,Initiatives!$L$39*Initiatives!$L$26,0)+S136*Initiatives!$L$27+S138*Initiatives!$L$28+IF(AND(Initiatives!$L$6="reprice",S$3&gt;=Initiatives!$L$33),Initiatives!$L$41*Initiatives!$L$21*(1-Inputs!$C$9)^(S$3-Initiatives!$L$33)-Initiatives!$L$31,0)</f>
        <v>78398103.5780428</v>
      </c>
      <c r="T142" s="8" t="n">
        <f aca="false">IF(T$3&lt;=Initiatives!$L$46,Initiatives!$L$29/Initiatives!$L$46,0)+IF(T$3&gt;=Initiatives!$L$33,Initiatives!$L$30,0)+IF(T$3=Initiatives!$L$33,Initiatives!$L$39*Initiatives!$L$26,0)+T136*Initiatives!$L$27+T138*Initiatives!$L$28+IF(AND(Initiatives!$L$6="reprice",T$3&gt;=Initiatives!$L$33),Initiatives!$L$41*Initiatives!$L$21*(1-Inputs!$C$9)^(T$3-Initiatives!$L$33)-Initiatives!$L$31,0)</f>
        <v>78099923.4904733</v>
      </c>
      <c r="U142" s="8" t="n">
        <f aca="false">IF(U$3&lt;=Initiatives!$L$46,Initiatives!$L$29/Initiatives!$L$46,0)+IF(U$3&gt;=Initiatives!$L$33,Initiatives!$L$30,0)+IF(U$3=Initiatives!$L$33,Initiatives!$L$39*Initiatives!$L$26,0)+U136*Initiatives!$L$27+U138*Initiatives!$L$28+IF(AND(Initiatives!$L$6="reprice",U$3&gt;=Initiatives!$L$33),Initiatives!$L$41*Initiatives!$L$21*(1-Inputs!$C$9)^(U$3-Initiatives!$L$33)-Initiatives!$L$31,0)</f>
        <v>77804874.2938233</v>
      </c>
      <c r="V142" s="8" t="n">
        <f aca="false">IF(V$3&lt;=Initiatives!$L$46,Initiatives!$L$29/Initiatives!$L$46,0)+IF(V$3&gt;=Initiatives!$L$33,Initiatives!$L$30,0)+IF(V$3=Initiatives!$L$33,Initiatives!$L$39*Initiatives!$L$26,0)+V136*Initiatives!$L$27+V138*Initiatives!$L$28+IF(AND(Initiatives!$L$6="reprice",V$3&gt;=Initiatives!$L$33),Initiatives!$L$41*Initiatives!$L$21*(1-Inputs!$C$9)^(V$3-Initiatives!$L$33)-Initiatives!$L$31,0)</f>
        <v>77512923.1137382</v>
      </c>
      <c r="W142" s="8" t="n">
        <f aca="false">IF(W$3&lt;=Initiatives!$L$46,Initiatives!$L$29/Initiatives!$L$46,0)+IF(W$3&gt;=Initiatives!$L$33,Initiatives!$L$30,0)+IF(W$3=Initiatives!$L$33,Initiatives!$L$39*Initiatives!$L$26,0)+W136*Initiatives!$L$27+W138*Initiatives!$L$28+IF(AND(Initiatives!$L$6="reprice",W$3&gt;=Initiatives!$L$33),Initiatives!$L$41*Initiatives!$L$21*(1-Inputs!$C$9)^(W$3-Initiatives!$L$33)-Initiatives!$L$31,0)</f>
        <v>77224037.4210439</v>
      </c>
      <c r="X142" s="8" t="n">
        <f aca="false">IF(X$3&lt;=Initiatives!$L$46,Initiatives!$L$29/Initiatives!$L$46,0)+IF(X$3&gt;=Initiatives!$L$33,Initiatives!$L$30,0)+IF(X$3=Initiatives!$L$33,Initiatives!$L$39*Initiatives!$L$26,0)+X136*Initiatives!$L$27+X138*Initiatives!$L$28+IF(AND(Initiatives!$L$6="reprice",X$3&gt;=Initiatives!$L$33),Initiatives!$L$41*Initiatives!$L$21*(1-Inputs!$C$9)^(X$3-Initiatives!$L$33)-Initiatives!$L$31,0)</f>
        <v>76938185.028123</v>
      </c>
      <c r="Y142" s="8" t="n">
        <f aca="false">IF(Y$3&lt;=Initiatives!$L$46,Initiatives!$L$29/Initiatives!$L$46,0)+IF(Y$3&gt;=Initiatives!$L$33,Initiatives!$L$30,0)+IF(Y$3=Initiatives!$L$33,Initiatives!$L$39*Initiatives!$L$26,0)+Y136*Initiatives!$L$27+Y138*Initiatives!$L$28+IF(AND(Initiatives!$L$6="reprice",Y$3&gt;=Initiatives!$L$33),Initiatives!$L$41*Initiatives!$L$21*(1-Inputs!$C$9)^(Y$3-Initiatives!$L$33)-Initiatives!$L$31,0)</f>
        <v>76655334.0853277</v>
      </c>
      <c r="Z142" s="8" t="n">
        <f aca="false">IF(Z$3&lt;=Initiatives!$L$46,Initiatives!$L$29/Initiatives!$L$46,0)+IF(Z$3&gt;=Initiatives!$L$33,Initiatives!$L$30,0)+IF(Z$3=Initiatives!$L$33,Initiatives!$L$39*Initiatives!$L$26,0)+Z136*Initiatives!$L$27+Z138*Initiatives!$L$28+IF(AND(Initiatives!$L$6="reprice",Z$3&gt;=Initiatives!$L$33),Initiatives!$L$41*Initiatives!$L$21*(1-Inputs!$C$9)^(Z$3-Initiatives!$L$33)-Initiatives!$L$31,0)</f>
        <v>76375453.0774317</v>
      </c>
    </row>
    <row r="143" customFormat="false" ht="15" hidden="false" customHeight="false" outlineLevel="0" collapsed="false">
      <c r="A143" s="4" t="s">
        <v>231</v>
      </c>
      <c r="B143" s="4" t="s">
        <v>232</v>
      </c>
      <c r="C143" s="8" t="n">
        <f aca="false">(C140+C141)*Initiatives!$L$32-C142</f>
        <v>-625000000</v>
      </c>
      <c r="D143" s="8" t="n">
        <f aca="false">(D140+D141)*Initiatives!$L$32-D142</f>
        <v>-625000000</v>
      </c>
      <c r="E143" s="8" t="n">
        <f aca="false">(E140+E141)*Initiatives!$L$32-E142</f>
        <v>-625000000</v>
      </c>
      <c r="F143" s="8" t="n">
        <f aca="false">(F140+F141)*Initiatives!$L$32-F142</f>
        <v>-625000000</v>
      </c>
      <c r="G143" s="8" t="n">
        <f aca="false">(G140+G141)*Initiatives!$L$32-G142</f>
        <v>-625000000</v>
      </c>
      <c r="H143" s="8" t="n">
        <f aca="false">(H140+H141)*Initiatives!$L$32-H142</f>
        <v>-625000000</v>
      </c>
      <c r="I143" s="8" t="n">
        <f aca="false">(I140+I141)*Initiatives!$L$32-I142</f>
        <v>-625000000</v>
      </c>
      <c r="J143" s="8" t="n">
        <f aca="false">(J140+J141)*Initiatives!$L$32-J142</f>
        <v>-625000000</v>
      </c>
      <c r="K143" s="8" t="n">
        <f aca="false">(K140+K141)*Initiatives!$L$32-K142</f>
        <v>-77303936</v>
      </c>
      <c r="L143" s="8" t="n">
        <f aca="false">(L140+L141)*Initiatives!$L$32-L142</f>
        <v>114450423.808</v>
      </c>
      <c r="M143" s="8" t="n">
        <f aca="false">(M140+M141)*Initiatives!$L$32-M142</f>
        <v>221133128.290816</v>
      </c>
      <c r="N143" s="8" t="n">
        <f aca="false">(N140+N141)*Initiatives!$L$32-N142</f>
        <v>327222368.947571</v>
      </c>
      <c r="O143" s="8" t="n">
        <f aca="false">(O140+O141)*Initiatives!$L$32-O142</f>
        <v>375540412.579872</v>
      </c>
      <c r="P143" s="8" t="n">
        <f aca="false">(P140+P141)*Initiatives!$L$32-P142</f>
        <v>373163494.21644</v>
      </c>
      <c r="Q143" s="8" t="n">
        <f aca="false">(Q140+Q141)*Initiatives!$L$32-Q142</f>
        <v>370780164.656295</v>
      </c>
      <c r="R143" s="8" t="n">
        <f aca="false">(R140+R141)*Initiatives!$L$32-R142</f>
        <v>368390961.749594</v>
      </c>
      <c r="S143" s="8" t="n">
        <f aca="false">(S140+S141)*Initiatives!$L$32-S142</f>
        <v>365996410.641081</v>
      </c>
      <c r="T143" s="8" t="n">
        <f aca="false">(T140+T141)*Initiatives!$L$32-T142</f>
        <v>363597024.009359</v>
      </c>
      <c r="U143" s="8" t="n">
        <f aca="false">(U140+U141)*Initiatives!$L$32-U142</f>
        <v>361193302.302071</v>
      </c>
      <c r="V143" s="8" t="n">
        <f aca="false">(V140+V141)*Initiatives!$L$32-V142</f>
        <v>358785733.967036</v>
      </c>
      <c r="W143" s="8" t="n">
        <f aca="false">(W140+W141)*Initiatives!$L$32-W142</f>
        <v>356374795.679433</v>
      </c>
      <c r="X143" s="8" t="n">
        <f aca="false">(X140+X141)*Initiatives!$L$32-X142</f>
        <v>353960952.565063</v>
      </c>
      <c r="Y143" s="8" t="n">
        <f aca="false">(Y140+Y141)*Initiatives!$L$32-Y142</f>
        <v>351544658.419791</v>
      </c>
      <c r="Z143" s="8" t="n">
        <f aca="false">(Z140+Z141)*Initiatives!$L$32-Z142</f>
        <v>349126355.925194</v>
      </c>
    </row>
    <row r="144" customFormat="false" ht="15" hidden="false" customHeight="false" outlineLevel="0" collapsed="false">
      <c r="A144" s="4" t="s">
        <v>233</v>
      </c>
      <c r="B144" s="4" t="s">
        <v>234</v>
      </c>
      <c r="C144" s="8" t="n">
        <f aca="false">C137-C139</f>
        <v>0</v>
      </c>
      <c r="D144" s="8" t="n">
        <f aca="false">D137-D139</f>
        <v>0</v>
      </c>
      <c r="E144" s="8" t="n">
        <f aca="false">E137-E139</f>
        <v>0</v>
      </c>
      <c r="F144" s="8" t="n">
        <f aca="false">F137-F139</f>
        <v>0</v>
      </c>
      <c r="G144" s="8" t="n">
        <f aca="false">G137-G139</f>
        <v>0</v>
      </c>
      <c r="H144" s="8" t="n">
        <f aca="false">H137-H139</f>
        <v>0</v>
      </c>
      <c r="I144" s="8" t="n">
        <f aca="false">I137-I139</f>
        <v>0</v>
      </c>
      <c r="J144" s="8" t="n">
        <f aca="false">J137-J139</f>
        <v>0</v>
      </c>
      <c r="K144" s="8" t="n">
        <f aca="false">K137-K139</f>
        <v>0</v>
      </c>
      <c r="L144" s="8" t="n">
        <f aca="false">L137-L139</f>
        <v>22.8096</v>
      </c>
      <c r="M144" s="8" t="n">
        <f aca="false">M137-M139</f>
        <v>67.8471552</v>
      </c>
      <c r="N144" s="8" t="n">
        <f aca="false">N137-N139</f>
        <v>134.5422602304</v>
      </c>
      <c r="O144" s="8" t="n">
        <f aca="false">O137-O139</f>
        <v>222.335554155581</v>
      </c>
      <c r="P144" s="8" t="n">
        <f aca="false">P137-P139</f>
        <v>307.868928679683</v>
      </c>
      <c r="Q144" s="8" t="n">
        <f aca="false">Q137-Q139</f>
        <v>391.186184303642</v>
      </c>
      <c r="R144" s="8" t="n">
        <f aca="false">R137-R139</f>
        <v>472.330360552922</v>
      </c>
      <c r="S144" s="8" t="n">
        <f aca="false">S137-S139</f>
        <v>551.343748483818</v>
      </c>
      <c r="T144" s="8" t="n">
        <f aca="false">T137-T139</f>
        <v>628.267902990689</v>
      </c>
      <c r="U144" s="8" t="n">
        <f aca="false">U137-U139</f>
        <v>703.143654917248</v>
      </c>
      <c r="V144" s="8" t="n">
        <f aca="false">V137-V139</f>
        <v>776.011122974959</v>
      </c>
      <c r="W144" s="8" t="n">
        <f aca="false">W137-W139</f>
        <v>846.90972547155</v>
      </c>
      <c r="X144" s="8" t="n">
        <f aca="false">X137-X139</f>
        <v>915.878191852608</v>
      </c>
      <c r="Y144" s="8" t="n">
        <f aca="false">Y137-Y139</f>
        <v>982.954574059188</v>
      </c>
      <c r="Z144" s="8" t="n">
        <f aca="false">Z137-Z139</f>
        <v>1048.17625770428</v>
      </c>
    </row>
    <row r="145" customFormat="false" ht="15" hidden="false" customHeight="false" outlineLevel="0" collapsed="false">
      <c r="A145" s="4" t="s">
        <v>235</v>
      </c>
      <c r="B145" s="4" t="s">
        <v>236</v>
      </c>
      <c r="C145" s="8" t="n">
        <f aca="false">C138*Initiatives!$L$24</f>
        <v>0</v>
      </c>
      <c r="D145" s="8" t="n">
        <f aca="false">D138*Initiatives!$L$24</f>
        <v>0</v>
      </c>
      <c r="E145" s="8" t="n">
        <f aca="false">E138*Initiatives!$L$24</f>
        <v>0</v>
      </c>
      <c r="F145" s="8" t="n">
        <f aca="false">F138*Initiatives!$L$24</f>
        <v>0</v>
      </c>
      <c r="G145" s="8" t="n">
        <f aca="false">G138*Initiatives!$L$24</f>
        <v>0</v>
      </c>
      <c r="H145" s="8" t="n">
        <f aca="false">H138*Initiatives!$L$24</f>
        <v>0</v>
      </c>
      <c r="I145" s="8" t="n">
        <f aca="false">I138*Initiatives!$L$24</f>
        <v>0</v>
      </c>
      <c r="J145" s="8" t="n">
        <f aca="false">J138*Initiatives!$L$24</f>
        <v>0</v>
      </c>
      <c r="K145" s="8" t="n">
        <f aca="false">K138*Initiatives!$L$24</f>
        <v>2027.52</v>
      </c>
      <c r="L145" s="8" t="n">
        <f aca="false">L138*Initiatives!$L$24</f>
        <v>4033.75104</v>
      </c>
      <c r="M145" s="8" t="n">
        <f aca="false">M138*Initiatives!$L$24</f>
        <v>6018.91665408</v>
      </c>
      <c r="N145" s="8" t="n">
        <f aca="false">N138*Initiatives!$L$24</f>
        <v>7983.23802921216</v>
      </c>
      <c r="O145" s="8" t="n">
        <f aca="false">O138*Initiatives!$L$24</f>
        <v>7899.41402990543</v>
      </c>
      <c r="P145" s="8" t="n">
        <f aca="false">P138*Initiatives!$L$24</f>
        <v>7816.47018259143</v>
      </c>
      <c r="Q145" s="8" t="n">
        <f aca="false">Q138*Initiatives!$L$24</f>
        <v>7734.39724567422</v>
      </c>
      <c r="R145" s="8" t="n">
        <f aca="false">R138*Initiatives!$L$24</f>
        <v>7653.18607459464</v>
      </c>
      <c r="S145" s="8" t="n">
        <f aca="false">S138*Initiatives!$L$24</f>
        <v>7572.8276208114</v>
      </c>
      <c r="T145" s="8" t="n">
        <f aca="false">T138*Initiatives!$L$24</f>
        <v>7493.31293079288</v>
      </c>
      <c r="U145" s="8" t="n">
        <f aca="false">U138*Initiatives!$L$24</f>
        <v>7414.63314501955</v>
      </c>
      <c r="V145" s="8" t="n">
        <f aca="false">V138*Initiatives!$L$24</f>
        <v>7336.77949699685</v>
      </c>
      <c r="W145" s="8" t="n">
        <f aca="false">W138*Initiatives!$L$24</f>
        <v>7259.74331227838</v>
      </c>
      <c r="X145" s="8" t="n">
        <f aca="false">X138*Initiatives!$L$24</f>
        <v>7183.51600749946</v>
      </c>
      <c r="Y145" s="8" t="n">
        <f aca="false">Y138*Initiatives!$L$24</f>
        <v>7108.08908942071</v>
      </c>
      <c r="Z145" s="8" t="n">
        <f aca="false">Z138*Initiatives!$L$24</f>
        <v>7033.4541539818</v>
      </c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" hidden="false" customHeight="false" outlineLevel="0" collapsed="false">
      <c r="A147" s="17" t="s">
        <v>246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customFormat="false" ht="15" hidden="false" customHeight="false" outlineLevel="0" collapsed="false">
      <c r="A148" s="4" t="s">
        <v>213</v>
      </c>
      <c r="B148" s="4" t="s">
        <v>214</v>
      </c>
      <c r="C148" s="24" t="n">
        <f aca="false">IF(C$3&lt;Initiatives!$M$33,0,MIN((C$3-Initiatives!$M$33+1)/Initiatives!$M$34,1))</f>
        <v>0</v>
      </c>
      <c r="D148" s="24" t="n">
        <f aca="false">IF(D$3&lt;Initiatives!$M$33,0,MIN((D$3-Initiatives!$M$33+1)/Initiatives!$M$34,1))</f>
        <v>0</v>
      </c>
      <c r="E148" s="24" t="n">
        <f aca="false">IF(E$3&lt;Initiatives!$M$33,0,MIN((E$3-Initiatives!$M$33+1)/Initiatives!$M$34,1))</f>
        <v>0</v>
      </c>
      <c r="F148" s="24" t="n">
        <f aca="false">IF(F$3&lt;Initiatives!$M$33,0,MIN((F$3-Initiatives!$M$33+1)/Initiatives!$M$34,1))</f>
        <v>0</v>
      </c>
      <c r="G148" s="24" t="n">
        <f aca="false">IF(G$3&lt;Initiatives!$M$33,0,MIN((G$3-Initiatives!$M$33+1)/Initiatives!$M$34,1))</f>
        <v>0</v>
      </c>
      <c r="H148" s="24" t="n">
        <f aca="false">IF(H$3&lt;Initiatives!$M$33,0,MIN((H$3-Initiatives!$M$33+1)/Initiatives!$M$34,1))</f>
        <v>0</v>
      </c>
      <c r="I148" s="24" t="n">
        <f aca="false">IF(I$3&lt;Initiatives!$M$33,0,MIN((I$3-Initiatives!$M$33+1)/Initiatives!$M$34,1))</f>
        <v>0</v>
      </c>
      <c r="J148" s="24" t="n">
        <f aca="false">IF(J$3&lt;Initiatives!$M$33,0,MIN((J$3-Initiatives!$M$33+1)/Initiatives!$M$34,1))</f>
        <v>0</v>
      </c>
      <c r="K148" s="24" t="n">
        <f aca="false">IF(K$3&lt;Initiatives!$M$33,0,MIN((K$3-Initiatives!$M$33+1)/Initiatives!$M$34,1))</f>
        <v>0</v>
      </c>
      <c r="L148" s="24" t="n">
        <f aca="false">IF(L$3&lt;Initiatives!$M$33,0,MIN((L$3-Initiatives!$M$33+1)/Initiatives!$M$34,1))</f>
        <v>0</v>
      </c>
      <c r="M148" s="24" t="n">
        <f aca="false">IF(M$3&lt;Initiatives!$M$33,0,MIN((M$3-Initiatives!$M$33+1)/Initiatives!$M$34,1))</f>
        <v>0</v>
      </c>
      <c r="N148" s="24" t="n">
        <f aca="false">IF(N$3&lt;Initiatives!$M$33,0,MIN((N$3-Initiatives!$M$33+1)/Initiatives!$M$34,1))</f>
        <v>1</v>
      </c>
      <c r="O148" s="24" t="n">
        <f aca="false">IF(O$3&lt;Initiatives!$M$33,0,MIN((O$3-Initiatives!$M$33+1)/Initiatives!$M$34,1))</f>
        <v>1</v>
      </c>
      <c r="P148" s="24" t="n">
        <f aca="false">IF(P$3&lt;Initiatives!$M$33,0,MIN((P$3-Initiatives!$M$33+1)/Initiatives!$M$34,1))</f>
        <v>1</v>
      </c>
      <c r="Q148" s="24" t="n">
        <f aca="false">IF(Q$3&lt;Initiatives!$M$33,0,MIN((Q$3-Initiatives!$M$33+1)/Initiatives!$M$34,1))</f>
        <v>1</v>
      </c>
      <c r="R148" s="24" t="n">
        <f aca="false">IF(R$3&lt;Initiatives!$M$33,0,MIN((R$3-Initiatives!$M$33+1)/Initiatives!$M$34,1))</f>
        <v>1</v>
      </c>
      <c r="S148" s="24" t="n">
        <f aca="false">IF(S$3&lt;Initiatives!$M$33,0,MIN((S$3-Initiatives!$M$33+1)/Initiatives!$M$34,1))</f>
        <v>1</v>
      </c>
      <c r="T148" s="24" t="n">
        <f aca="false">IF(T$3&lt;Initiatives!$M$33,0,MIN((T$3-Initiatives!$M$33+1)/Initiatives!$M$34,1))</f>
        <v>1</v>
      </c>
      <c r="U148" s="24" t="n">
        <f aca="false">IF(U$3&lt;Initiatives!$M$33,0,MIN((U$3-Initiatives!$M$33+1)/Initiatives!$M$34,1))</f>
        <v>1</v>
      </c>
      <c r="V148" s="24" t="n">
        <f aca="false">IF(V$3&lt;Initiatives!$M$33,0,MIN((V$3-Initiatives!$M$33+1)/Initiatives!$M$34,1))</f>
        <v>1</v>
      </c>
      <c r="W148" s="24" t="n">
        <f aca="false">IF(W$3&lt;Initiatives!$M$33,0,MIN((W$3-Initiatives!$M$33+1)/Initiatives!$M$34,1))</f>
        <v>1</v>
      </c>
      <c r="X148" s="24" t="n">
        <f aca="false">IF(X$3&lt;Initiatives!$M$33,0,MIN((X$3-Initiatives!$M$33+1)/Initiatives!$M$34,1))</f>
        <v>1</v>
      </c>
      <c r="Y148" s="24" t="n">
        <f aca="false">IF(Y$3&lt;Initiatives!$M$33,0,MIN((Y$3-Initiatives!$M$33+1)/Initiatives!$M$34,1))</f>
        <v>1</v>
      </c>
      <c r="Z148" s="24" t="n">
        <f aca="false">IF(Z$3&lt;Initiatives!$M$33,0,MIN((Z$3-Initiatives!$M$33+1)/Initiatives!$M$34,1))</f>
        <v>1</v>
      </c>
    </row>
    <row r="149" customFormat="false" ht="15" hidden="false" customHeight="false" outlineLevel="0" collapsed="false">
      <c r="A149" s="4" t="s">
        <v>215</v>
      </c>
      <c r="B149" s="4" t="s">
        <v>216</v>
      </c>
      <c r="C149" s="8" t="n">
        <f aca="false">Initiatives!$M$40*C148</f>
        <v>0</v>
      </c>
      <c r="D149" s="8" t="n">
        <f aca="false">Initiatives!$M$40*D148</f>
        <v>0</v>
      </c>
      <c r="E149" s="8" t="n">
        <f aca="false">Initiatives!$M$40*E148</f>
        <v>0</v>
      </c>
      <c r="F149" s="8" t="n">
        <f aca="false">Initiatives!$M$40*F148</f>
        <v>0</v>
      </c>
      <c r="G149" s="8" t="n">
        <f aca="false">Initiatives!$M$40*G148</f>
        <v>0</v>
      </c>
      <c r="H149" s="8" t="n">
        <f aca="false">Initiatives!$M$40*H148</f>
        <v>0</v>
      </c>
      <c r="I149" s="8" t="n">
        <f aca="false">Initiatives!$M$40*I148</f>
        <v>0</v>
      </c>
      <c r="J149" s="8" t="n">
        <f aca="false">Initiatives!$M$40*J148</f>
        <v>0</v>
      </c>
      <c r="K149" s="8" t="n">
        <f aca="false">Initiatives!$M$40*K148</f>
        <v>0</v>
      </c>
      <c r="L149" s="8" t="n">
        <f aca="false">Initiatives!$M$40*L148</f>
        <v>0</v>
      </c>
      <c r="M149" s="8" t="n">
        <f aca="false">Initiatives!$M$40*M148</f>
        <v>0</v>
      </c>
      <c r="N149" s="8" t="n">
        <f aca="false">Initiatives!$M$40*N148</f>
        <v>0</v>
      </c>
      <c r="O149" s="8" t="n">
        <f aca="false">Initiatives!$M$40*O148</f>
        <v>0</v>
      </c>
      <c r="P149" s="8" t="n">
        <f aca="false">Initiatives!$M$40*P148</f>
        <v>0</v>
      </c>
      <c r="Q149" s="8" t="n">
        <f aca="false">Initiatives!$M$40*Q148</f>
        <v>0</v>
      </c>
      <c r="R149" s="8" t="n">
        <f aca="false">Initiatives!$M$40*R148</f>
        <v>0</v>
      </c>
      <c r="S149" s="8" t="n">
        <f aca="false">Initiatives!$M$40*S148</f>
        <v>0</v>
      </c>
      <c r="T149" s="8" t="n">
        <f aca="false">Initiatives!$M$40*T148</f>
        <v>0</v>
      </c>
      <c r="U149" s="8" t="n">
        <f aca="false">Initiatives!$M$40*U148</f>
        <v>0</v>
      </c>
      <c r="V149" s="8" t="n">
        <f aca="false">Initiatives!$M$40*V148</f>
        <v>0</v>
      </c>
      <c r="W149" s="8" t="n">
        <f aca="false">Initiatives!$M$40*W148</f>
        <v>0</v>
      </c>
      <c r="X149" s="8" t="n">
        <f aca="false">Initiatives!$M$40*X148</f>
        <v>0</v>
      </c>
      <c r="Y149" s="8" t="n">
        <f aca="false">Initiatives!$M$40*Y148</f>
        <v>0</v>
      </c>
      <c r="Z149" s="8" t="n">
        <f aca="false">Initiatives!$M$40*Z148</f>
        <v>0</v>
      </c>
    </row>
    <row r="150" customFormat="false" ht="15" hidden="false" customHeight="false" outlineLevel="0" collapsed="false">
      <c r="A150" s="4" t="s">
        <v>217</v>
      </c>
      <c r="B150" s="4" t="s">
        <v>218</v>
      </c>
      <c r="C150" s="8" t="n">
        <f aca="false">MAX(C149-N(B149),0)</f>
        <v>0</v>
      </c>
      <c r="D150" s="8" t="n">
        <f aca="false">MAX(D149-N(C149),0)</f>
        <v>0</v>
      </c>
      <c r="E150" s="8" t="n">
        <f aca="false">MAX(E149-N(D149),0)</f>
        <v>0</v>
      </c>
      <c r="F150" s="8" t="n">
        <f aca="false">MAX(F149-N(E149),0)</f>
        <v>0</v>
      </c>
      <c r="G150" s="8" t="n">
        <f aca="false">MAX(G149-N(F149),0)</f>
        <v>0</v>
      </c>
      <c r="H150" s="8" t="n">
        <f aca="false">MAX(H149-N(G149),0)</f>
        <v>0</v>
      </c>
      <c r="I150" s="8" t="n">
        <f aca="false">MAX(I149-N(H149),0)</f>
        <v>0</v>
      </c>
      <c r="J150" s="8" t="n">
        <f aca="false">MAX(J149-N(I149),0)</f>
        <v>0</v>
      </c>
      <c r="K150" s="8" t="n">
        <f aca="false">MAX(K149-N(J149),0)</f>
        <v>0</v>
      </c>
      <c r="L150" s="8" t="n">
        <f aca="false">MAX(L149-N(K149),0)</f>
        <v>0</v>
      </c>
      <c r="M150" s="8" t="n">
        <f aca="false">MAX(M149-N(L149),0)</f>
        <v>0</v>
      </c>
      <c r="N150" s="8" t="n">
        <f aca="false">MAX(N149-N(M149),0)</f>
        <v>0</v>
      </c>
      <c r="O150" s="8" t="n">
        <f aca="false">MAX(O149-N(N149),0)</f>
        <v>0</v>
      </c>
      <c r="P150" s="8" t="n">
        <f aca="false">MAX(P149-N(O149),0)</f>
        <v>0</v>
      </c>
      <c r="Q150" s="8" t="n">
        <f aca="false">MAX(Q149-N(P149),0)</f>
        <v>0</v>
      </c>
      <c r="R150" s="8" t="n">
        <f aca="false">MAX(R149-N(Q149),0)</f>
        <v>0</v>
      </c>
      <c r="S150" s="8" t="n">
        <f aca="false">MAX(S149-N(R149),0)</f>
        <v>0</v>
      </c>
      <c r="T150" s="8" t="n">
        <f aca="false">MAX(T149-N(S149),0)</f>
        <v>0</v>
      </c>
      <c r="U150" s="8" t="n">
        <f aca="false">MAX(U149-N(T149),0)</f>
        <v>0</v>
      </c>
      <c r="V150" s="8" t="n">
        <f aca="false">MAX(V149-N(U149),0)</f>
        <v>0</v>
      </c>
      <c r="W150" s="8" t="n">
        <f aca="false">MAX(W149-N(V149),0)</f>
        <v>0</v>
      </c>
      <c r="X150" s="8" t="n">
        <f aca="false">MAX(X149-N(W149),0)</f>
        <v>0</v>
      </c>
      <c r="Y150" s="8" t="n">
        <f aca="false">MAX(Y149-N(X149),0)</f>
        <v>0</v>
      </c>
      <c r="Z150" s="8" t="n">
        <f aca="false">MAX(Z149-N(Y149),0)</f>
        <v>0</v>
      </c>
    </row>
    <row r="151" customFormat="false" ht="15" hidden="false" customHeight="false" outlineLevel="0" collapsed="false">
      <c r="A151" s="4" t="s">
        <v>219</v>
      </c>
      <c r="B151" s="4" t="s">
        <v>220</v>
      </c>
      <c r="C151" s="8" t="n">
        <f aca="false">IF(Initiatives!$M$6="adoption",N(B151)*(1-Inputs!$C$9)+N(B152)*Inputs!$C$9*Initiatives!$M$16,IF(Initiatives!$M$6="relative",N(B151)*(1-Inputs!$C$9)+C$4*Inputs!$C$9*Initiatives!$M$23*C148,0))</f>
        <v>0</v>
      </c>
      <c r="D151" s="8" t="n">
        <f aca="false">IF(Initiatives!$M$6="adoption",N(C151)*(1-Inputs!$C$9)+N(C152)*Inputs!$C$9*Initiatives!$M$16,IF(Initiatives!$M$6="relative",N(C151)*(1-Inputs!$C$9)+D$4*Inputs!$C$9*Initiatives!$M$23*D148,0))</f>
        <v>0</v>
      </c>
      <c r="E151" s="8" t="n">
        <f aca="false">IF(Initiatives!$M$6="adoption",N(D151)*(1-Inputs!$C$9)+N(D152)*Inputs!$C$9*Initiatives!$M$16,IF(Initiatives!$M$6="relative",N(D151)*(1-Inputs!$C$9)+E$4*Inputs!$C$9*Initiatives!$M$23*E148,0))</f>
        <v>0</v>
      </c>
      <c r="F151" s="8" t="n">
        <f aca="false">IF(Initiatives!$M$6="adoption",N(E151)*(1-Inputs!$C$9)+N(E152)*Inputs!$C$9*Initiatives!$M$16,IF(Initiatives!$M$6="relative",N(E151)*(1-Inputs!$C$9)+F$4*Inputs!$C$9*Initiatives!$M$23*F148,0))</f>
        <v>0</v>
      </c>
      <c r="G151" s="8" t="n">
        <f aca="false">IF(Initiatives!$M$6="adoption",N(F151)*(1-Inputs!$C$9)+N(F152)*Inputs!$C$9*Initiatives!$M$16,IF(Initiatives!$M$6="relative",N(F151)*(1-Inputs!$C$9)+G$4*Inputs!$C$9*Initiatives!$M$23*G148,0))</f>
        <v>0</v>
      </c>
      <c r="H151" s="8" t="n">
        <f aca="false">IF(Initiatives!$M$6="adoption",N(G151)*(1-Inputs!$C$9)+N(G152)*Inputs!$C$9*Initiatives!$M$16,IF(Initiatives!$M$6="relative",N(G151)*(1-Inputs!$C$9)+H$4*Inputs!$C$9*Initiatives!$M$23*H148,0))</f>
        <v>0</v>
      </c>
      <c r="I151" s="8" t="n">
        <f aca="false">IF(Initiatives!$M$6="adoption",N(H151)*(1-Inputs!$C$9)+N(H152)*Inputs!$C$9*Initiatives!$M$16,IF(Initiatives!$M$6="relative",N(H151)*(1-Inputs!$C$9)+I$4*Inputs!$C$9*Initiatives!$M$23*I148,0))</f>
        <v>0</v>
      </c>
      <c r="J151" s="8" t="n">
        <f aca="false">IF(Initiatives!$M$6="adoption",N(I151)*(1-Inputs!$C$9)+N(I152)*Inputs!$C$9*Initiatives!$M$16,IF(Initiatives!$M$6="relative",N(I151)*(1-Inputs!$C$9)+J$4*Inputs!$C$9*Initiatives!$M$23*J148,0))</f>
        <v>0</v>
      </c>
      <c r="K151" s="8" t="n">
        <f aca="false">IF(Initiatives!$M$6="adoption",N(J151)*(1-Inputs!$C$9)+N(J152)*Inputs!$C$9*Initiatives!$M$16,IF(Initiatives!$M$6="relative",N(J151)*(1-Inputs!$C$9)+K$4*Inputs!$C$9*Initiatives!$M$23*K148,0))</f>
        <v>0</v>
      </c>
      <c r="L151" s="8" t="n">
        <f aca="false">IF(Initiatives!$M$6="adoption",N(K151)*(1-Inputs!$C$9)+N(K152)*Inputs!$C$9*Initiatives!$M$16,IF(Initiatives!$M$6="relative",N(K151)*(1-Inputs!$C$9)+L$4*Inputs!$C$9*Initiatives!$M$23*L148,0))</f>
        <v>0</v>
      </c>
      <c r="M151" s="8" t="n">
        <f aca="false">IF(Initiatives!$M$6="adoption",N(L151)*(1-Inputs!$C$9)+N(L152)*Inputs!$C$9*Initiatives!$M$16,IF(Initiatives!$M$6="relative",N(L151)*(1-Inputs!$C$9)+M$4*Inputs!$C$9*Initiatives!$M$23*M148,0))</f>
        <v>0</v>
      </c>
      <c r="N151" s="8" t="n">
        <f aca="false">IF(Initiatives!$M$6="adoption",N(M151)*(1-Inputs!$C$9)+N(M152)*Inputs!$C$9*Initiatives!$M$16,IF(Initiatives!$M$6="relative",N(M151)*(1-Inputs!$C$9)+N$4*Inputs!$C$9*Initiatives!$M$23*N148,0))</f>
        <v>0</v>
      </c>
      <c r="O151" s="8" t="n">
        <f aca="false">IF(Initiatives!$M$6="adoption",N(N151)*(1-Inputs!$C$9)+N(N152)*Inputs!$C$9*Initiatives!$M$16,IF(Initiatives!$M$6="relative",N(N151)*(1-Inputs!$C$9)+O$4*Inputs!$C$9*Initiatives!$M$23*O148,0))</f>
        <v>0</v>
      </c>
      <c r="P151" s="8" t="n">
        <f aca="false">IF(Initiatives!$M$6="adoption",N(O151)*(1-Inputs!$C$9)+N(O152)*Inputs!$C$9*Initiatives!$M$16,IF(Initiatives!$M$6="relative",N(O151)*(1-Inputs!$C$9)+P$4*Inputs!$C$9*Initiatives!$M$23*P148,0))</f>
        <v>0</v>
      </c>
      <c r="Q151" s="8" t="n">
        <f aca="false">IF(Initiatives!$M$6="adoption",N(P151)*(1-Inputs!$C$9)+N(P152)*Inputs!$C$9*Initiatives!$M$16,IF(Initiatives!$M$6="relative",N(P151)*(1-Inputs!$C$9)+Q$4*Inputs!$C$9*Initiatives!$M$23*Q148,0))</f>
        <v>0</v>
      </c>
      <c r="R151" s="8" t="n">
        <f aca="false">IF(Initiatives!$M$6="adoption",N(Q151)*(1-Inputs!$C$9)+N(Q152)*Inputs!$C$9*Initiatives!$M$16,IF(Initiatives!$M$6="relative",N(Q151)*(1-Inputs!$C$9)+R$4*Inputs!$C$9*Initiatives!$M$23*R148,0))</f>
        <v>0</v>
      </c>
      <c r="S151" s="8" t="n">
        <f aca="false">IF(Initiatives!$M$6="adoption",N(R151)*(1-Inputs!$C$9)+N(R152)*Inputs!$C$9*Initiatives!$M$16,IF(Initiatives!$M$6="relative",N(R151)*(1-Inputs!$C$9)+S$4*Inputs!$C$9*Initiatives!$M$23*S148,0))</f>
        <v>0</v>
      </c>
      <c r="T151" s="8" t="n">
        <f aca="false">IF(Initiatives!$M$6="adoption",N(S151)*(1-Inputs!$C$9)+N(S152)*Inputs!$C$9*Initiatives!$M$16,IF(Initiatives!$M$6="relative",N(S151)*(1-Inputs!$C$9)+T$4*Inputs!$C$9*Initiatives!$M$23*T148,0))</f>
        <v>0</v>
      </c>
      <c r="U151" s="8" t="n">
        <f aca="false">IF(Initiatives!$M$6="adoption",N(T151)*(1-Inputs!$C$9)+N(T152)*Inputs!$C$9*Initiatives!$M$16,IF(Initiatives!$M$6="relative",N(T151)*(1-Inputs!$C$9)+U$4*Inputs!$C$9*Initiatives!$M$23*U148,0))</f>
        <v>0</v>
      </c>
      <c r="V151" s="8" t="n">
        <f aca="false">IF(Initiatives!$M$6="adoption",N(U151)*(1-Inputs!$C$9)+N(U152)*Inputs!$C$9*Initiatives!$M$16,IF(Initiatives!$M$6="relative",N(U151)*(1-Inputs!$C$9)+V$4*Inputs!$C$9*Initiatives!$M$23*V148,0))</f>
        <v>0</v>
      </c>
      <c r="W151" s="8" t="n">
        <f aca="false">IF(Initiatives!$M$6="adoption",N(V151)*(1-Inputs!$C$9)+N(V152)*Inputs!$C$9*Initiatives!$M$16,IF(Initiatives!$M$6="relative",N(V151)*(1-Inputs!$C$9)+W$4*Inputs!$C$9*Initiatives!$M$23*W148,0))</f>
        <v>0</v>
      </c>
      <c r="X151" s="8" t="n">
        <f aca="false">IF(Initiatives!$M$6="adoption",N(W151)*(1-Inputs!$C$9)+N(W152)*Inputs!$C$9*Initiatives!$M$16,IF(Initiatives!$M$6="relative",N(W151)*(1-Inputs!$C$9)+X$4*Inputs!$C$9*Initiatives!$M$23*X148,0))</f>
        <v>0</v>
      </c>
      <c r="Y151" s="8" t="n">
        <f aca="false">IF(Initiatives!$M$6="adoption",N(X151)*(1-Inputs!$C$9)+N(X152)*Inputs!$C$9*Initiatives!$M$16,IF(Initiatives!$M$6="relative",N(X151)*(1-Inputs!$C$9)+Y$4*Inputs!$C$9*Initiatives!$M$23*Y148,0))</f>
        <v>0</v>
      </c>
      <c r="Z151" s="8" t="n">
        <f aca="false">IF(Initiatives!$M$6="adoption",N(Y151)*(1-Inputs!$C$9)+N(Y152)*Inputs!$C$9*Initiatives!$M$16,IF(Initiatives!$M$6="relative",N(Y151)*(1-Inputs!$C$9)+Z$4*Inputs!$C$9*Initiatives!$M$23*Z148,0))</f>
        <v>0</v>
      </c>
    </row>
    <row r="152" customFormat="false" ht="15" hidden="false" customHeight="false" outlineLevel="0" collapsed="false">
      <c r="A152" s="4" t="s">
        <v>221</v>
      </c>
      <c r="B152" s="4" t="s">
        <v>222</v>
      </c>
      <c r="C152" s="8" t="n">
        <f aca="false">N(B152)*(1-Initiatives!$M$45)*(1-Inputs!$C$9*(1-Initiatives!$M$16))+C150</f>
        <v>0</v>
      </c>
      <c r="D152" s="8" t="n">
        <f aca="false">N(C152)*(1-Initiatives!$M$45)*(1-Inputs!$C$9*(1-Initiatives!$M$16))+D150</f>
        <v>0</v>
      </c>
      <c r="E152" s="8" t="n">
        <f aca="false">N(D152)*(1-Initiatives!$M$45)*(1-Inputs!$C$9*(1-Initiatives!$M$16))+E150</f>
        <v>0</v>
      </c>
      <c r="F152" s="8" t="n">
        <f aca="false">N(E152)*(1-Initiatives!$M$45)*(1-Inputs!$C$9*(1-Initiatives!$M$16))+F150</f>
        <v>0</v>
      </c>
      <c r="G152" s="8" t="n">
        <f aca="false">N(F152)*(1-Initiatives!$M$45)*(1-Inputs!$C$9*(1-Initiatives!$M$16))+G150</f>
        <v>0</v>
      </c>
      <c r="H152" s="8" t="n">
        <f aca="false">N(G152)*(1-Initiatives!$M$45)*(1-Inputs!$C$9*(1-Initiatives!$M$16))+H150</f>
        <v>0</v>
      </c>
      <c r="I152" s="8" t="n">
        <f aca="false">N(H152)*(1-Initiatives!$M$45)*(1-Inputs!$C$9*(1-Initiatives!$M$16))+I150</f>
        <v>0</v>
      </c>
      <c r="J152" s="8" t="n">
        <f aca="false">N(I152)*(1-Initiatives!$M$45)*(1-Inputs!$C$9*(1-Initiatives!$M$16))+J150</f>
        <v>0</v>
      </c>
      <c r="K152" s="8" t="n">
        <f aca="false">N(J152)*(1-Initiatives!$M$45)*(1-Inputs!$C$9*(1-Initiatives!$M$16))+K150</f>
        <v>0</v>
      </c>
      <c r="L152" s="8" t="n">
        <f aca="false">N(K152)*(1-Initiatives!$M$45)*(1-Inputs!$C$9*(1-Initiatives!$M$16))+L150</f>
        <v>0</v>
      </c>
      <c r="M152" s="8" t="n">
        <f aca="false">N(L152)*(1-Initiatives!$M$45)*(1-Inputs!$C$9*(1-Initiatives!$M$16))+M150</f>
        <v>0</v>
      </c>
      <c r="N152" s="8" t="n">
        <f aca="false">N(M152)*(1-Initiatives!$M$45)*(1-Inputs!$C$9*(1-Initiatives!$M$16))+N150</f>
        <v>0</v>
      </c>
      <c r="O152" s="8" t="n">
        <f aca="false">N(N152)*(1-Initiatives!$M$45)*(1-Inputs!$C$9*(1-Initiatives!$M$16))+O150</f>
        <v>0</v>
      </c>
      <c r="P152" s="8" t="n">
        <f aca="false">N(O152)*(1-Initiatives!$M$45)*(1-Inputs!$C$9*(1-Initiatives!$M$16))+P150</f>
        <v>0</v>
      </c>
      <c r="Q152" s="8" t="n">
        <f aca="false">N(P152)*(1-Initiatives!$M$45)*(1-Inputs!$C$9*(1-Initiatives!$M$16))+Q150</f>
        <v>0</v>
      </c>
      <c r="R152" s="8" t="n">
        <f aca="false">N(Q152)*(1-Initiatives!$M$45)*(1-Inputs!$C$9*(1-Initiatives!$M$16))+R150</f>
        <v>0</v>
      </c>
      <c r="S152" s="8" t="n">
        <f aca="false">N(R152)*(1-Initiatives!$M$45)*(1-Inputs!$C$9*(1-Initiatives!$M$16))+S150</f>
        <v>0</v>
      </c>
      <c r="T152" s="8" t="n">
        <f aca="false">N(S152)*(1-Initiatives!$M$45)*(1-Inputs!$C$9*(1-Initiatives!$M$16))+T150</f>
        <v>0</v>
      </c>
      <c r="U152" s="8" t="n">
        <f aca="false">N(T152)*(1-Initiatives!$M$45)*(1-Inputs!$C$9*(1-Initiatives!$M$16))+U150</f>
        <v>0</v>
      </c>
      <c r="V152" s="8" t="n">
        <f aca="false">N(U152)*(1-Initiatives!$M$45)*(1-Inputs!$C$9*(1-Initiatives!$M$16))+V150</f>
        <v>0</v>
      </c>
      <c r="W152" s="8" t="n">
        <f aca="false">N(V152)*(1-Initiatives!$M$45)*(1-Inputs!$C$9*(1-Initiatives!$M$16))+W150</f>
        <v>0</v>
      </c>
      <c r="X152" s="8" t="n">
        <f aca="false">N(W152)*(1-Initiatives!$M$45)*(1-Inputs!$C$9*(1-Initiatives!$M$16))+X150</f>
        <v>0</v>
      </c>
      <c r="Y152" s="8" t="n">
        <f aca="false">N(X152)*(1-Initiatives!$M$45)*(1-Inputs!$C$9*(1-Initiatives!$M$16))+Y150</f>
        <v>0</v>
      </c>
      <c r="Z152" s="8" t="n">
        <f aca="false">N(Y152)*(1-Initiatives!$M$45)*(1-Inputs!$C$9*(1-Initiatives!$M$16))+Z150</f>
        <v>0</v>
      </c>
    </row>
    <row r="153" customFormat="false" ht="15" hidden="false" customHeight="false" outlineLevel="0" collapsed="false">
      <c r="A153" s="4" t="s">
        <v>223</v>
      </c>
      <c r="B153" s="4" t="s">
        <v>224</v>
      </c>
      <c r="C153" s="8" t="n">
        <f aca="false">N(B153)*(1-Inputs!$C$9)+IF(AND(C$3&gt;=Initiatives!$M$33,C$3&lt;Initiatives!$M$33+Initiatives!$M$47),Initiatives!$M$43/Initiatives!$M$47,0)</f>
        <v>0</v>
      </c>
      <c r="D153" s="8" t="n">
        <f aca="false">N(C153)*(1-Inputs!$C$9)+IF(AND(D$3&gt;=Initiatives!$M$33,D$3&lt;Initiatives!$M$33+Initiatives!$M$47),Initiatives!$M$43/Initiatives!$M$47,0)</f>
        <v>0</v>
      </c>
      <c r="E153" s="8" t="n">
        <f aca="false">N(D153)*(1-Inputs!$C$9)+IF(AND(E$3&gt;=Initiatives!$M$33,E$3&lt;Initiatives!$M$33+Initiatives!$M$47),Initiatives!$M$43/Initiatives!$M$47,0)</f>
        <v>0</v>
      </c>
      <c r="F153" s="8" t="n">
        <f aca="false">N(E153)*(1-Inputs!$C$9)+IF(AND(F$3&gt;=Initiatives!$M$33,F$3&lt;Initiatives!$M$33+Initiatives!$M$47),Initiatives!$M$43/Initiatives!$M$47,0)</f>
        <v>0</v>
      </c>
      <c r="G153" s="8" t="n">
        <f aca="false">N(F153)*(1-Inputs!$C$9)+IF(AND(G$3&gt;=Initiatives!$M$33,G$3&lt;Initiatives!$M$33+Initiatives!$M$47),Initiatives!$M$43/Initiatives!$M$47,0)</f>
        <v>0</v>
      </c>
      <c r="H153" s="8" t="n">
        <f aca="false">N(G153)*(1-Inputs!$C$9)+IF(AND(H$3&gt;=Initiatives!$M$33,H$3&lt;Initiatives!$M$33+Initiatives!$M$47),Initiatives!$M$43/Initiatives!$M$47,0)</f>
        <v>0</v>
      </c>
      <c r="I153" s="8" t="n">
        <f aca="false">N(H153)*(1-Inputs!$C$9)+IF(AND(I$3&gt;=Initiatives!$M$33,I$3&lt;Initiatives!$M$33+Initiatives!$M$47),Initiatives!$M$43/Initiatives!$M$47,0)</f>
        <v>0</v>
      </c>
      <c r="J153" s="8" t="n">
        <f aca="false">N(I153)*(1-Inputs!$C$9)+IF(AND(J$3&gt;=Initiatives!$M$33,J$3&lt;Initiatives!$M$33+Initiatives!$M$47),Initiatives!$M$43/Initiatives!$M$47,0)</f>
        <v>0</v>
      </c>
      <c r="K153" s="8" t="n">
        <f aca="false">N(J153)*(1-Inputs!$C$9)+IF(AND(K$3&gt;=Initiatives!$M$33,K$3&lt;Initiatives!$M$33+Initiatives!$M$47),Initiatives!$M$43/Initiatives!$M$47,0)</f>
        <v>0</v>
      </c>
      <c r="L153" s="8" t="n">
        <f aca="false">N(K153)*(1-Inputs!$C$9)+IF(AND(L$3&gt;=Initiatives!$M$33,L$3&lt;Initiatives!$M$33+Initiatives!$M$47),Initiatives!$M$43/Initiatives!$M$47,0)</f>
        <v>0</v>
      </c>
      <c r="M153" s="8" t="n">
        <f aca="false">N(L153)*(1-Inputs!$C$9)+IF(AND(M$3&gt;=Initiatives!$M$33,M$3&lt;Initiatives!$M$33+Initiatives!$M$47),Initiatives!$M$43/Initiatives!$M$47,0)</f>
        <v>0</v>
      </c>
      <c r="N153" s="8" t="n">
        <f aca="false">N(M153)*(1-Inputs!$C$9)+IF(AND(N$3&gt;=Initiatives!$M$33,N$3&lt;Initiatives!$M$33+Initiatives!$M$47),Initiatives!$M$43/Initiatives!$M$47,0)</f>
        <v>17600</v>
      </c>
      <c r="O153" s="8" t="n">
        <f aca="false">N(N153)*(1-Inputs!$C$9)+IF(AND(O$3&gt;=Initiatives!$M$33,O$3&lt;Initiatives!$M$33+Initiatives!$M$47),Initiatives!$M$43/Initiatives!$M$47,0)</f>
        <v>34936</v>
      </c>
      <c r="P153" s="8" t="n">
        <f aca="false">N(O153)*(1-Inputs!$C$9)+IF(AND(P$3&gt;=Initiatives!$M$33,P$3&lt;Initiatives!$M$33+Initiatives!$M$47),Initiatives!$M$43/Initiatives!$M$47,0)</f>
        <v>34411.96</v>
      </c>
      <c r="Q153" s="8" t="n">
        <f aca="false">N(P153)*(1-Inputs!$C$9)+IF(AND(Q$3&gt;=Initiatives!$M$33,Q$3&lt;Initiatives!$M$33+Initiatives!$M$47),Initiatives!$M$43/Initiatives!$M$47,0)</f>
        <v>33895.7806</v>
      </c>
      <c r="R153" s="8" t="n">
        <f aca="false">N(Q153)*(1-Inputs!$C$9)+IF(AND(R$3&gt;=Initiatives!$M$33,R$3&lt;Initiatives!$M$33+Initiatives!$M$47),Initiatives!$M$43/Initiatives!$M$47,0)</f>
        <v>33387.343891</v>
      </c>
      <c r="S153" s="8" t="n">
        <f aca="false">N(R153)*(1-Inputs!$C$9)+IF(AND(S$3&gt;=Initiatives!$M$33,S$3&lt;Initiatives!$M$33+Initiatives!$M$47),Initiatives!$M$43/Initiatives!$M$47,0)</f>
        <v>32886.533732635</v>
      </c>
      <c r="T153" s="8" t="n">
        <f aca="false">N(S153)*(1-Inputs!$C$9)+IF(AND(T$3&gt;=Initiatives!$M$33,T$3&lt;Initiatives!$M$33+Initiatives!$M$47),Initiatives!$M$43/Initiatives!$M$47,0)</f>
        <v>32393.2357266455</v>
      </c>
      <c r="U153" s="8" t="n">
        <f aca="false">N(T153)*(1-Inputs!$C$9)+IF(AND(U$3&gt;=Initiatives!$M$33,U$3&lt;Initiatives!$M$33+Initiatives!$M$47),Initiatives!$M$43/Initiatives!$M$47,0)</f>
        <v>31907.3371907458</v>
      </c>
      <c r="V153" s="8" t="n">
        <f aca="false">N(U153)*(1-Inputs!$C$9)+IF(AND(V$3&gt;=Initiatives!$M$33,V$3&lt;Initiatives!$M$33+Initiatives!$M$47),Initiatives!$M$43/Initiatives!$M$47,0)</f>
        <v>31428.7271328846</v>
      </c>
      <c r="W153" s="8" t="n">
        <f aca="false">N(V153)*(1-Inputs!$C$9)+IF(AND(W$3&gt;=Initiatives!$M$33,W$3&lt;Initiatives!$M$33+Initiatives!$M$47),Initiatives!$M$43/Initiatives!$M$47,0)</f>
        <v>30957.2962258913</v>
      </c>
      <c r="X153" s="8" t="n">
        <f aca="false">N(W153)*(1-Inputs!$C$9)+IF(AND(X$3&gt;=Initiatives!$M$33,X$3&lt;Initiatives!$M$33+Initiatives!$M$47),Initiatives!$M$43/Initiatives!$M$47,0)</f>
        <v>30492.936782503</v>
      </c>
      <c r="Y153" s="8" t="n">
        <f aca="false">N(X153)*(1-Inputs!$C$9)+IF(AND(Y$3&gt;=Initiatives!$M$33,Y$3&lt;Initiatives!$M$33+Initiatives!$M$47),Initiatives!$M$43/Initiatives!$M$47,0)</f>
        <v>30035.5427307654</v>
      </c>
      <c r="Z153" s="8" t="n">
        <f aca="false">N(Y153)*(1-Inputs!$C$9)+IF(AND(Z$3&gt;=Initiatives!$M$33,Z$3&lt;Initiatives!$M$33+Initiatives!$M$47),Initiatives!$M$43/Initiatives!$M$47,0)</f>
        <v>29585.0095898039</v>
      </c>
    </row>
    <row r="154" customFormat="false" ht="15" hidden="false" customHeight="false" outlineLevel="0" collapsed="false">
      <c r="A154" s="4" t="s">
        <v>225</v>
      </c>
      <c r="B154" s="4" t="s">
        <v>226</v>
      </c>
      <c r="C154" s="8" t="n">
        <f aca="false">IF(Initiatives!$M$6="adoption",C152*Initiatives!$M$14+C151*Initiatives!$M$9-C153*Initiatives!$M$9,IF(Initiatives!$M$6="reprice",IF(C$3&gt;=Initiatives!$M$33,(Initiatives!$M$41*Initiatives!$M$44+Initiatives!$M$42*Initiatives!$M$20)*(1-Inputs!$C$9)^(C$3-Initiatives!$M$33),0)-C153*Initiatives!$M$9,C$5*Initiatives!$M$22*C148+C151*Inputs!$C$8))</f>
        <v>0</v>
      </c>
      <c r="D154" s="8" t="n">
        <f aca="false">IF(Initiatives!$M$6="adoption",D152*Initiatives!$M$14+D151*Initiatives!$M$9-D153*Initiatives!$M$9,IF(Initiatives!$M$6="reprice",IF(D$3&gt;=Initiatives!$M$33,(Initiatives!$M$41*Initiatives!$M$44+Initiatives!$M$42*Initiatives!$M$20)*(1-Inputs!$C$9)^(D$3-Initiatives!$M$33),0)-D153*Initiatives!$M$9,D$5*Initiatives!$M$22*D148+D151*Inputs!$C$8))</f>
        <v>0</v>
      </c>
      <c r="E154" s="8" t="n">
        <f aca="false">IF(Initiatives!$M$6="adoption",E152*Initiatives!$M$14+E151*Initiatives!$M$9-E153*Initiatives!$M$9,IF(Initiatives!$M$6="reprice",IF(E$3&gt;=Initiatives!$M$33,(Initiatives!$M$41*Initiatives!$M$44+Initiatives!$M$42*Initiatives!$M$20)*(1-Inputs!$C$9)^(E$3-Initiatives!$M$33),0)-E153*Initiatives!$M$9,E$5*Initiatives!$M$22*E148+E151*Inputs!$C$8))</f>
        <v>0</v>
      </c>
      <c r="F154" s="8" t="n">
        <f aca="false">IF(Initiatives!$M$6="adoption",F152*Initiatives!$M$14+F151*Initiatives!$M$9-F153*Initiatives!$M$9,IF(Initiatives!$M$6="reprice",IF(F$3&gt;=Initiatives!$M$33,(Initiatives!$M$41*Initiatives!$M$44+Initiatives!$M$42*Initiatives!$M$20)*(1-Inputs!$C$9)^(F$3-Initiatives!$M$33),0)-F153*Initiatives!$M$9,F$5*Initiatives!$M$22*F148+F151*Inputs!$C$8))</f>
        <v>0</v>
      </c>
      <c r="G154" s="8" t="n">
        <f aca="false">IF(Initiatives!$M$6="adoption",G152*Initiatives!$M$14+G151*Initiatives!$M$9-G153*Initiatives!$M$9,IF(Initiatives!$M$6="reprice",IF(G$3&gt;=Initiatives!$M$33,(Initiatives!$M$41*Initiatives!$M$44+Initiatives!$M$42*Initiatives!$M$20)*(1-Inputs!$C$9)^(G$3-Initiatives!$M$33),0)-G153*Initiatives!$M$9,G$5*Initiatives!$M$22*G148+G151*Inputs!$C$8))</f>
        <v>0</v>
      </c>
      <c r="H154" s="8" t="n">
        <f aca="false">IF(Initiatives!$M$6="adoption",H152*Initiatives!$M$14+H151*Initiatives!$M$9-H153*Initiatives!$M$9,IF(Initiatives!$M$6="reprice",IF(H$3&gt;=Initiatives!$M$33,(Initiatives!$M$41*Initiatives!$M$44+Initiatives!$M$42*Initiatives!$M$20)*(1-Inputs!$C$9)^(H$3-Initiatives!$M$33),0)-H153*Initiatives!$M$9,H$5*Initiatives!$M$22*H148+H151*Inputs!$C$8))</f>
        <v>0</v>
      </c>
      <c r="I154" s="8" t="n">
        <f aca="false">IF(Initiatives!$M$6="adoption",I152*Initiatives!$M$14+I151*Initiatives!$M$9-I153*Initiatives!$M$9,IF(Initiatives!$M$6="reprice",IF(I$3&gt;=Initiatives!$M$33,(Initiatives!$M$41*Initiatives!$M$44+Initiatives!$M$42*Initiatives!$M$20)*(1-Inputs!$C$9)^(I$3-Initiatives!$M$33),0)-I153*Initiatives!$M$9,I$5*Initiatives!$M$22*I148+I151*Inputs!$C$8))</f>
        <v>0</v>
      </c>
      <c r="J154" s="8" t="n">
        <f aca="false">IF(Initiatives!$M$6="adoption",J152*Initiatives!$M$14+J151*Initiatives!$M$9-J153*Initiatives!$M$9,IF(Initiatives!$M$6="reprice",IF(J$3&gt;=Initiatives!$M$33,(Initiatives!$M$41*Initiatives!$M$44+Initiatives!$M$42*Initiatives!$M$20)*(1-Inputs!$C$9)^(J$3-Initiatives!$M$33),0)-J153*Initiatives!$M$9,J$5*Initiatives!$M$22*J148+J151*Inputs!$C$8))</f>
        <v>0</v>
      </c>
      <c r="K154" s="8" t="n">
        <f aca="false">IF(Initiatives!$M$6="adoption",K152*Initiatives!$M$14+K151*Initiatives!$M$9-K153*Initiatives!$M$9,IF(Initiatives!$M$6="reprice",IF(K$3&gt;=Initiatives!$M$33,(Initiatives!$M$41*Initiatives!$M$44+Initiatives!$M$42*Initiatives!$M$20)*(1-Inputs!$C$9)^(K$3-Initiatives!$M$33),0)-K153*Initiatives!$M$9,K$5*Initiatives!$M$22*K148+K151*Inputs!$C$8))</f>
        <v>0</v>
      </c>
      <c r="L154" s="8" t="n">
        <f aca="false">IF(Initiatives!$M$6="adoption",L152*Initiatives!$M$14+L151*Initiatives!$M$9-L153*Initiatives!$M$9,IF(Initiatives!$M$6="reprice",IF(L$3&gt;=Initiatives!$M$33,(Initiatives!$M$41*Initiatives!$M$44+Initiatives!$M$42*Initiatives!$M$20)*(1-Inputs!$C$9)^(L$3-Initiatives!$M$33),0)-L153*Initiatives!$M$9,L$5*Initiatives!$M$22*L148+L151*Inputs!$C$8))</f>
        <v>0</v>
      </c>
      <c r="M154" s="8" t="n">
        <f aca="false">IF(Initiatives!$M$6="adoption",M152*Initiatives!$M$14+M151*Initiatives!$M$9-M153*Initiatives!$M$9,IF(Initiatives!$M$6="reprice",IF(M$3&gt;=Initiatives!$M$33,(Initiatives!$M$41*Initiatives!$M$44+Initiatives!$M$42*Initiatives!$M$20)*(1-Inputs!$C$9)^(M$3-Initiatives!$M$33),0)-M153*Initiatives!$M$9,M$5*Initiatives!$M$22*M148+M151*Inputs!$C$8))</f>
        <v>0</v>
      </c>
      <c r="N154" s="8" t="n">
        <f aca="false">IF(Initiatives!$M$6="adoption",N152*Initiatives!$M$14+N151*Initiatives!$M$9-N153*Initiatives!$M$9,IF(Initiatives!$M$6="reprice",IF(N$3&gt;=Initiatives!$M$33,(Initiatives!$M$41*Initiatives!$M$44+Initiatives!$M$42*Initiatives!$M$20)*(1-Inputs!$C$9)^(N$3-Initiatives!$M$33),0)-N153*Initiatives!$M$9,N$5*Initiatives!$M$22*N148+N151*Inputs!$C$8))</f>
        <v>3952142857.14286</v>
      </c>
      <c r="O154" s="8" t="n">
        <f aca="false">IF(Initiatives!$M$6="adoption",O152*Initiatives!$M$14+O151*Initiatives!$M$9-O153*Initiatives!$M$9,IF(Initiatives!$M$6="reprice",IF(O$3&gt;=Initiatives!$M$33,(Initiatives!$M$41*Initiatives!$M$44+Initiatives!$M$42*Initiatives!$M$20)*(1-Inputs!$C$9)^(O$3-Initiatives!$M$33),0)-O153*Initiatives!$M$9,O$5*Initiatives!$M$22*O148+O151*Inputs!$C$8))</f>
        <v>3628860714.28571</v>
      </c>
      <c r="P154" s="8" t="n">
        <f aca="false">IF(Initiatives!$M$6="adoption",P152*Initiatives!$M$14+P151*Initiatives!$M$9-P153*Initiatives!$M$9,IF(Initiatives!$M$6="reprice",IF(P$3&gt;=Initiatives!$M$33,(Initiatives!$M$41*Initiatives!$M$44+Initiatives!$M$42*Initiatives!$M$20)*(1-Inputs!$C$9)^(P$3-Initiatives!$M$33),0)-P153*Initiatives!$M$9,P$5*Initiatives!$M$22*P148+P151*Inputs!$C$8))</f>
        <v>3574427803.57143</v>
      </c>
      <c r="Q154" s="8" t="n">
        <f aca="false">IF(Initiatives!$M$6="adoption",Q152*Initiatives!$M$14+Q151*Initiatives!$M$9-Q153*Initiatives!$M$9,IF(Initiatives!$M$6="reprice",IF(Q$3&gt;=Initiatives!$M$33,(Initiatives!$M$41*Initiatives!$M$44+Initiatives!$M$42*Initiatives!$M$20)*(1-Inputs!$C$9)^(Q$3-Initiatives!$M$33),0)-Q153*Initiatives!$M$9,Q$5*Initiatives!$M$22*Q148+Q151*Inputs!$C$8))</f>
        <v>3520811386.51786</v>
      </c>
      <c r="R154" s="8" t="n">
        <f aca="false">IF(Initiatives!$M$6="adoption",R152*Initiatives!$M$14+R151*Initiatives!$M$9-R153*Initiatives!$M$9,IF(Initiatives!$M$6="reprice",IF(R$3&gt;=Initiatives!$M$33,(Initiatives!$M$41*Initiatives!$M$44+Initiatives!$M$42*Initiatives!$M$20)*(1-Inputs!$C$9)^(R$3-Initiatives!$M$33),0)-R153*Initiatives!$M$9,R$5*Initiatives!$M$22*R148+R151*Inputs!$C$8))</f>
        <v>3467999215.72009</v>
      </c>
      <c r="S154" s="8" t="n">
        <f aca="false">IF(Initiatives!$M$6="adoption",S152*Initiatives!$M$14+S151*Initiatives!$M$9-S153*Initiatives!$M$9,IF(Initiatives!$M$6="reprice",IF(S$3&gt;=Initiatives!$M$33,(Initiatives!$M$41*Initiatives!$M$44+Initiatives!$M$42*Initiatives!$M$20)*(1-Inputs!$C$9)^(S$3-Initiatives!$M$33),0)-S153*Initiatives!$M$9,S$5*Initiatives!$M$22*S148+S151*Inputs!$C$8))</f>
        <v>3415979227.48429</v>
      </c>
      <c r="T154" s="8" t="n">
        <f aca="false">IF(Initiatives!$M$6="adoption",T152*Initiatives!$M$14+T151*Initiatives!$M$9-T153*Initiatives!$M$9,IF(Initiatives!$M$6="reprice",IF(T$3&gt;=Initiatives!$M$33,(Initiatives!$M$41*Initiatives!$M$44+Initiatives!$M$42*Initiatives!$M$20)*(1-Inputs!$C$9)^(T$3-Initiatives!$M$33),0)-T153*Initiatives!$M$9,T$5*Initiatives!$M$22*T148+T151*Inputs!$C$8))</f>
        <v>3364739539.07202</v>
      </c>
      <c r="U154" s="8" t="n">
        <f aca="false">IF(Initiatives!$M$6="adoption",U152*Initiatives!$M$14+U151*Initiatives!$M$9-U153*Initiatives!$M$9,IF(Initiatives!$M$6="reprice",IF(U$3&gt;=Initiatives!$M$33,(Initiatives!$M$41*Initiatives!$M$44+Initiatives!$M$42*Initiatives!$M$20)*(1-Inputs!$C$9)^(U$3-Initiatives!$M$33),0)-U153*Initiatives!$M$9,U$5*Initiatives!$M$22*U148+U151*Inputs!$C$8))</f>
        <v>3314268445.98594</v>
      </c>
      <c r="V154" s="8" t="n">
        <f aca="false">IF(Initiatives!$M$6="adoption",V152*Initiatives!$M$14+V151*Initiatives!$M$9-V153*Initiatives!$M$9,IF(Initiatives!$M$6="reprice",IF(V$3&gt;=Initiatives!$M$33,(Initiatives!$M$41*Initiatives!$M$44+Initiatives!$M$42*Initiatives!$M$20)*(1-Inputs!$C$9)^(V$3-Initiatives!$M$33),0)-V153*Initiatives!$M$9,V$5*Initiatives!$M$22*V148+V151*Inputs!$C$8))</f>
        <v>3264554419.29615</v>
      </c>
      <c r="W154" s="8" t="n">
        <f aca="false">IF(Initiatives!$M$6="adoption",W152*Initiatives!$M$14+W151*Initiatives!$M$9-W153*Initiatives!$M$9,IF(Initiatives!$M$6="reprice",IF(W$3&gt;=Initiatives!$M$33,(Initiatives!$M$41*Initiatives!$M$44+Initiatives!$M$42*Initiatives!$M$20)*(1-Inputs!$C$9)^(W$3-Initiatives!$M$33),0)-W153*Initiatives!$M$9,W$5*Initiatives!$M$22*W148+W151*Inputs!$C$8))</f>
        <v>3215586103.00671</v>
      </c>
      <c r="X154" s="8" t="n">
        <f aca="false">IF(Initiatives!$M$6="adoption",X152*Initiatives!$M$14+X151*Initiatives!$M$9-X153*Initiatives!$M$9,IF(Initiatives!$M$6="reprice",IF(X$3&gt;=Initiatives!$M$33,(Initiatives!$M$41*Initiatives!$M$44+Initiatives!$M$42*Initiatives!$M$20)*(1-Inputs!$C$9)^(X$3-Initiatives!$M$33),0)-X153*Initiatives!$M$9,X$5*Initiatives!$M$22*X148+X151*Inputs!$C$8))</f>
        <v>3167352311.46161</v>
      </c>
      <c r="Y154" s="8" t="n">
        <f aca="false">IF(Initiatives!$M$6="adoption",Y152*Initiatives!$M$14+Y151*Initiatives!$M$9-Y153*Initiatives!$M$9,IF(Initiatives!$M$6="reprice",IF(Y$3&gt;=Initiatives!$M$33,(Initiatives!$M$41*Initiatives!$M$44+Initiatives!$M$42*Initiatives!$M$20)*(1-Inputs!$C$9)^(Y$3-Initiatives!$M$33),0)-Y153*Initiatives!$M$9,Y$5*Initiatives!$M$22*Y148+Y151*Inputs!$C$8))</f>
        <v>3119842026.78969</v>
      </c>
      <c r="Z154" s="8" t="n">
        <f aca="false">IF(Initiatives!$M$6="adoption",Z152*Initiatives!$M$14+Z151*Initiatives!$M$9-Z153*Initiatives!$M$9,IF(Initiatives!$M$6="reprice",IF(Z$3&gt;=Initiatives!$M$33,(Initiatives!$M$41*Initiatives!$M$44+Initiatives!$M$42*Initiatives!$M$20)*(1-Inputs!$C$9)^(Z$3-Initiatives!$M$33),0)-Z153*Initiatives!$M$9,Z$5*Initiatives!$M$22*Z148+Z151*Inputs!$C$8))</f>
        <v>3073044396.38784</v>
      </c>
    </row>
    <row r="155" customFormat="false" ht="15" hidden="false" customHeight="false" outlineLevel="0" collapsed="false">
      <c r="A155" s="4" t="s">
        <v>227</v>
      </c>
      <c r="B155" s="4" t="s">
        <v>228</v>
      </c>
      <c r="C155" s="8" t="n">
        <f aca="false">C152*Initiatives!$M$24*Initiatives!$M$25</f>
        <v>0</v>
      </c>
      <c r="D155" s="8" t="n">
        <f aca="false">D152*Initiatives!$M$24*Initiatives!$M$25</f>
        <v>0</v>
      </c>
      <c r="E155" s="8" t="n">
        <f aca="false">E152*Initiatives!$M$24*Initiatives!$M$25</f>
        <v>0</v>
      </c>
      <c r="F155" s="8" t="n">
        <f aca="false">F152*Initiatives!$M$24*Initiatives!$M$25</f>
        <v>0</v>
      </c>
      <c r="G155" s="8" t="n">
        <f aca="false">G152*Initiatives!$M$24*Initiatives!$M$25</f>
        <v>0</v>
      </c>
      <c r="H155" s="8" t="n">
        <f aca="false">H152*Initiatives!$M$24*Initiatives!$M$25</f>
        <v>0</v>
      </c>
      <c r="I155" s="8" t="n">
        <f aca="false">I152*Initiatives!$M$24*Initiatives!$M$25</f>
        <v>0</v>
      </c>
      <c r="J155" s="8" t="n">
        <f aca="false">J152*Initiatives!$M$24*Initiatives!$M$25</f>
        <v>0</v>
      </c>
      <c r="K155" s="8" t="n">
        <f aca="false">K152*Initiatives!$M$24*Initiatives!$M$25</f>
        <v>0</v>
      </c>
      <c r="L155" s="8" t="n">
        <f aca="false">L152*Initiatives!$M$24*Initiatives!$M$25</f>
        <v>0</v>
      </c>
      <c r="M155" s="8" t="n">
        <f aca="false">M152*Initiatives!$M$24*Initiatives!$M$25</f>
        <v>0</v>
      </c>
      <c r="N155" s="8" t="n">
        <f aca="false">N152*Initiatives!$M$24*Initiatives!$M$25</f>
        <v>0</v>
      </c>
      <c r="O155" s="8" t="n">
        <f aca="false">O152*Initiatives!$M$24*Initiatives!$M$25</f>
        <v>0</v>
      </c>
      <c r="P155" s="8" t="n">
        <f aca="false">P152*Initiatives!$M$24*Initiatives!$M$25</f>
        <v>0</v>
      </c>
      <c r="Q155" s="8" t="n">
        <f aca="false">Q152*Initiatives!$M$24*Initiatives!$M$25</f>
        <v>0</v>
      </c>
      <c r="R155" s="8" t="n">
        <f aca="false">R152*Initiatives!$M$24*Initiatives!$M$25</f>
        <v>0</v>
      </c>
      <c r="S155" s="8" t="n">
        <f aca="false">S152*Initiatives!$M$24*Initiatives!$M$25</f>
        <v>0</v>
      </c>
      <c r="T155" s="8" t="n">
        <f aca="false">T152*Initiatives!$M$24*Initiatives!$M$25</f>
        <v>0</v>
      </c>
      <c r="U155" s="8" t="n">
        <f aca="false">U152*Initiatives!$M$24*Initiatives!$M$25</f>
        <v>0</v>
      </c>
      <c r="V155" s="8" t="n">
        <f aca="false">V152*Initiatives!$M$24*Initiatives!$M$25</f>
        <v>0</v>
      </c>
      <c r="W155" s="8" t="n">
        <f aca="false">W152*Initiatives!$M$24*Initiatives!$M$25</f>
        <v>0</v>
      </c>
      <c r="X155" s="8" t="n">
        <f aca="false">X152*Initiatives!$M$24*Initiatives!$M$25</f>
        <v>0</v>
      </c>
      <c r="Y155" s="8" t="n">
        <f aca="false">Y152*Initiatives!$M$24*Initiatives!$M$25</f>
        <v>0</v>
      </c>
      <c r="Z155" s="8" t="n">
        <f aca="false">Z152*Initiatives!$M$24*Initiatives!$M$25</f>
        <v>0</v>
      </c>
    </row>
    <row r="156" customFormat="false" ht="15" hidden="false" customHeight="false" outlineLevel="0" collapsed="false">
      <c r="A156" s="4" t="s">
        <v>229</v>
      </c>
      <c r="B156" s="4" t="s">
        <v>230</v>
      </c>
      <c r="C156" s="8" t="n">
        <f aca="false">IF(C$3&lt;=Initiatives!$M$46,Initiatives!$M$29/Initiatives!$M$46,0)+IF(C$3&gt;=Initiatives!$M$33,Initiatives!$M$30,0)+IF(C$3=Initiatives!$M$33,Initiatives!$M$39*Initiatives!$M$26,0)+C150*Initiatives!$M$27+C152*Initiatives!$M$28+IF(AND(Initiatives!$M$6="reprice",C$3&gt;=Initiatives!$M$33),Initiatives!$M$41*Initiatives!$M$21*(1-Inputs!$C$9)^(C$3-Initiatives!$M$33)-Initiatives!$M$31,0)</f>
        <v>545454545.454546</v>
      </c>
      <c r="D156" s="8" t="n">
        <f aca="false">IF(D$3&lt;=Initiatives!$M$46,Initiatives!$M$29/Initiatives!$M$46,0)+IF(D$3&gt;=Initiatives!$M$33,Initiatives!$M$30,0)+IF(D$3=Initiatives!$M$33,Initiatives!$M$39*Initiatives!$M$26,0)+D150*Initiatives!$M$27+D152*Initiatives!$M$28+IF(AND(Initiatives!$M$6="reprice",D$3&gt;=Initiatives!$M$33),Initiatives!$M$41*Initiatives!$M$21*(1-Inputs!$C$9)^(D$3-Initiatives!$M$33)-Initiatives!$M$31,0)</f>
        <v>545454545.454546</v>
      </c>
      <c r="E156" s="8" t="n">
        <f aca="false">IF(E$3&lt;=Initiatives!$M$46,Initiatives!$M$29/Initiatives!$M$46,0)+IF(E$3&gt;=Initiatives!$M$33,Initiatives!$M$30,0)+IF(E$3=Initiatives!$M$33,Initiatives!$M$39*Initiatives!$M$26,0)+E150*Initiatives!$M$27+E152*Initiatives!$M$28+IF(AND(Initiatives!$M$6="reprice",E$3&gt;=Initiatives!$M$33),Initiatives!$M$41*Initiatives!$M$21*(1-Inputs!$C$9)^(E$3-Initiatives!$M$33)-Initiatives!$M$31,0)</f>
        <v>545454545.454546</v>
      </c>
      <c r="F156" s="8" t="n">
        <f aca="false">IF(F$3&lt;=Initiatives!$M$46,Initiatives!$M$29/Initiatives!$M$46,0)+IF(F$3&gt;=Initiatives!$M$33,Initiatives!$M$30,0)+IF(F$3=Initiatives!$M$33,Initiatives!$M$39*Initiatives!$M$26,0)+F150*Initiatives!$M$27+F152*Initiatives!$M$28+IF(AND(Initiatives!$M$6="reprice",F$3&gt;=Initiatives!$M$33),Initiatives!$M$41*Initiatives!$M$21*(1-Inputs!$C$9)^(F$3-Initiatives!$M$33)-Initiatives!$M$31,0)</f>
        <v>545454545.454546</v>
      </c>
      <c r="G156" s="8" t="n">
        <f aca="false">IF(G$3&lt;=Initiatives!$M$46,Initiatives!$M$29/Initiatives!$M$46,0)+IF(G$3&gt;=Initiatives!$M$33,Initiatives!$M$30,0)+IF(G$3=Initiatives!$M$33,Initiatives!$M$39*Initiatives!$M$26,0)+G150*Initiatives!$M$27+G152*Initiatives!$M$28+IF(AND(Initiatives!$M$6="reprice",G$3&gt;=Initiatives!$M$33),Initiatives!$M$41*Initiatives!$M$21*(1-Inputs!$C$9)^(G$3-Initiatives!$M$33)-Initiatives!$M$31,0)</f>
        <v>545454545.454546</v>
      </c>
      <c r="H156" s="8" t="n">
        <f aca="false">IF(H$3&lt;=Initiatives!$M$46,Initiatives!$M$29/Initiatives!$M$46,0)+IF(H$3&gt;=Initiatives!$M$33,Initiatives!$M$30,0)+IF(H$3=Initiatives!$M$33,Initiatives!$M$39*Initiatives!$M$26,0)+H150*Initiatives!$M$27+H152*Initiatives!$M$28+IF(AND(Initiatives!$M$6="reprice",H$3&gt;=Initiatives!$M$33),Initiatives!$M$41*Initiatives!$M$21*(1-Inputs!$C$9)^(H$3-Initiatives!$M$33)-Initiatives!$M$31,0)</f>
        <v>545454545.454546</v>
      </c>
      <c r="I156" s="8" t="n">
        <f aca="false">IF(I$3&lt;=Initiatives!$M$46,Initiatives!$M$29/Initiatives!$M$46,0)+IF(I$3&gt;=Initiatives!$M$33,Initiatives!$M$30,0)+IF(I$3=Initiatives!$M$33,Initiatives!$M$39*Initiatives!$M$26,0)+I150*Initiatives!$M$27+I152*Initiatives!$M$28+IF(AND(Initiatives!$M$6="reprice",I$3&gt;=Initiatives!$M$33),Initiatives!$M$41*Initiatives!$M$21*(1-Inputs!$C$9)^(I$3-Initiatives!$M$33)-Initiatives!$M$31,0)</f>
        <v>545454545.454546</v>
      </c>
      <c r="J156" s="8" t="n">
        <f aca="false">IF(J$3&lt;=Initiatives!$M$46,Initiatives!$M$29/Initiatives!$M$46,0)+IF(J$3&gt;=Initiatives!$M$33,Initiatives!$M$30,0)+IF(J$3=Initiatives!$M$33,Initiatives!$M$39*Initiatives!$M$26,0)+J150*Initiatives!$M$27+J152*Initiatives!$M$28+IF(AND(Initiatives!$M$6="reprice",J$3&gt;=Initiatives!$M$33),Initiatives!$M$41*Initiatives!$M$21*(1-Inputs!$C$9)^(J$3-Initiatives!$M$33)-Initiatives!$M$31,0)</f>
        <v>545454545.454546</v>
      </c>
      <c r="K156" s="8" t="n">
        <f aca="false">IF(K$3&lt;=Initiatives!$M$46,Initiatives!$M$29/Initiatives!$M$46,0)+IF(K$3&gt;=Initiatives!$M$33,Initiatives!$M$30,0)+IF(K$3=Initiatives!$M$33,Initiatives!$M$39*Initiatives!$M$26,0)+K150*Initiatives!$M$27+K152*Initiatives!$M$28+IF(AND(Initiatives!$M$6="reprice",K$3&gt;=Initiatives!$M$33),Initiatives!$M$41*Initiatives!$M$21*(1-Inputs!$C$9)^(K$3-Initiatives!$M$33)-Initiatives!$M$31,0)</f>
        <v>545454545.454546</v>
      </c>
      <c r="L156" s="8" t="n">
        <f aca="false">IF(L$3&lt;=Initiatives!$M$46,Initiatives!$M$29/Initiatives!$M$46,0)+IF(L$3&gt;=Initiatives!$M$33,Initiatives!$M$30,0)+IF(L$3=Initiatives!$M$33,Initiatives!$M$39*Initiatives!$M$26,0)+L150*Initiatives!$M$27+L152*Initiatives!$M$28+IF(AND(Initiatives!$M$6="reprice",L$3&gt;=Initiatives!$M$33),Initiatives!$M$41*Initiatives!$M$21*(1-Inputs!$C$9)^(L$3-Initiatives!$M$33)-Initiatives!$M$31,0)</f>
        <v>545454545.454546</v>
      </c>
      <c r="M156" s="8" t="n">
        <f aca="false">IF(M$3&lt;=Initiatives!$M$46,Initiatives!$M$29/Initiatives!$M$46,0)+IF(M$3&gt;=Initiatives!$M$33,Initiatives!$M$30,0)+IF(M$3=Initiatives!$M$33,Initiatives!$M$39*Initiatives!$M$26,0)+M150*Initiatives!$M$27+M152*Initiatives!$M$28+IF(AND(Initiatives!$M$6="reprice",M$3&gt;=Initiatives!$M$33),Initiatives!$M$41*Initiatives!$M$21*(1-Inputs!$C$9)^(M$3-Initiatives!$M$33)-Initiatives!$M$31,0)</f>
        <v>545454545.454546</v>
      </c>
      <c r="N156" s="8" t="n">
        <f aca="false">IF(N$3&lt;=Initiatives!$M$46,Initiatives!$M$29/Initiatives!$M$46,0)+IF(N$3&gt;=Initiatives!$M$33,Initiatives!$M$30,0)+IF(N$3=Initiatives!$M$33,Initiatives!$M$39*Initiatives!$M$26,0)+N150*Initiatives!$M$27+N152*Initiatives!$M$28+IF(AND(Initiatives!$M$6="reprice",N$3&gt;=Initiatives!$M$33),Initiatives!$M$41*Initiatives!$M$21*(1-Inputs!$C$9)^(N$3-Initiatives!$M$33)-Initiatives!$M$31,0)</f>
        <v>504400000</v>
      </c>
      <c r="O156" s="8" t="n">
        <f aca="false">IF(O$3&lt;=Initiatives!$M$46,Initiatives!$M$29/Initiatives!$M$46,0)+IF(O$3&gt;=Initiatives!$M$33,Initiatives!$M$30,0)+IF(O$3=Initiatives!$M$33,Initiatives!$M$39*Initiatives!$M$26,0)+O150*Initiatives!$M$27+O152*Initiatives!$M$28+IF(AND(Initiatives!$M$6="reprice",O$3&gt;=Initiatives!$M$33),Initiatives!$M$41*Initiatives!$M$21*(1-Inputs!$C$9)^(O$3-Initiatives!$M$33)-Initiatives!$M$31,0)</f>
        <v>322724000</v>
      </c>
      <c r="P156" s="8" t="n">
        <f aca="false">IF(P$3&lt;=Initiatives!$M$46,Initiatives!$M$29/Initiatives!$M$46,0)+IF(P$3&gt;=Initiatives!$M$33,Initiatives!$M$30,0)+IF(P$3=Initiatives!$M$33,Initiatives!$M$39*Initiatives!$M$26,0)+P150*Initiatives!$M$27+P152*Initiatives!$M$28+IF(AND(Initiatives!$M$6="reprice",P$3&gt;=Initiatives!$M$33),Initiatives!$M$41*Initiatives!$M$21*(1-Inputs!$C$9)^(P$3-Initiatives!$M$33)-Initiatives!$M$31,0)</f>
        <v>317133140</v>
      </c>
      <c r="Q156" s="8" t="n">
        <f aca="false">IF(Q$3&lt;=Initiatives!$M$46,Initiatives!$M$29/Initiatives!$M$46,0)+IF(Q$3&gt;=Initiatives!$M$33,Initiatives!$M$30,0)+IF(Q$3=Initiatives!$M$33,Initiatives!$M$39*Initiatives!$M$26,0)+Q150*Initiatives!$M$27+Q152*Initiatives!$M$28+IF(AND(Initiatives!$M$6="reprice",Q$3&gt;=Initiatives!$M$33),Initiatives!$M$41*Initiatives!$M$21*(1-Inputs!$C$9)^(Q$3-Initiatives!$M$33)-Initiatives!$M$31,0)</f>
        <v>311626142.9</v>
      </c>
      <c r="R156" s="8" t="n">
        <f aca="false">IF(R$3&lt;=Initiatives!$M$46,Initiatives!$M$29/Initiatives!$M$46,0)+IF(R$3&gt;=Initiatives!$M$33,Initiatives!$M$30,0)+IF(R$3=Initiatives!$M$33,Initiatives!$M$39*Initiatives!$M$26,0)+R150*Initiatives!$M$27+R152*Initiatives!$M$28+IF(AND(Initiatives!$M$6="reprice",R$3&gt;=Initiatives!$M$33),Initiatives!$M$41*Initiatives!$M$21*(1-Inputs!$C$9)^(R$3-Initiatives!$M$33)-Initiatives!$M$31,0)</f>
        <v>306201750.7565</v>
      </c>
      <c r="S156" s="8" t="n">
        <f aca="false">IF(S$3&lt;=Initiatives!$M$46,Initiatives!$M$29/Initiatives!$M$46,0)+IF(S$3&gt;=Initiatives!$M$33,Initiatives!$M$30,0)+IF(S$3=Initiatives!$M$33,Initiatives!$M$39*Initiatives!$M$26,0)+S150*Initiatives!$M$27+S152*Initiatives!$M$28+IF(AND(Initiatives!$M$6="reprice",S$3&gt;=Initiatives!$M$33),Initiatives!$M$41*Initiatives!$M$21*(1-Inputs!$C$9)^(S$3-Initiatives!$M$33)-Initiatives!$M$31,0)</f>
        <v>300858724.495153</v>
      </c>
      <c r="T156" s="8" t="n">
        <f aca="false">IF(T$3&lt;=Initiatives!$M$46,Initiatives!$M$29/Initiatives!$M$46,0)+IF(T$3&gt;=Initiatives!$M$33,Initiatives!$M$30,0)+IF(T$3=Initiatives!$M$33,Initiatives!$M$39*Initiatives!$M$26,0)+T150*Initiatives!$M$27+T152*Initiatives!$M$28+IF(AND(Initiatives!$M$6="reprice",T$3&gt;=Initiatives!$M$33),Initiatives!$M$41*Initiatives!$M$21*(1-Inputs!$C$9)^(T$3-Initiatives!$M$33)-Initiatives!$M$31,0)</f>
        <v>295595843.627725</v>
      </c>
      <c r="U156" s="8" t="n">
        <f aca="false">IF(U$3&lt;=Initiatives!$M$46,Initiatives!$M$29/Initiatives!$M$46,0)+IF(U$3&gt;=Initiatives!$M$33,Initiatives!$M$30,0)+IF(U$3=Initiatives!$M$33,Initiatives!$M$39*Initiatives!$M$26,0)+U150*Initiatives!$M$27+U152*Initiatives!$M$28+IF(AND(Initiatives!$M$6="reprice",U$3&gt;=Initiatives!$M$33),Initiatives!$M$41*Initiatives!$M$21*(1-Inputs!$C$9)^(U$3-Initiatives!$M$33)-Initiatives!$M$31,0)</f>
        <v>290411905.973309</v>
      </c>
      <c r="V156" s="8" t="n">
        <f aca="false">IF(V$3&lt;=Initiatives!$M$46,Initiatives!$M$29/Initiatives!$M$46,0)+IF(V$3&gt;=Initiatives!$M$33,Initiatives!$M$30,0)+IF(V$3=Initiatives!$M$33,Initiatives!$M$39*Initiatives!$M$26,0)+V150*Initiatives!$M$27+V152*Initiatives!$M$28+IF(AND(Initiatives!$M$6="reprice",V$3&gt;=Initiatives!$M$33),Initiatives!$M$41*Initiatives!$M$21*(1-Inputs!$C$9)^(V$3-Initiatives!$M$33)-Initiatives!$M$31,0)</f>
        <v>285305727.38371</v>
      </c>
      <c r="W156" s="8" t="n">
        <f aca="false">IF(W$3&lt;=Initiatives!$M$46,Initiatives!$M$29/Initiatives!$M$46,0)+IF(W$3&gt;=Initiatives!$M$33,Initiatives!$M$30,0)+IF(W$3=Initiatives!$M$33,Initiatives!$M$39*Initiatives!$M$26,0)+W150*Initiatives!$M$27+W152*Initiatives!$M$28+IF(AND(Initiatives!$M$6="reprice",W$3&gt;=Initiatives!$M$33),Initiatives!$M$41*Initiatives!$M$21*(1-Inputs!$C$9)^(W$3-Initiatives!$M$33)-Initiatives!$M$31,0)</f>
        <v>280276141.472954</v>
      </c>
      <c r="X156" s="8" t="n">
        <f aca="false">IF(X$3&lt;=Initiatives!$M$46,Initiatives!$M$29/Initiatives!$M$46,0)+IF(X$3&gt;=Initiatives!$M$33,Initiatives!$M$30,0)+IF(X$3=Initiatives!$M$33,Initiatives!$M$39*Initiatives!$M$26,0)+X150*Initiatives!$M$27+X152*Initiatives!$M$28+IF(AND(Initiatives!$M$6="reprice",X$3&gt;=Initiatives!$M$33),Initiatives!$M$41*Initiatives!$M$21*(1-Inputs!$C$9)^(X$3-Initiatives!$M$33)-Initiatives!$M$31,0)</f>
        <v>275321999.35086</v>
      </c>
      <c r="Y156" s="8" t="n">
        <f aca="false">IF(Y$3&lt;=Initiatives!$M$46,Initiatives!$M$29/Initiatives!$M$46,0)+IF(Y$3&gt;=Initiatives!$M$33,Initiatives!$M$30,0)+IF(Y$3=Initiatives!$M$33,Initiatives!$M$39*Initiatives!$M$26,0)+Y150*Initiatives!$M$27+Y152*Initiatives!$M$28+IF(AND(Initiatives!$M$6="reprice",Y$3&gt;=Initiatives!$M$33),Initiatives!$M$41*Initiatives!$M$21*(1-Inputs!$C$9)^(Y$3-Initiatives!$M$33)-Initiatives!$M$31,0)</f>
        <v>270442169.360597</v>
      </c>
      <c r="Z156" s="8" t="n">
        <f aca="false">IF(Z$3&lt;=Initiatives!$M$46,Initiatives!$M$29/Initiatives!$M$46,0)+IF(Z$3&gt;=Initiatives!$M$33,Initiatives!$M$30,0)+IF(Z$3=Initiatives!$M$33,Initiatives!$M$39*Initiatives!$M$26,0)+Z150*Initiatives!$M$27+Z152*Initiatives!$M$28+IF(AND(Initiatives!$M$6="reprice",Z$3&gt;=Initiatives!$M$33),Initiatives!$M$41*Initiatives!$M$21*(1-Inputs!$C$9)^(Z$3-Initiatives!$M$33)-Initiatives!$M$31,0)</f>
        <v>265635536.820188</v>
      </c>
    </row>
    <row r="157" customFormat="false" ht="15" hidden="false" customHeight="false" outlineLevel="0" collapsed="false">
      <c r="A157" s="4" t="s">
        <v>231</v>
      </c>
      <c r="B157" s="4" t="s">
        <v>232</v>
      </c>
      <c r="C157" s="8" t="n">
        <f aca="false">(C154+C155)*Initiatives!$M$32-C156</f>
        <v>-545454545.454546</v>
      </c>
      <c r="D157" s="8" t="n">
        <f aca="false">(D154+D155)*Initiatives!$M$32-D156</f>
        <v>-545454545.454546</v>
      </c>
      <c r="E157" s="8" t="n">
        <f aca="false">(E154+E155)*Initiatives!$M$32-E156</f>
        <v>-545454545.454546</v>
      </c>
      <c r="F157" s="8" t="n">
        <f aca="false">(F154+F155)*Initiatives!$M$32-F156</f>
        <v>-545454545.454546</v>
      </c>
      <c r="G157" s="8" t="n">
        <f aca="false">(G154+G155)*Initiatives!$M$32-G156</f>
        <v>-545454545.454546</v>
      </c>
      <c r="H157" s="8" t="n">
        <f aca="false">(H154+H155)*Initiatives!$M$32-H156</f>
        <v>-545454545.454546</v>
      </c>
      <c r="I157" s="8" t="n">
        <f aca="false">(I154+I155)*Initiatives!$M$32-I156</f>
        <v>-545454545.454546</v>
      </c>
      <c r="J157" s="8" t="n">
        <f aca="false">(J154+J155)*Initiatives!$M$32-J156</f>
        <v>-545454545.454546</v>
      </c>
      <c r="K157" s="8" t="n">
        <f aca="false">(K154+K155)*Initiatives!$M$32-K156</f>
        <v>-545454545.454546</v>
      </c>
      <c r="L157" s="8" t="n">
        <f aca="false">(L154+L155)*Initiatives!$M$32-L156</f>
        <v>-545454545.454546</v>
      </c>
      <c r="M157" s="8" t="n">
        <f aca="false">(M154+M155)*Initiatives!$M$32-M156</f>
        <v>-545454545.454546</v>
      </c>
      <c r="N157" s="8" t="n">
        <f aca="false">(N154+N155)*Initiatives!$M$32-N156</f>
        <v>3447742857.14286</v>
      </c>
      <c r="O157" s="8" t="n">
        <f aca="false">(O154+O155)*Initiatives!$M$32-O156</f>
        <v>3306136714.28571</v>
      </c>
      <c r="P157" s="8" t="n">
        <f aca="false">(P154+P155)*Initiatives!$M$32-P156</f>
        <v>3257294663.57143</v>
      </c>
      <c r="Q157" s="8" t="n">
        <f aca="false">(Q154+Q155)*Initiatives!$M$32-Q156</f>
        <v>3209185243.61786</v>
      </c>
      <c r="R157" s="8" t="n">
        <f aca="false">(R154+R155)*Initiatives!$M$32-R156</f>
        <v>3161797464.96359</v>
      </c>
      <c r="S157" s="8" t="n">
        <f aca="false">(S154+S155)*Initiatives!$M$32-S156</f>
        <v>3115120502.98914</v>
      </c>
      <c r="T157" s="8" t="n">
        <f aca="false">(T154+T155)*Initiatives!$M$32-T156</f>
        <v>3069143695.4443</v>
      </c>
      <c r="U157" s="8" t="n">
        <f aca="false">(U154+U155)*Initiatives!$M$32-U156</f>
        <v>3023856540.01263</v>
      </c>
      <c r="V157" s="8" t="n">
        <f aca="false">(V154+V155)*Initiatives!$M$32-V156</f>
        <v>2979248691.91244</v>
      </c>
      <c r="W157" s="8" t="n">
        <f aca="false">(W154+W155)*Initiatives!$M$32-W156</f>
        <v>2935309961.53376</v>
      </c>
      <c r="X157" s="8" t="n">
        <f aca="false">(X154+X155)*Initiatives!$M$32-X156</f>
        <v>2892030312.11075</v>
      </c>
      <c r="Y157" s="8" t="n">
        <f aca="false">(Y154+Y155)*Initiatives!$M$32-Y156</f>
        <v>2849399857.42909</v>
      </c>
      <c r="Z157" s="8" t="n">
        <f aca="false">(Z154+Z155)*Initiatives!$M$32-Z156</f>
        <v>2807408859.56765</v>
      </c>
    </row>
    <row r="158" customFormat="false" ht="15" hidden="false" customHeight="false" outlineLevel="0" collapsed="false">
      <c r="A158" s="4" t="s">
        <v>233</v>
      </c>
      <c r="B158" s="4" t="s">
        <v>234</v>
      </c>
      <c r="C158" s="8" t="n">
        <f aca="false">C151-C153</f>
        <v>0</v>
      </c>
      <c r="D158" s="8" t="n">
        <f aca="false">D151-D153</f>
        <v>0</v>
      </c>
      <c r="E158" s="8" t="n">
        <f aca="false">E151-E153</f>
        <v>0</v>
      </c>
      <c r="F158" s="8" t="n">
        <f aca="false">F151-F153</f>
        <v>0</v>
      </c>
      <c r="G158" s="8" t="n">
        <f aca="false">G151-G153</f>
        <v>0</v>
      </c>
      <c r="H158" s="8" t="n">
        <f aca="false">H151-H153</f>
        <v>0</v>
      </c>
      <c r="I158" s="8" t="n">
        <f aca="false">I151-I153</f>
        <v>0</v>
      </c>
      <c r="J158" s="8" t="n">
        <f aca="false">J151-J153</f>
        <v>0</v>
      </c>
      <c r="K158" s="8" t="n">
        <f aca="false">K151-K153</f>
        <v>0</v>
      </c>
      <c r="L158" s="8" t="n">
        <f aca="false">L151-L153</f>
        <v>0</v>
      </c>
      <c r="M158" s="8" t="n">
        <f aca="false">M151-M153</f>
        <v>0</v>
      </c>
      <c r="N158" s="8" t="n">
        <f aca="false">N151-N153</f>
        <v>-17600</v>
      </c>
      <c r="O158" s="8" t="n">
        <f aca="false">O151-O153</f>
        <v>-34936</v>
      </c>
      <c r="P158" s="8" t="n">
        <f aca="false">P151-P153</f>
        <v>-34411.96</v>
      </c>
      <c r="Q158" s="8" t="n">
        <f aca="false">Q151-Q153</f>
        <v>-33895.7806</v>
      </c>
      <c r="R158" s="8" t="n">
        <f aca="false">R151-R153</f>
        <v>-33387.343891</v>
      </c>
      <c r="S158" s="8" t="n">
        <f aca="false">S151-S153</f>
        <v>-32886.533732635</v>
      </c>
      <c r="T158" s="8" t="n">
        <f aca="false">T151-T153</f>
        <v>-32393.2357266455</v>
      </c>
      <c r="U158" s="8" t="n">
        <f aca="false">U151-U153</f>
        <v>-31907.3371907458</v>
      </c>
      <c r="V158" s="8" t="n">
        <f aca="false">V151-V153</f>
        <v>-31428.7271328846</v>
      </c>
      <c r="W158" s="8" t="n">
        <f aca="false">W151-W153</f>
        <v>-30957.2962258913</v>
      </c>
      <c r="X158" s="8" t="n">
        <f aca="false">X151-X153</f>
        <v>-30492.936782503</v>
      </c>
      <c r="Y158" s="8" t="n">
        <f aca="false">Y151-Y153</f>
        <v>-30035.5427307654</v>
      </c>
      <c r="Z158" s="8" t="n">
        <f aca="false">Z151-Z153</f>
        <v>-29585.0095898039</v>
      </c>
    </row>
    <row r="159" customFormat="false" ht="15" hidden="false" customHeight="false" outlineLevel="0" collapsed="false">
      <c r="A159" s="4" t="s">
        <v>235</v>
      </c>
      <c r="B159" s="4" t="s">
        <v>236</v>
      </c>
      <c r="C159" s="8" t="n">
        <f aca="false">C152*Initiatives!$M$24</f>
        <v>0</v>
      </c>
      <c r="D159" s="8" t="n">
        <f aca="false">D152*Initiatives!$M$24</f>
        <v>0</v>
      </c>
      <c r="E159" s="8" t="n">
        <f aca="false">E152*Initiatives!$M$24</f>
        <v>0</v>
      </c>
      <c r="F159" s="8" t="n">
        <f aca="false">F152*Initiatives!$M$24</f>
        <v>0</v>
      </c>
      <c r="G159" s="8" t="n">
        <f aca="false">G152*Initiatives!$M$24</f>
        <v>0</v>
      </c>
      <c r="H159" s="8" t="n">
        <f aca="false">H152*Initiatives!$M$24</f>
        <v>0</v>
      </c>
      <c r="I159" s="8" t="n">
        <f aca="false">I152*Initiatives!$M$24</f>
        <v>0</v>
      </c>
      <c r="J159" s="8" t="n">
        <f aca="false">J152*Initiatives!$M$24</f>
        <v>0</v>
      </c>
      <c r="K159" s="8" t="n">
        <f aca="false">K152*Initiatives!$M$24</f>
        <v>0</v>
      </c>
      <c r="L159" s="8" t="n">
        <f aca="false">L152*Initiatives!$M$24</f>
        <v>0</v>
      </c>
      <c r="M159" s="8" t="n">
        <f aca="false">M152*Initiatives!$M$24</f>
        <v>0</v>
      </c>
      <c r="N159" s="8" t="n">
        <f aca="false">N152*Initiatives!$M$24</f>
        <v>0</v>
      </c>
      <c r="O159" s="8" t="n">
        <f aca="false">O152*Initiatives!$M$24</f>
        <v>0</v>
      </c>
      <c r="P159" s="8" t="n">
        <f aca="false">P152*Initiatives!$M$24</f>
        <v>0</v>
      </c>
      <c r="Q159" s="8" t="n">
        <f aca="false">Q152*Initiatives!$M$24</f>
        <v>0</v>
      </c>
      <c r="R159" s="8" t="n">
        <f aca="false">R152*Initiatives!$M$24</f>
        <v>0</v>
      </c>
      <c r="S159" s="8" t="n">
        <f aca="false">S152*Initiatives!$M$24</f>
        <v>0</v>
      </c>
      <c r="T159" s="8" t="n">
        <f aca="false">T152*Initiatives!$M$24</f>
        <v>0</v>
      </c>
      <c r="U159" s="8" t="n">
        <f aca="false">U152*Initiatives!$M$24</f>
        <v>0</v>
      </c>
      <c r="V159" s="8" t="n">
        <f aca="false">V152*Initiatives!$M$24</f>
        <v>0</v>
      </c>
      <c r="W159" s="8" t="n">
        <f aca="false">W152*Initiatives!$M$24</f>
        <v>0</v>
      </c>
      <c r="X159" s="8" t="n">
        <f aca="false">X152*Initiatives!$M$24</f>
        <v>0</v>
      </c>
      <c r="Y159" s="8" t="n">
        <f aca="false">Y152*Initiatives!$M$24</f>
        <v>0</v>
      </c>
      <c r="Z159" s="8" t="n">
        <f aca="false">Z152*Initiatives!$M$24</f>
        <v>0</v>
      </c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" hidden="false" customHeight="false" outlineLevel="0" collapsed="false">
      <c r="A161" s="17" t="s">
        <v>247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customFormat="false" ht="15" hidden="false" customHeight="false" outlineLevel="0" collapsed="false">
      <c r="A162" s="4" t="s">
        <v>213</v>
      </c>
      <c r="B162" s="4" t="s">
        <v>214</v>
      </c>
      <c r="C162" s="24" t="n">
        <f aca="false">IF(C$3&lt;Initiatives!$N$33,0,MIN((C$3-Initiatives!$N$33+1)/Initiatives!$N$34,1))</f>
        <v>0</v>
      </c>
      <c r="D162" s="24" t="n">
        <f aca="false">IF(D$3&lt;Initiatives!$N$33,0,MIN((D$3-Initiatives!$N$33+1)/Initiatives!$N$34,1))</f>
        <v>0</v>
      </c>
      <c r="E162" s="24" t="n">
        <f aca="false">IF(E$3&lt;Initiatives!$N$33,0,MIN((E$3-Initiatives!$N$33+1)/Initiatives!$N$34,1))</f>
        <v>0</v>
      </c>
      <c r="F162" s="24" t="n">
        <f aca="false">IF(F$3&lt;Initiatives!$N$33,0,MIN((F$3-Initiatives!$N$33+1)/Initiatives!$N$34,1))</f>
        <v>0</v>
      </c>
      <c r="G162" s="24" t="n">
        <f aca="false">IF(G$3&lt;Initiatives!$N$33,0,MIN((G$3-Initiatives!$N$33+1)/Initiatives!$N$34,1))</f>
        <v>0</v>
      </c>
      <c r="H162" s="24" t="n">
        <f aca="false">IF(H$3&lt;Initiatives!$N$33,0,MIN((H$3-Initiatives!$N$33+1)/Initiatives!$N$34,1))</f>
        <v>0</v>
      </c>
      <c r="I162" s="24" t="n">
        <f aca="false">IF(I$3&lt;Initiatives!$N$33,0,MIN((I$3-Initiatives!$N$33+1)/Initiatives!$N$34,1))</f>
        <v>0.166666666666667</v>
      </c>
      <c r="J162" s="24" t="n">
        <f aca="false">IF(J$3&lt;Initiatives!$N$33,0,MIN((J$3-Initiatives!$N$33+1)/Initiatives!$N$34,1))</f>
        <v>0.333333333333333</v>
      </c>
      <c r="K162" s="24" t="n">
        <f aca="false">IF(K$3&lt;Initiatives!$N$33,0,MIN((K$3-Initiatives!$N$33+1)/Initiatives!$N$34,1))</f>
        <v>0.5</v>
      </c>
      <c r="L162" s="24" t="n">
        <f aca="false">IF(L$3&lt;Initiatives!$N$33,0,MIN((L$3-Initiatives!$N$33+1)/Initiatives!$N$34,1))</f>
        <v>0.666666666666667</v>
      </c>
      <c r="M162" s="24" t="n">
        <f aca="false">IF(M$3&lt;Initiatives!$N$33,0,MIN((M$3-Initiatives!$N$33+1)/Initiatives!$N$34,1))</f>
        <v>0.833333333333333</v>
      </c>
      <c r="N162" s="24" t="n">
        <f aca="false">IF(N$3&lt;Initiatives!$N$33,0,MIN((N$3-Initiatives!$N$33+1)/Initiatives!$N$34,1))</f>
        <v>1</v>
      </c>
      <c r="O162" s="24" t="n">
        <f aca="false">IF(O$3&lt;Initiatives!$N$33,0,MIN((O$3-Initiatives!$N$33+1)/Initiatives!$N$34,1))</f>
        <v>1</v>
      </c>
      <c r="P162" s="24" t="n">
        <f aca="false">IF(P$3&lt;Initiatives!$N$33,0,MIN((P$3-Initiatives!$N$33+1)/Initiatives!$N$34,1))</f>
        <v>1</v>
      </c>
      <c r="Q162" s="24" t="n">
        <f aca="false">IF(Q$3&lt;Initiatives!$N$33,0,MIN((Q$3-Initiatives!$N$33+1)/Initiatives!$N$34,1))</f>
        <v>1</v>
      </c>
      <c r="R162" s="24" t="n">
        <f aca="false">IF(R$3&lt;Initiatives!$N$33,0,MIN((R$3-Initiatives!$N$33+1)/Initiatives!$N$34,1))</f>
        <v>1</v>
      </c>
      <c r="S162" s="24" t="n">
        <f aca="false">IF(S$3&lt;Initiatives!$N$33,0,MIN((S$3-Initiatives!$N$33+1)/Initiatives!$N$34,1))</f>
        <v>1</v>
      </c>
      <c r="T162" s="24" t="n">
        <f aca="false">IF(T$3&lt;Initiatives!$N$33,0,MIN((T$3-Initiatives!$N$33+1)/Initiatives!$N$34,1))</f>
        <v>1</v>
      </c>
      <c r="U162" s="24" t="n">
        <f aca="false">IF(U$3&lt;Initiatives!$N$33,0,MIN((U$3-Initiatives!$N$33+1)/Initiatives!$N$34,1))</f>
        <v>1</v>
      </c>
      <c r="V162" s="24" t="n">
        <f aca="false">IF(V$3&lt;Initiatives!$N$33,0,MIN((V$3-Initiatives!$N$33+1)/Initiatives!$N$34,1))</f>
        <v>1</v>
      </c>
      <c r="W162" s="24" t="n">
        <f aca="false">IF(W$3&lt;Initiatives!$N$33,0,MIN((W$3-Initiatives!$N$33+1)/Initiatives!$N$34,1))</f>
        <v>1</v>
      </c>
      <c r="X162" s="24" t="n">
        <f aca="false">IF(X$3&lt;Initiatives!$N$33,0,MIN((X$3-Initiatives!$N$33+1)/Initiatives!$N$34,1))</f>
        <v>1</v>
      </c>
      <c r="Y162" s="24" t="n">
        <f aca="false">IF(Y$3&lt;Initiatives!$N$33,0,MIN((Y$3-Initiatives!$N$33+1)/Initiatives!$N$34,1))</f>
        <v>1</v>
      </c>
      <c r="Z162" s="24" t="n">
        <f aca="false">IF(Z$3&lt;Initiatives!$N$33,0,MIN((Z$3-Initiatives!$N$33+1)/Initiatives!$N$34,1))</f>
        <v>1</v>
      </c>
    </row>
    <row r="163" customFormat="false" ht="15" hidden="false" customHeight="false" outlineLevel="0" collapsed="false">
      <c r="A163" s="4" t="s">
        <v>215</v>
      </c>
      <c r="B163" s="4" t="s">
        <v>216</v>
      </c>
      <c r="C163" s="8" t="n">
        <f aca="false">Initiatives!$N$40*C162</f>
        <v>0</v>
      </c>
      <c r="D163" s="8" t="n">
        <f aca="false">Initiatives!$N$40*D162</f>
        <v>0</v>
      </c>
      <c r="E163" s="8" t="n">
        <f aca="false">Initiatives!$N$40*E162</f>
        <v>0</v>
      </c>
      <c r="F163" s="8" t="n">
        <f aca="false">Initiatives!$N$40*F162</f>
        <v>0</v>
      </c>
      <c r="G163" s="8" t="n">
        <f aca="false">Initiatives!$N$40*G162</f>
        <v>0</v>
      </c>
      <c r="H163" s="8" t="n">
        <f aca="false">Initiatives!$N$40*H162</f>
        <v>0</v>
      </c>
      <c r="I163" s="8" t="n">
        <f aca="false">Initiatives!$N$40*I162</f>
        <v>1067.73333333333</v>
      </c>
      <c r="J163" s="8" t="n">
        <f aca="false">Initiatives!$N$40*J162</f>
        <v>2135.46666666667</v>
      </c>
      <c r="K163" s="8" t="n">
        <f aca="false">Initiatives!$N$40*K162</f>
        <v>3203.2</v>
      </c>
      <c r="L163" s="8" t="n">
        <f aca="false">Initiatives!$N$40*L162</f>
        <v>4270.93333333333</v>
      </c>
      <c r="M163" s="8" t="n">
        <f aca="false">Initiatives!$N$40*M162</f>
        <v>5338.66666666667</v>
      </c>
      <c r="N163" s="8" t="n">
        <f aca="false">Initiatives!$N$40*N162</f>
        <v>6406.4</v>
      </c>
      <c r="O163" s="8" t="n">
        <f aca="false">Initiatives!$N$40*O162</f>
        <v>6406.4</v>
      </c>
      <c r="P163" s="8" t="n">
        <f aca="false">Initiatives!$N$40*P162</f>
        <v>6406.4</v>
      </c>
      <c r="Q163" s="8" t="n">
        <f aca="false">Initiatives!$N$40*Q162</f>
        <v>6406.4</v>
      </c>
      <c r="R163" s="8" t="n">
        <f aca="false">Initiatives!$N$40*R162</f>
        <v>6406.4</v>
      </c>
      <c r="S163" s="8" t="n">
        <f aca="false">Initiatives!$N$40*S162</f>
        <v>6406.4</v>
      </c>
      <c r="T163" s="8" t="n">
        <f aca="false">Initiatives!$N$40*T162</f>
        <v>6406.4</v>
      </c>
      <c r="U163" s="8" t="n">
        <f aca="false">Initiatives!$N$40*U162</f>
        <v>6406.4</v>
      </c>
      <c r="V163" s="8" t="n">
        <f aca="false">Initiatives!$N$40*V162</f>
        <v>6406.4</v>
      </c>
      <c r="W163" s="8" t="n">
        <f aca="false">Initiatives!$N$40*W162</f>
        <v>6406.4</v>
      </c>
      <c r="X163" s="8" t="n">
        <f aca="false">Initiatives!$N$40*X162</f>
        <v>6406.4</v>
      </c>
      <c r="Y163" s="8" t="n">
        <f aca="false">Initiatives!$N$40*Y162</f>
        <v>6406.4</v>
      </c>
      <c r="Z163" s="8" t="n">
        <f aca="false">Initiatives!$N$40*Z162</f>
        <v>6406.4</v>
      </c>
    </row>
    <row r="164" customFormat="false" ht="15" hidden="false" customHeight="false" outlineLevel="0" collapsed="false">
      <c r="A164" s="4" t="s">
        <v>217</v>
      </c>
      <c r="B164" s="4" t="s">
        <v>218</v>
      </c>
      <c r="C164" s="8" t="n">
        <f aca="false">MAX(C163-N(B163),0)</f>
        <v>0</v>
      </c>
      <c r="D164" s="8" t="n">
        <f aca="false">MAX(D163-N(C163),0)</f>
        <v>0</v>
      </c>
      <c r="E164" s="8" t="n">
        <f aca="false">MAX(E163-N(D163),0)</f>
        <v>0</v>
      </c>
      <c r="F164" s="8" t="n">
        <f aca="false">MAX(F163-N(E163),0)</f>
        <v>0</v>
      </c>
      <c r="G164" s="8" t="n">
        <f aca="false">MAX(G163-N(F163),0)</f>
        <v>0</v>
      </c>
      <c r="H164" s="8" t="n">
        <f aca="false">MAX(H163-N(G163),0)</f>
        <v>0</v>
      </c>
      <c r="I164" s="8" t="n">
        <f aca="false">MAX(I163-N(H163),0)</f>
        <v>1067.73333333333</v>
      </c>
      <c r="J164" s="8" t="n">
        <f aca="false">MAX(J163-N(I163),0)</f>
        <v>1067.73333333333</v>
      </c>
      <c r="K164" s="8" t="n">
        <f aca="false">MAX(K163-N(J163),0)</f>
        <v>1067.73333333333</v>
      </c>
      <c r="L164" s="8" t="n">
        <f aca="false">MAX(L163-N(K163),0)</f>
        <v>1067.73333333333</v>
      </c>
      <c r="M164" s="8" t="n">
        <f aca="false">MAX(M163-N(L163),0)</f>
        <v>1067.73333333333</v>
      </c>
      <c r="N164" s="8" t="n">
        <f aca="false">MAX(N163-N(M163),0)</f>
        <v>1067.73333333333</v>
      </c>
      <c r="O164" s="8" t="n">
        <f aca="false">MAX(O163-N(N163),0)</f>
        <v>0</v>
      </c>
      <c r="P164" s="8" t="n">
        <f aca="false">MAX(P163-N(O163),0)</f>
        <v>0</v>
      </c>
      <c r="Q164" s="8" t="n">
        <f aca="false">MAX(Q163-N(P163),0)</f>
        <v>0</v>
      </c>
      <c r="R164" s="8" t="n">
        <f aca="false">MAX(R163-N(Q163),0)</f>
        <v>0</v>
      </c>
      <c r="S164" s="8" t="n">
        <f aca="false">MAX(S163-N(R163),0)</f>
        <v>0</v>
      </c>
      <c r="T164" s="8" t="n">
        <f aca="false">MAX(T163-N(S163),0)</f>
        <v>0</v>
      </c>
      <c r="U164" s="8" t="n">
        <f aca="false">MAX(U163-N(T163),0)</f>
        <v>0</v>
      </c>
      <c r="V164" s="8" t="n">
        <f aca="false">MAX(V163-N(U163),0)</f>
        <v>0</v>
      </c>
      <c r="W164" s="8" t="n">
        <f aca="false">MAX(W163-N(V163),0)</f>
        <v>0</v>
      </c>
      <c r="X164" s="8" t="n">
        <f aca="false">MAX(X163-N(W163),0)</f>
        <v>0</v>
      </c>
      <c r="Y164" s="8" t="n">
        <f aca="false">MAX(Y163-N(X163),0)</f>
        <v>0</v>
      </c>
      <c r="Z164" s="8" t="n">
        <f aca="false">MAX(Z163-N(Y163),0)</f>
        <v>0</v>
      </c>
    </row>
    <row r="165" customFormat="false" ht="15" hidden="false" customHeight="false" outlineLevel="0" collapsed="false">
      <c r="A165" s="4" t="s">
        <v>219</v>
      </c>
      <c r="B165" s="4" t="s">
        <v>220</v>
      </c>
      <c r="C165" s="8" t="n">
        <f aca="false">IF(Initiatives!$N$6="adoption",N(B165)*(1-Inputs!$C$9)+N(B166)*Inputs!$C$9*Initiatives!$N$16,IF(Initiatives!$N$6="relative",N(B165)*(1-Inputs!$C$9)+C$4*Inputs!$C$9*Initiatives!$N$23*C162,0))</f>
        <v>0</v>
      </c>
      <c r="D165" s="8" t="n">
        <f aca="false">IF(Initiatives!$N$6="adoption",N(C165)*(1-Inputs!$C$9)+N(C166)*Inputs!$C$9*Initiatives!$N$16,IF(Initiatives!$N$6="relative",N(C165)*(1-Inputs!$C$9)+D$4*Inputs!$C$9*Initiatives!$N$23*D162,0))</f>
        <v>0</v>
      </c>
      <c r="E165" s="8" t="n">
        <f aca="false">IF(Initiatives!$N$6="adoption",N(D165)*(1-Inputs!$C$9)+N(D166)*Inputs!$C$9*Initiatives!$N$16,IF(Initiatives!$N$6="relative",N(D165)*(1-Inputs!$C$9)+E$4*Inputs!$C$9*Initiatives!$N$23*E162,0))</f>
        <v>0</v>
      </c>
      <c r="F165" s="8" t="n">
        <f aca="false">IF(Initiatives!$N$6="adoption",N(E165)*(1-Inputs!$C$9)+N(E166)*Inputs!$C$9*Initiatives!$N$16,IF(Initiatives!$N$6="relative",N(E165)*(1-Inputs!$C$9)+F$4*Inputs!$C$9*Initiatives!$N$23*F162,0))</f>
        <v>0</v>
      </c>
      <c r="G165" s="8" t="n">
        <f aca="false">IF(Initiatives!$N$6="adoption",N(F165)*(1-Inputs!$C$9)+N(F166)*Inputs!$C$9*Initiatives!$N$16,IF(Initiatives!$N$6="relative",N(F165)*(1-Inputs!$C$9)+G$4*Inputs!$C$9*Initiatives!$N$23*G162,0))</f>
        <v>0</v>
      </c>
      <c r="H165" s="8" t="n">
        <f aca="false">IF(Initiatives!$N$6="adoption",N(G165)*(1-Inputs!$C$9)+N(G166)*Inputs!$C$9*Initiatives!$N$16,IF(Initiatives!$N$6="relative",N(G165)*(1-Inputs!$C$9)+H$4*Inputs!$C$9*Initiatives!$N$23*H162,0))</f>
        <v>0</v>
      </c>
      <c r="I165" s="8" t="n">
        <f aca="false">IF(Initiatives!$N$6="adoption",N(H165)*(1-Inputs!$C$9)+N(H166)*Inputs!$C$9*Initiatives!$N$16,IF(Initiatives!$N$6="relative",N(H165)*(1-Inputs!$C$9)+I$4*Inputs!$C$9*Initiatives!$N$23*I162,0))</f>
        <v>0</v>
      </c>
      <c r="J165" s="8" t="n">
        <f aca="false">IF(Initiatives!$N$6="adoption",N(I165)*(1-Inputs!$C$9)+N(I166)*Inputs!$C$9*Initiatives!$N$16,IF(Initiatives!$N$6="relative",N(I165)*(1-Inputs!$C$9)+J$4*Inputs!$C$9*Initiatives!$N$23*J162,0))</f>
        <v>3.2032</v>
      </c>
      <c r="K165" s="8" t="n">
        <f aca="false">IF(Initiatives!$N$6="adoption",N(J165)*(1-Inputs!$C$9)+N(J166)*Inputs!$C$9*Initiatives!$N$16,IF(Initiatives!$N$6="relative",N(J165)*(1-Inputs!$C$9)+K$4*Inputs!$C$9*Initiatives!$N$23*K162,0))</f>
        <v>9.5231136</v>
      </c>
      <c r="L165" s="8" t="n">
        <f aca="false">IF(Initiatives!$N$6="adoption",N(K165)*(1-Inputs!$C$9)+N(K166)*Inputs!$C$9*Initiatives!$N$16,IF(Initiatives!$N$6="relative",N(K165)*(1-Inputs!$C$9)+L$4*Inputs!$C$9*Initiatives!$N$23*L162,0))</f>
        <v>18.8750129568</v>
      </c>
      <c r="M165" s="8" t="n">
        <f aca="false">IF(Initiatives!$N$6="adoption",N(L165)*(1-Inputs!$C$9)+N(L166)*Inputs!$C$9*Initiatives!$N$16,IF(Initiatives!$N$6="relative",N(L165)*(1-Inputs!$C$9)+M$4*Inputs!$C$9*Initiatives!$N$23*M162,0))</f>
        <v>31.1758968705184</v>
      </c>
      <c r="N165" s="8" t="n">
        <f aca="false">IF(Initiatives!$N$6="adoption",N(M165)*(1-Inputs!$C$9)+N(M166)*Inputs!$C$9*Initiatives!$N$16,IF(Initiatives!$N$6="relative",N(M165)*(1-Inputs!$C$9)+N$4*Inputs!$C$9*Initiatives!$N$23*N162,0))</f>
        <v>46.3444594162342</v>
      </c>
      <c r="O165" s="8" t="n">
        <f aca="false">IF(Initiatives!$N$6="adoption",N(N165)*(1-Inputs!$C$9)+N(N166)*Inputs!$C$9*Initiatives!$N$16,IF(Initiatives!$N$6="relative",N(N165)*(1-Inputs!$C$9)+O$4*Inputs!$C$9*Initiatives!$N$23*O162,0))</f>
        <v>64.3010591117789</v>
      </c>
      <c r="P165" s="8" t="n">
        <f aca="false">IF(Initiatives!$N$6="adoption",N(O165)*(1-Inputs!$C$9)+N(O166)*Inputs!$C$9*Initiatives!$N$16,IF(Initiatives!$N$6="relative",N(O165)*(1-Inputs!$C$9)+P$4*Inputs!$C$9*Initiatives!$N$23*P162,0))</f>
        <v>81.7644886128491</v>
      </c>
      <c r="Q165" s="8" t="n">
        <f aca="false">IF(Initiatives!$N$6="adoption",N(P165)*(1-Inputs!$C$9)+N(P166)*Inputs!$C$9*Initiatives!$N$16,IF(Initiatives!$N$6="relative",N(P165)*(1-Inputs!$C$9)+Q$4*Inputs!$C$9*Initiatives!$N$23*Q162,0))</f>
        <v>98.7448313267502</v>
      </c>
      <c r="R165" s="8" t="n">
        <f aca="false">IF(Initiatives!$N$6="adoption",N(Q165)*(1-Inputs!$C$9)+N(Q166)*Inputs!$C$9*Initiatives!$N$16,IF(Initiatives!$N$6="relative",N(Q165)*(1-Inputs!$C$9)+R$4*Inputs!$C$9*Initiatives!$N$23*R162,0))</f>
        <v>115.251987179426</v>
      </c>
      <c r="S165" s="8" t="n">
        <f aca="false">IF(Initiatives!$N$6="adoption",N(R165)*(1-Inputs!$C$9)+N(R166)*Inputs!$C$9*Initiatives!$N$16,IF(Initiatives!$N$6="relative",N(R165)*(1-Inputs!$C$9)+S$4*Inputs!$C$9*Initiatives!$N$23*S162,0))</f>
        <v>131.29567575444</v>
      </c>
      <c r="T165" s="8" t="n">
        <f aca="false">IF(Initiatives!$N$6="adoption",N(S165)*(1-Inputs!$C$9)+N(S166)*Inputs!$C$9*Initiatives!$N$16,IF(Initiatives!$N$6="relative",N(S165)*(1-Inputs!$C$9)+T$4*Inputs!$C$9*Initiatives!$N$23*T162,0))</f>
        <v>146.885439380237</v>
      </c>
      <c r="U165" s="8" t="n">
        <f aca="false">IF(Initiatives!$N$6="adoption",N(T165)*(1-Inputs!$C$9)+N(T166)*Inputs!$C$9*Initiatives!$N$16,IF(Initiatives!$N$6="relative",N(T165)*(1-Inputs!$C$9)+U$4*Inputs!$C$9*Initiatives!$N$23*U162,0))</f>
        <v>162.030646166501</v>
      </c>
      <c r="V165" s="8" t="n">
        <f aca="false">IF(Initiatives!$N$6="adoption",N(U165)*(1-Inputs!$C$9)+N(U166)*Inputs!$C$9*Initiatives!$N$16,IF(Initiatives!$N$6="relative",N(U165)*(1-Inputs!$C$9)+V$4*Inputs!$C$9*Initiatives!$N$23*V162,0))</f>
        <v>176.740492990448</v>
      </c>
      <c r="W165" s="8" t="n">
        <f aca="false">IF(Initiatives!$N$6="adoption",N(V165)*(1-Inputs!$C$9)+N(V166)*Inputs!$C$9*Initiatives!$N$16,IF(Initiatives!$N$6="relative",N(V165)*(1-Inputs!$C$9)+W$4*Inputs!$C$9*Initiatives!$N$23*W162,0))</f>
        <v>191.024008433838</v>
      </c>
      <c r="X165" s="8" t="n">
        <f aca="false">IF(Initiatives!$N$6="adoption",N(W165)*(1-Inputs!$C$9)+N(W166)*Inputs!$C$9*Initiatives!$N$16,IF(Initiatives!$N$6="relative",N(W165)*(1-Inputs!$C$9)+X$4*Inputs!$C$9*Initiatives!$N$23*X162,0))</f>
        <v>204.890055671519</v>
      </c>
      <c r="Y165" s="8" t="n">
        <f aca="false">IF(Initiatives!$N$6="adoption",N(X165)*(1-Inputs!$C$9)+N(X166)*Inputs!$C$9*Initiatives!$N$16,IF(Initiatives!$N$6="relative",N(X165)*(1-Inputs!$C$9)+Y$4*Inputs!$C$9*Initiatives!$N$23*Y162,0))</f>
        <v>218.347335312264</v>
      </c>
      <c r="Z165" s="8" t="n">
        <f aca="false">IF(Initiatives!$N$6="adoption",N(Y165)*(1-Inputs!$C$9)+N(Y166)*Inputs!$C$9*Initiatives!$N$16,IF(Initiatives!$N$6="relative",N(Y165)*(1-Inputs!$C$9)+Z$4*Inputs!$C$9*Initiatives!$N$23*Z162,0))</f>
        <v>231.404388192688</v>
      </c>
    </row>
    <row r="166" customFormat="false" ht="15" hidden="false" customHeight="false" outlineLevel="0" collapsed="false">
      <c r="A166" s="4" t="s">
        <v>221</v>
      </c>
      <c r="B166" s="4" t="s">
        <v>222</v>
      </c>
      <c r="C166" s="8" t="n">
        <f aca="false">N(B166)*(1-Initiatives!$N$45)*(1-Inputs!$C$9*(1-Initiatives!$N$16))+C164</f>
        <v>0</v>
      </c>
      <c r="D166" s="8" t="n">
        <f aca="false">N(C166)*(1-Initiatives!$N$45)*(1-Inputs!$C$9*(1-Initiatives!$N$16))+D164</f>
        <v>0</v>
      </c>
      <c r="E166" s="8" t="n">
        <f aca="false">N(D166)*(1-Initiatives!$N$45)*(1-Inputs!$C$9*(1-Initiatives!$N$16))+E164</f>
        <v>0</v>
      </c>
      <c r="F166" s="8" t="n">
        <f aca="false">N(E166)*(1-Initiatives!$N$45)*(1-Inputs!$C$9*(1-Initiatives!$N$16))+F164</f>
        <v>0</v>
      </c>
      <c r="G166" s="8" t="n">
        <f aca="false">N(F166)*(1-Initiatives!$N$45)*(1-Inputs!$C$9*(1-Initiatives!$N$16))+G164</f>
        <v>0</v>
      </c>
      <c r="H166" s="8" t="n">
        <f aca="false">N(G166)*(1-Initiatives!$N$45)*(1-Inputs!$C$9*(1-Initiatives!$N$16))+H164</f>
        <v>0</v>
      </c>
      <c r="I166" s="8" t="n">
        <f aca="false">N(H166)*(1-Initiatives!$N$45)*(1-Inputs!$C$9*(1-Initiatives!$N$16))+I164</f>
        <v>1067.73333333333</v>
      </c>
      <c r="J166" s="8" t="n">
        <f aca="false">N(I166)*(1-Initiatives!$N$45)*(1-Inputs!$C$9*(1-Initiatives!$N$16))+J164</f>
        <v>2122.65386666667</v>
      </c>
      <c r="K166" s="8" t="n">
        <f aca="false">N(J166)*(1-Initiatives!$N$45)*(1-Inputs!$C$9*(1-Initiatives!$N$16))+K164</f>
        <v>3164.9153536</v>
      </c>
      <c r="L166" s="8" t="n">
        <f aca="false">N(K166)*(1-Initiatives!$N$45)*(1-Inputs!$C$9*(1-Initiatives!$N$16))+L164</f>
        <v>4194.66970269013</v>
      </c>
      <c r="M166" s="8" t="n">
        <f aca="false">N(L166)*(1-Initiatives!$N$45)*(1-Inputs!$C$9*(1-Initiatives!$N$16))+M164</f>
        <v>5212.06699959119</v>
      </c>
      <c r="N166" s="8" t="n">
        <f aca="false">N(M166)*(1-Initiatives!$N$45)*(1-Inputs!$C$9*(1-Initiatives!$N$16))+N164</f>
        <v>6217.25552892942</v>
      </c>
      <c r="O166" s="8" t="n">
        <f aca="false">N(N166)*(1-Initiatives!$N$45)*(1-Inputs!$C$9*(1-Initiatives!$N$16))+O164</f>
        <v>6142.64846258227</v>
      </c>
      <c r="P166" s="8" t="n">
        <f aca="false">N(O166)*(1-Initiatives!$N$45)*(1-Inputs!$C$9*(1-Initiatives!$N$16))+P164</f>
        <v>6068.93668103128</v>
      </c>
      <c r="Q166" s="8" t="n">
        <f aca="false">N(P166)*(1-Initiatives!$N$45)*(1-Inputs!$C$9*(1-Initiatives!$N$16))+Q164</f>
        <v>5996.10944085891</v>
      </c>
      <c r="R166" s="8" t="n">
        <f aca="false">N(Q166)*(1-Initiatives!$N$45)*(1-Inputs!$C$9*(1-Initiatives!$N$16))+R164</f>
        <v>5924.1561275686</v>
      </c>
      <c r="S166" s="8" t="n">
        <f aca="false">N(R166)*(1-Initiatives!$N$45)*(1-Inputs!$C$9*(1-Initiatives!$N$16))+S164</f>
        <v>5853.06625403778</v>
      </c>
      <c r="T166" s="8" t="n">
        <f aca="false">N(S166)*(1-Initiatives!$N$45)*(1-Inputs!$C$9*(1-Initiatives!$N$16))+T164</f>
        <v>5782.82945898933</v>
      </c>
      <c r="U166" s="8" t="n">
        <f aca="false">N(T166)*(1-Initiatives!$N$45)*(1-Inputs!$C$9*(1-Initiatives!$N$16))+U164</f>
        <v>5713.43550548145</v>
      </c>
      <c r="V166" s="8" t="n">
        <f aca="false">N(U166)*(1-Initiatives!$N$45)*(1-Inputs!$C$9*(1-Initiatives!$N$16))+V164</f>
        <v>5644.87427941568</v>
      </c>
      <c r="W166" s="8" t="n">
        <f aca="false">N(V166)*(1-Initiatives!$N$45)*(1-Inputs!$C$9*(1-Initiatives!$N$16))+W164</f>
        <v>5577.13578806269</v>
      </c>
      <c r="X166" s="8" t="n">
        <f aca="false">N(W166)*(1-Initiatives!$N$45)*(1-Inputs!$C$9*(1-Initiatives!$N$16))+X164</f>
        <v>5510.21015860594</v>
      </c>
      <c r="Y166" s="8" t="n">
        <f aca="false">N(X166)*(1-Initiatives!$N$45)*(1-Inputs!$C$9*(1-Initiatives!$N$16))+Y164</f>
        <v>5444.08763670267</v>
      </c>
      <c r="Z166" s="8" t="n">
        <f aca="false">N(Y166)*(1-Initiatives!$N$45)*(1-Inputs!$C$9*(1-Initiatives!$N$16))+Z164</f>
        <v>5378.75858506223</v>
      </c>
    </row>
    <row r="167" customFormat="false" ht="15" hidden="false" customHeight="false" outlineLevel="0" collapsed="false">
      <c r="A167" s="4" t="s">
        <v>223</v>
      </c>
      <c r="B167" s="4" t="s">
        <v>224</v>
      </c>
      <c r="C167" s="8" t="n">
        <f aca="false">N(B167)*(1-Inputs!$C$9)+IF(AND(C$3&gt;=Initiatives!$N$33,C$3&lt;Initiatives!$N$33+Initiatives!$N$47),Initiatives!$N$43/Initiatives!$N$47,0)</f>
        <v>0</v>
      </c>
      <c r="D167" s="8" t="n">
        <f aca="false">N(C167)*(1-Inputs!$C$9)+IF(AND(D$3&gt;=Initiatives!$N$33,D$3&lt;Initiatives!$N$33+Initiatives!$N$47),Initiatives!$N$43/Initiatives!$N$47,0)</f>
        <v>0</v>
      </c>
      <c r="E167" s="8" t="n">
        <f aca="false">N(D167)*(1-Inputs!$C$9)+IF(AND(E$3&gt;=Initiatives!$N$33,E$3&lt;Initiatives!$N$33+Initiatives!$N$47),Initiatives!$N$43/Initiatives!$N$47,0)</f>
        <v>0</v>
      </c>
      <c r="F167" s="8" t="n">
        <f aca="false">N(E167)*(1-Inputs!$C$9)+IF(AND(F$3&gt;=Initiatives!$N$33,F$3&lt;Initiatives!$N$33+Initiatives!$N$47),Initiatives!$N$43/Initiatives!$N$47,0)</f>
        <v>0</v>
      </c>
      <c r="G167" s="8" t="n">
        <f aca="false">N(F167)*(1-Inputs!$C$9)+IF(AND(G$3&gt;=Initiatives!$N$33,G$3&lt;Initiatives!$N$33+Initiatives!$N$47),Initiatives!$N$43/Initiatives!$N$47,0)</f>
        <v>0</v>
      </c>
      <c r="H167" s="8" t="n">
        <f aca="false">N(G167)*(1-Inputs!$C$9)+IF(AND(H$3&gt;=Initiatives!$N$33,H$3&lt;Initiatives!$N$33+Initiatives!$N$47),Initiatives!$N$43/Initiatives!$N$47,0)</f>
        <v>0</v>
      </c>
      <c r="I167" s="8" t="n">
        <f aca="false">N(H167)*(1-Inputs!$C$9)+IF(AND(I$3&gt;=Initiatives!$N$33,I$3&lt;Initiatives!$N$33+Initiatives!$N$47),Initiatives!$N$43/Initiatives!$N$47,0)</f>
        <v>0</v>
      </c>
      <c r="J167" s="8" t="n">
        <f aca="false">N(I167)*(1-Inputs!$C$9)+IF(AND(J$3&gt;=Initiatives!$N$33,J$3&lt;Initiatives!$N$33+Initiatives!$N$47),Initiatives!$N$43/Initiatives!$N$47,0)</f>
        <v>0</v>
      </c>
      <c r="K167" s="8" t="n">
        <f aca="false">N(J167)*(1-Inputs!$C$9)+IF(AND(K$3&gt;=Initiatives!$N$33,K$3&lt;Initiatives!$N$33+Initiatives!$N$47),Initiatives!$N$43/Initiatives!$N$47,0)</f>
        <v>0</v>
      </c>
      <c r="L167" s="8" t="n">
        <f aca="false">N(K167)*(1-Inputs!$C$9)+IF(AND(L$3&gt;=Initiatives!$N$33,L$3&lt;Initiatives!$N$33+Initiatives!$N$47),Initiatives!$N$43/Initiatives!$N$47,0)</f>
        <v>0</v>
      </c>
      <c r="M167" s="8" t="n">
        <f aca="false">N(L167)*(1-Inputs!$C$9)+IF(AND(M$3&gt;=Initiatives!$N$33,M$3&lt;Initiatives!$N$33+Initiatives!$N$47),Initiatives!$N$43/Initiatives!$N$47,0)</f>
        <v>0</v>
      </c>
      <c r="N167" s="8" t="n">
        <f aca="false">N(M167)*(1-Inputs!$C$9)+IF(AND(N$3&gt;=Initiatives!$N$33,N$3&lt;Initiatives!$N$33+Initiatives!$N$47),Initiatives!$N$43/Initiatives!$N$47,0)</f>
        <v>0</v>
      </c>
      <c r="O167" s="8" t="n">
        <f aca="false">N(N167)*(1-Inputs!$C$9)+IF(AND(O$3&gt;=Initiatives!$N$33,O$3&lt;Initiatives!$N$33+Initiatives!$N$47),Initiatives!$N$43/Initiatives!$N$47,0)</f>
        <v>0</v>
      </c>
      <c r="P167" s="8" t="n">
        <f aca="false">N(O167)*(1-Inputs!$C$9)+IF(AND(P$3&gt;=Initiatives!$N$33,P$3&lt;Initiatives!$N$33+Initiatives!$N$47),Initiatives!$N$43/Initiatives!$N$47,0)</f>
        <v>0</v>
      </c>
      <c r="Q167" s="8" t="n">
        <f aca="false">N(P167)*(1-Inputs!$C$9)+IF(AND(Q$3&gt;=Initiatives!$N$33,Q$3&lt;Initiatives!$N$33+Initiatives!$N$47),Initiatives!$N$43/Initiatives!$N$47,0)</f>
        <v>0</v>
      </c>
      <c r="R167" s="8" t="n">
        <f aca="false">N(Q167)*(1-Inputs!$C$9)+IF(AND(R$3&gt;=Initiatives!$N$33,R$3&lt;Initiatives!$N$33+Initiatives!$N$47),Initiatives!$N$43/Initiatives!$N$47,0)</f>
        <v>0</v>
      </c>
      <c r="S167" s="8" t="n">
        <f aca="false">N(R167)*(1-Inputs!$C$9)+IF(AND(S$3&gt;=Initiatives!$N$33,S$3&lt;Initiatives!$N$33+Initiatives!$N$47),Initiatives!$N$43/Initiatives!$N$47,0)</f>
        <v>0</v>
      </c>
      <c r="T167" s="8" t="n">
        <f aca="false">N(S167)*(1-Inputs!$C$9)+IF(AND(T$3&gt;=Initiatives!$N$33,T$3&lt;Initiatives!$N$33+Initiatives!$N$47),Initiatives!$N$43/Initiatives!$N$47,0)</f>
        <v>0</v>
      </c>
      <c r="U167" s="8" t="n">
        <f aca="false">N(T167)*(1-Inputs!$C$9)+IF(AND(U$3&gt;=Initiatives!$N$33,U$3&lt;Initiatives!$N$33+Initiatives!$N$47),Initiatives!$N$43/Initiatives!$N$47,0)</f>
        <v>0</v>
      </c>
      <c r="V167" s="8" t="n">
        <f aca="false">N(U167)*(1-Inputs!$C$9)+IF(AND(V$3&gt;=Initiatives!$N$33,V$3&lt;Initiatives!$N$33+Initiatives!$N$47),Initiatives!$N$43/Initiatives!$N$47,0)</f>
        <v>0</v>
      </c>
      <c r="W167" s="8" t="n">
        <f aca="false">N(V167)*(1-Inputs!$C$9)+IF(AND(W$3&gt;=Initiatives!$N$33,W$3&lt;Initiatives!$N$33+Initiatives!$N$47),Initiatives!$N$43/Initiatives!$N$47,0)</f>
        <v>0</v>
      </c>
      <c r="X167" s="8" t="n">
        <f aca="false">N(W167)*(1-Inputs!$C$9)+IF(AND(X$3&gt;=Initiatives!$N$33,X$3&lt;Initiatives!$N$33+Initiatives!$N$47),Initiatives!$N$43/Initiatives!$N$47,0)</f>
        <v>0</v>
      </c>
      <c r="Y167" s="8" t="n">
        <f aca="false">N(X167)*(1-Inputs!$C$9)+IF(AND(Y$3&gt;=Initiatives!$N$33,Y$3&lt;Initiatives!$N$33+Initiatives!$N$47),Initiatives!$N$43/Initiatives!$N$47,0)</f>
        <v>0</v>
      </c>
      <c r="Z167" s="8" t="n">
        <f aca="false">N(Y167)*(1-Inputs!$C$9)+IF(AND(Z$3&gt;=Initiatives!$N$33,Z$3&lt;Initiatives!$N$33+Initiatives!$N$47),Initiatives!$N$43/Initiatives!$N$47,0)</f>
        <v>0</v>
      </c>
    </row>
    <row r="168" customFormat="false" ht="15" hidden="false" customHeight="false" outlineLevel="0" collapsed="false">
      <c r="A168" s="4" t="s">
        <v>225</v>
      </c>
      <c r="B168" s="4" t="s">
        <v>226</v>
      </c>
      <c r="C168" s="8" t="n">
        <f aca="false">IF(Initiatives!$N$6="adoption",C166*Initiatives!$N$14+C165*Initiatives!$N$9-C167*Initiatives!$N$9,IF(Initiatives!$N$6="reprice",IF(C$3&gt;=Initiatives!$N$33,(Initiatives!$N$41*Initiatives!$N$44+Initiatives!$N$42*Initiatives!$N$20)*(1-Inputs!$C$9)^(C$3-Initiatives!$N$33),0)-C167*Initiatives!$N$9,C$5*Initiatives!$N$22*C162+C165*Inputs!$C$8))</f>
        <v>0</v>
      </c>
      <c r="D168" s="8" t="n">
        <f aca="false">IF(Initiatives!$N$6="adoption",D166*Initiatives!$N$14+D165*Initiatives!$N$9-D167*Initiatives!$N$9,IF(Initiatives!$N$6="reprice",IF(D$3&gt;=Initiatives!$N$33,(Initiatives!$N$41*Initiatives!$N$44+Initiatives!$N$42*Initiatives!$N$20)*(1-Inputs!$C$9)^(D$3-Initiatives!$N$33),0)-D167*Initiatives!$N$9,D$5*Initiatives!$N$22*D162+D165*Inputs!$C$8))</f>
        <v>0</v>
      </c>
      <c r="E168" s="8" t="n">
        <f aca="false">IF(Initiatives!$N$6="adoption",E166*Initiatives!$N$14+E165*Initiatives!$N$9-E167*Initiatives!$N$9,IF(Initiatives!$N$6="reprice",IF(E$3&gt;=Initiatives!$N$33,(Initiatives!$N$41*Initiatives!$N$44+Initiatives!$N$42*Initiatives!$N$20)*(1-Inputs!$C$9)^(E$3-Initiatives!$N$33),0)-E167*Initiatives!$N$9,E$5*Initiatives!$N$22*E162+E165*Inputs!$C$8))</f>
        <v>0</v>
      </c>
      <c r="F168" s="8" t="n">
        <f aca="false">IF(Initiatives!$N$6="adoption",F166*Initiatives!$N$14+F165*Initiatives!$N$9-F167*Initiatives!$N$9,IF(Initiatives!$N$6="reprice",IF(F$3&gt;=Initiatives!$N$33,(Initiatives!$N$41*Initiatives!$N$44+Initiatives!$N$42*Initiatives!$N$20)*(1-Inputs!$C$9)^(F$3-Initiatives!$N$33),0)-F167*Initiatives!$N$9,F$5*Initiatives!$N$22*F162+F165*Inputs!$C$8))</f>
        <v>0</v>
      </c>
      <c r="G168" s="8" t="n">
        <f aca="false">IF(Initiatives!$N$6="adoption",G166*Initiatives!$N$14+G165*Initiatives!$N$9-G167*Initiatives!$N$9,IF(Initiatives!$N$6="reprice",IF(G$3&gt;=Initiatives!$N$33,(Initiatives!$N$41*Initiatives!$N$44+Initiatives!$N$42*Initiatives!$N$20)*(1-Inputs!$C$9)^(G$3-Initiatives!$N$33),0)-G167*Initiatives!$N$9,G$5*Initiatives!$N$22*G162+G165*Inputs!$C$8))</f>
        <v>0</v>
      </c>
      <c r="H168" s="8" t="n">
        <f aca="false">IF(Initiatives!$N$6="adoption",H166*Initiatives!$N$14+H165*Initiatives!$N$9-H167*Initiatives!$N$9,IF(Initiatives!$N$6="reprice",IF(H$3&gt;=Initiatives!$N$33,(Initiatives!$N$41*Initiatives!$N$44+Initiatives!$N$42*Initiatives!$N$20)*(1-Inputs!$C$9)^(H$3-Initiatives!$N$33),0)-H167*Initiatives!$N$9,H$5*Initiatives!$N$22*H162+H165*Inputs!$C$8))</f>
        <v>0</v>
      </c>
      <c r="I168" s="8" t="n">
        <f aca="false">IF(Initiatives!$N$6="adoption",I166*Initiatives!$N$14+I165*Initiatives!$N$9-I167*Initiatives!$N$9,IF(Initiatives!$N$6="reprice",IF(I$3&gt;=Initiatives!$N$33,(Initiatives!$N$41*Initiatives!$N$44+Initiatives!$N$42*Initiatives!$N$20)*(1-Inputs!$C$9)^(I$3-Initiatives!$N$33),0)-I167*Initiatives!$N$9,I$5*Initiatives!$N$22*I162+I165*Inputs!$C$8))</f>
        <v>10677333.3333333</v>
      </c>
      <c r="J168" s="8" t="n">
        <f aca="false">IF(Initiatives!$N$6="adoption",J166*Initiatives!$N$14+J165*Initiatives!$N$9-J167*Initiatives!$N$9,IF(Initiatives!$N$6="reprice",IF(J$3&gt;=Initiatives!$N$33,(Initiatives!$N$41*Initiatives!$N$44+Initiatives!$N$42*Initiatives!$N$20)*(1-Inputs!$C$9)^(J$3-Initiatives!$N$33),0)-J167*Initiatives!$N$9,J$5*Initiatives!$N$22*J162+J165*Inputs!$C$8))</f>
        <v>21258570.6666667</v>
      </c>
      <c r="K168" s="8" t="n">
        <f aca="false">IF(Initiatives!$N$6="adoption",K166*Initiatives!$N$14+K165*Initiatives!$N$9-K167*Initiatives!$N$9,IF(Initiatives!$N$6="reprice",IF(K$3&gt;=Initiatives!$N$33,(Initiatives!$N$41*Initiatives!$N$44+Initiatives!$N$42*Initiatives!$N$20)*(1-Inputs!$C$9)^(K$3-Initiatives!$N$33),0)-K167*Initiatives!$N$9,K$5*Initiatives!$N$22*K162+K165*Inputs!$C$8))</f>
        <v>31744384.672</v>
      </c>
      <c r="L168" s="8" t="n">
        <f aca="false">IF(Initiatives!$N$6="adoption",L166*Initiatives!$N$14+L165*Initiatives!$N$9-L167*Initiatives!$N$9,IF(Initiatives!$N$6="reprice",IF(L$3&gt;=Initiatives!$N$33,(Initiatives!$N$41*Initiatives!$N$44+Initiatives!$N$42*Initiatives!$N$20)*(1-Inputs!$C$9)^(L$3-Initiatives!$N$33),0)-L167*Initiatives!$N$9,L$5*Initiatives!$N$22*L162+L165*Inputs!$C$8))</f>
        <v>42135447.1564693</v>
      </c>
      <c r="M168" s="8" t="n">
        <f aca="false">IF(Initiatives!$N$6="adoption",M166*Initiatives!$N$14+M165*Initiatives!$N$9-M167*Initiatives!$N$9,IF(Initiatives!$N$6="reprice",IF(M$3&gt;=Initiatives!$N$33,(Initiatives!$N$41*Initiatives!$N$44+Initiatives!$N$42*Initiatives!$N$20)*(1-Inputs!$C$9)^(M$3-Initiatives!$N$33),0)-M167*Initiatives!$N$9,M$5*Initiatives!$N$22*M162+M165*Inputs!$C$8))</f>
        <v>52432428.964617</v>
      </c>
      <c r="N168" s="8" t="n">
        <f aca="false">IF(Initiatives!$N$6="adoption",N166*Initiatives!$N$14+N165*Initiatives!$N$9-N167*Initiatives!$N$9,IF(Initiatives!$N$6="reprice",IF(N$3&gt;=Initiatives!$N$33,(Initiatives!$N$41*Initiatives!$N$44+Initiatives!$N$42*Initiatives!$N$20)*(1-Inputs!$C$9)^(N$3-Initiatives!$N$33),0)-N167*Initiatives!$N$9,N$5*Initiatives!$N$22*N162+N165*Inputs!$C$8))</f>
        <v>62635999.8834566</v>
      </c>
      <c r="O168" s="8" t="n">
        <f aca="false">IF(Initiatives!$N$6="adoption",O166*Initiatives!$N$14+O165*Initiatives!$N$9-O167*Initiatives!$N$9,IF(Initiatives!$N$6="reprice",IF(O$3&gt;=Initiatives!$N$33,(Initiatives!$N$41*Initiatives!$N$44+Initiatives!$N$42*Initiatives!$N$20)*(1-Inputs!$C$9)^(O$3-Initiatives!$N$33),0)-O167*Initiatives!$N$9,O$5*Initiatives!$N$22*O162+O165*Inputs!$C$8))</f>
        <v>62069495.2169405</v>
      </c>
      <c r="P168" s="8" t="n">
        <f aca="false">IF(Initiatives!$N$6="adoption",P166*Initiatives!$N$14+P165*Initiatives!$N$9-P167*Initiatives!$N$9,IF(Initiatives!$N$6="reprice",IF(P$3&gt;=Initiatives!$N$33,(Initiatives!$N$41*Initiatives!$N$44+Initiatives!$N$42*Initiatives!$N$20)*(1-Inputs!$C$9)^(P$3-Initiatives!$N$33),0)-P167*Initiatives!$N$9,P$5*Initiatives!$N$22*P162+P165*Inputs!$C$8))</f>
        <v>61507011.6964413</v>
      </c>
      <c r="Q168" s="8" t="n">
        <f aca="false">IF(Initiatives!$N$6="adoption",Q166*Initiatives!$N$14+Q165*Initiatives!$N$9-Q167*Initiatives!$N$9,IF(Initiatives!$N$6="reprice",IF(Q$3&gt;=Initiatives!$N$33,(Initiatives!$N$41*Initiatives!$N$44+Initiatives!$N$42*Initiatives!$N$20)*(1-Inputs!$C$9)^(Q$3-Initiatives!$N$33),0)-Q167*Initiatives!$N$9,Q$5*Initiatives!$N$22*Q162+Q165*Inputs!$C$8))</f>
        <v>60948542.7218566</v>
      </c>
      <c r="R168" s="8" t="n">
        <f aca="false">IF(Initiatives!$N$6="adoption",R166*Initiatives!$N$14+R165*Initiatives!$N$9-R167*Initiatives!$N$9,IF(Initiatives!$N$6="reprice",IF(R$3&gt;=Initiatives!$N$33,(Initiatives!$N$41*Initiatives!$N$44+Initiatives!$N$42*Initiatives!$N$20)*(1-Inputs!$C$9)^(R$3-Initiatives!$N$33),0)-R167*Initiatives!$N$9,R$5*Initiatives!$N$22*R162+R165*Inputs!$C$8))</f>
        <v>60394081.1474803</v>
      </c>
      <c r="S168" s="8" t="n">
        <f aca="false">IF(Initiatives!$N$6="adoption",S166*Initiatives!$N$14+S165*Initiatives!$N$9-S167*Initiatives!$N$9,IF(Initiatives!$N$6="reprice",IF(S$3&gt;=Initiatives!$N$33,(Initiatives!$N$41*Initiatives!$N$44+Initiatives!$N$42*Initiatives!$N$20)*(1-Inputs!$C$9)^(S$3-Initiatives!$N$33),0)-S167*Initiatives!$N$9,S$5*Initiatives!$N$22*S162+S165*Inputs!$C$8))</f>
        <v>59843619.2979222</v>
      </c>
      <c r="T168" s="8" t="n">
        <f aca="false">IF(Initiatives!$N$6="adoption",T166*Initiatives!$N$14+T165*Initiatives!$N$9-T167*Initiatives!$N$9,IF(Initiatives!$N$6="reprice",IF(T$3&gt;=Initiatives!$N$33,(Initiatives!$N$41*Initiatives!$N$44+Initiatives!$N$42*Initiatives!$N$20)*(1-Inputs!$C$9)^(T$3-Initiatives!$N$33),0)-T167*Initiatives!$N$9,T$5*Initiatives!$N$22*T162+T165*Inputs!$C$8))</f>
        <v>59297148.9836956</v>
      </c>
      <c r="U168" s="8" t="n">
        <f aca="false">IF(Initiatives!$N$6="adoption",U166*Initiatives!$N$14+U165*Initiatives!$N$9-U167*Initiatives!$N$9,IF(Initiatives!$N$6="reprice",IF(U$3&gt;=Initiatives!$N$33,(Initiatives!$N$41*Initiatives!$N$44+Initiatives!$N$42*Initiatives!$N$20)*(1-Inputs!$C$9)^(U$3-Initiatives!$N$33),0)-U167*Initiatives!$N$9,U$5*Initiatives!$N$22*U162+U165*Inputs!$C$8))</f>
        <v>58754661.5164796</v>
      </c>
      <c r="V168" s="8" t="n">
        <f aca="false">IF(Initiatives!$N$6="adoption",V166*Initiatives!$N$14+V165*Initiatives!$N$9-V167*Initiatives!$N$9,IF(Initiatives!$N$6="reprice",IF(V$3&gt;=Initiatives!$N$33,(Initiatives!$N$41*Initiatives!$N$44+Initiatives!$N$42*Initiatives!$N$20)*(1-Inputs!$C$9)^(V$3-Initiatives!$N$33),0)-V167*Initiatives!$N$9,V$5*Initiatives!$N$22*V162+V165*Inputs!$C$8))</f>
        <v>58216147.7240613</v>
      </c>
      <c r="W168" s="8" t="n">
        <f aca="false">IF(Initiatives!$N$6="adoption",W166*Initiatives!$N$14+W165*Initiatives!$N$9-W167*Initiatives!$N$9,IF(Initiatives!$N$6="reprice",IF(W$3&gt;=Initiatives!$N$33,(Initiatives!$N$41*Initiatives!$N$44+Initiatives!$N$42*Initiatives!$N$20)*(1-Inputs!$C$9)^(W$3-Initiatives!$N$33),0)-W167*Initiatives!$N$9,W$5*Initiatives!$N$22*W162+W165*Inputs!$C$8))</f>
        <v>57681597.9649653</v>
      </c>
      <c r="X168" s="8" t="n">
        <f aca="false">IF(Initiatives!$N$6="adoption",X166*Initiatives!$N$14+X165*Initiatives!$N$9-X167*Initiatives!$N$9,IF(Initiatives!$N$6="reprice",IF(X$3&gt;=Initiatives!$N$33,(Initiatives!$N$41*Initiatives!$N$44+Initiatives!$N$42*Initiatives!$N$20)*(1-Inputs!$C$9)^(X$3-Initiatives!$N$33),0)-X167*Initiatives!$N$9,X$5*Initiatives!$N$22*X162+X165*Inputs!$C$8))</f>
        <v>57151002.1427746</v>
      </c>
      <c r="Y168" s="8" t="n">
        <f aca="false">IF(Initiatives!$N$6="adoption",Y166*Initiatives!$N$14+Y165*Initiatives!$N$9-Y167*Initiatives!$N$9,IF(Initiatives!$N$6="reprice",IF(Y$3&gt;=Initiatives!$N$33,(Initiatives!$N$41*Initiatives!$N$44+Initiatives!$N$42*Initiatives!$N$20)*(1-Inputs!$C$9)^(Y$3-Initiatives!$N$33),0)-Y167*Initiatives!$N$9,Y$5*Initiatives!$N$22*Y162+Y165*Inputs!$C$8))</f>
        <v>56624349.7201493</v>
      </c>
      <c r="Z168" s="8" t="n">
        <f aca="false">IF(Initiatives!$N$6="adoption",Z166*Initiatives!$N$14+Z165*Initiatives!$N$9-Z167*Initiatives!$N$9,IF(Initiatives!$N$6="reprice",IF(Z$3&gt;=Initiatives!$N$33,(Initiatives!$N$41*Initiatives!$N$44+Initiatives!$N$42*Initiatives!$N$20)*(1-Inputs!$C$9)^(Z$3-Initiatives!$N$33),0)-Z167*Initiatives!$N$9,Z$5*Initiatives!$N$22*Z162+Z165*Inputs!$C$8))</f>
        <v>56101629.7325492</v>
      </c>
    </row>
    <row r="169" customFormat="false" ht="15" hidden="false" customHeight="false" outlineLevel="0" collapsed="false">
      <c r="A169" s="4" t="s">
        <v>227</v>
      </c>
      <c r="B169" s="4" t="s">
        <v>228</v>
      </c>
      <c r="C169" s="8" t="n">
        <f aca="false">C166*Initiatives!$N$24*Initiatives!$N$25</f>
        <v>0</v>
      </c>
      <c r="D169" s="8" t="n">
        <f aca="false">D166*Initiatives!$N$24*Initiatives!$N$25</f>
        <v>0</v>
      </c>
      <c r="E169" s="8" t="n">
        <f aca="false">E166*Initiatives!$N$24*Initiatives!$N$25</f>
        <v>0</v>
      </c>
      <c r="F169" s="8" t="n">
        <f aca="false">F166*Initiatives!$N$24*Initiatives!$N$25</f>
        <v>0</v>
      </c>
      <c r="G169" s="8" t="n">
        <f aca="false">G166*Initiatives!$N$24*Initiatives!$N$25</f>
        <v>0</v>
      </c>
      <c r="H169" s="8" t="n">
        <f aca="false">H166*Initiatives!$N$24*Initiatives!$N$25</f>
        <v>0</v>
      </c>
      <c r="I169" s="8" t="n">
        <f aca="false">I166*Initiatives!$N$24*Initiatives!$N$25</f>
        <v>0</v>
      </c>
      <c r="J169" s="8" t="n">
        <f aca="false">J166*Initiatives!$N$24*Initiatives!$N$25</f>
        <v>0</v>
      </c>
      <c r="K169" s="8" t="n">
        <f aca="false">K166*Initiatives!$N$24*Initiatives!$N$25</f>
        <v>0</v>
      </c>
      <c r="L169" s="8" t="n">
        <f aca="false">L166*Initiatives!$N$24*Initiatives!$N$25</f>
        <v>0</v>
      </c>
      <c r="M169" s="8" t="n">
        <f aca="false">M166*Initiatives!$N$24*Initiatives!$N$25</f>
        <v>0</v>
      </c>
      <c r="N169" s="8" t="n">
        <f aca="false">N166*Initiatives!$N$24*Initiatives!$N$25</f>
        <v>0</v>
      </c>
      <c r="O169" s="8" t="n">
        <f aca="false">O166*Initiatives!$N$24*Initiatives!$N$25</f>
        <v>0</v>
      </c>
      <c r="P169" s="8" t="n">
        <f aca="false">P166*Initiatives!$N$24*Initiatives!$N$25</f>
        <v>0</v>
      </c>
      <c r="Q169" s="8" t="n">
        <f aca="false">Q166*Initiatives!$N$24*Initiatives!$N$25</f>
        <v>0</v>
      </c>
      <c r="R169" s="8" t="n">
        <f aca="false">R166*Initiatives!$N$24*Initiatives!$N$25</f>
        <v>0</v>
      </c>
      <c r="S169" s="8" t="n">
        <f aca="false">S166*Initiatives!$N$24*Initiatives!$N$25</f>
        <v>0</v>
      </c>
      <c r="T169" s="8" t="n">
        <f aca="false">T166*Initiatives!$N$24*Initiatives!$N$25</f>
        <v>0</v>
      </c>
      <c r="U169" s="8" t="n">
        <f aca="false">U166*Initiatives!$N$24*Initiatives!$N$25</f>
        <v>0</v>
      </c>
      <c r="V169" s="8" t="n">
        <f aca="false">V166*Initiatives!$N$24*Initiatives!$N$25</f>
        <v>0</v>
      </c>
      <c r="W169" s="8" t="n">
        <f aca="false">W166*Initiatives!$N$24*Initiatives!$N$25</f>
        <v>0</v>
      </c>
      <c r="X169" s="8" t="n">
        <f aca="false">X166*Initiatives!$N$24*Initiatives!$N$25</f>
        <v>0</v>
      </c>
      <c r="Y169" s="8" t="n">
        <f aca="false">Y166*Initiatives!$N$24*Initiatives!$N$25</f>
        <v>0</v>
      </c>
      <c r="Z169" s="8" t="n">
        <f aca="false">Z166*Initiatives!$N$24*Initiatives!$N$25</f>
        <v>0</v>
      </c>
    </row>
    <row r="170" customFormat="false" ht="15" hidden="false" customHeight="false" outlineLevel="0" collapsed="false">
      <c r="A170" s="4" t="s">
        <v>229</v>
      </c>
      <c r="B170" s="4" t="s">
        <v>230</v>
      </c>
      <c r="C170" s="8" t="n">
        <f aca="false">IF(C$3&lt;=Initiatives!$N$46,Initiatives!$N$29/Initiatives!$N$46,0)+IF(C$3&gt;=Initiatives!$N$33,Initiatives!$N$30,0)+IF(C$3=Initiatives!$N$33,Initiatives!$N$39*Initiatives!$N$26,0)+C164*Initiatives!$N$27+C166*Initiatives!$N$28+IF(AND(Initiatives!$N$6="reprice",C$3&gt;=Initiatives!$N$33),Initiatives!$N$41*Initiatives!$N$21*(1-Inputs!$C$9)^(C$3-Initiatives!$N$33)-Initiatives!$N$31,0)</f>
        <v>416666666.666667</v>
      </c>
      <c r="D170" s="8" t="n">
        <f aca="false">IF(D$3&lt;=Initiatives!$N$46,Initiatives!$N$29/Initiatives!$N$46,0)+IF(D$3&gt;=Initiatives!$N$33,Initiatives!$N$30,0)+IF(D$3=Initiatives!$N$33,Initiatives!$N$39*Initiatives!$N$26,0)+D164*Initiatives!$N$27+D166*Initiatives!$N$28+IF(AND(Initiatives!$N$6="reprice",D$3&gt;=Initiatives!$N$33),Initiatives!$N$41*Initiatives!$N$21*(1-Inputs!$C$9)^(D$3-Initiatives!$N$33)-Initiatives!$N$31,0)</f>
        <v>416666666.666667</v>
      </c>
      <c r="E170" s="8" t="n">
        <f aca="false">IF(E$3&lt;=Initiatives!$N$46,Initiatives!$N$29/Initiatives!$N$46,0)+IF(E$3&gt;=Initiatives!$N$33,Initiatives!$N$30,0)+IF(E$3=Initiatives!$N$33,Initiatives!$N$39*Initiatives!$N$26,0)+E164*Initiatives!$N$27+E166*Initiatives!$N$28+IF(AND(Initiatives!$N$6="reprice",E$3&gt;=Initiatives!$N$33),Initiatives!$N$41*Initiatives!$N$21*(1-Inputs!$C$9)^(E$3-Initiatives!$N$33)-Initiatives!$N$31,0)</f>
        <v>416666666.666667</v>
      </c>
      <c r="F170" s="8" t="n">
        <f aca="false">IF(F$3&lt;=Initiatives!$N$46,Initiatives!$N$29/Initiatives!$N$46,0)+IF(F$3&gt;=Initiatives!$N$33,Initiatives!$N$30,0)+IF(F$3=Initiatives!$N$33,Initiatives!$N$39*Initiatives!$N$26,0)+F164*Initiatives!$N$27+F166*Initiatives!$N$28+IF(AND(Initiatives!$N$6="reprice",F$3&gt;=Initiatives!$N$33),Initiatives!$N$41*Initiatives!$N$21*(1-Inputs!$C$9)^(F$3-Initiatives!$N$33)-Initiatives!$N$31,0)</f>
        <v>416666666.666667</v>
      </c>
      <c r="G170" s="8" t="n">
        <f aca="false">IF(G$3&lt;=Initiatives!$N$46,Initiatives!$N$29/Initiatives!$N$46,0)+IF(G$3&gt;=Initiatives!$N$33,Initiatives!$N$30,0)+IF(G$3=Initiatives!$N$33,Initiatives!$N$39*Initiatives!$N$26,0)+G164*Initiatives!$N$27+G166*Initiatives!$N$28+IF(AND(Initiatives!$N$6="reprice",G$3&gt;=Initiatives!$N$33),Initiatives!$N$41*Initiatives!$N$21*(1-Inputs!$C$9)^(G$3-Initiatives!$N$33)-Initiatives!$N$31,0)</f>
        <v>416666666.666667</v>
      </c>
      <c r="H170" s="8" t="n">
        <f aca="false">IF(H$3&lt;=Initiatives!$N$46,Initiatives!$N$29/Initiatives!$N$46,0)+IF(H$3&gt;=Initiatives!$N$33,Initiatives!$N$30,0)+IF(H$3=Initiatives!$N$33,Initiatives!$N$39*Initiatives!$N$26,0)+H164*Initiatives!$N$27+H166*Initiatives!$N$28+IF(AND(Initiatives!$N$6="reprice",H$3&gt;=Initiatives!$N$33),Initiatives!$N$41*Initiatives!$N$21*(1-Inputs!$C$9)^(H$3-Initiatives!$N$33)-Initiatives!$N$31,0)</f>
        <v>416666666.666667</v>
      </c>
      <c r="I170" s="8" t="n">
        <f aca="false">IF(I$3&lt;=Initiatives!$N$46,Initiatives!$N$29/Initiatives!$N$46,0)+IF(I$3&gt;=Initiatives!$N$33,Initiatives!$N$30,0)+IF(I$3=Initiatives!$N$33,Initiatives!$N$39*Initiatives!$N$26,0)+I164*Initiatives!$N$27+I166*Initiatives!$N$28+IF(AND(Initiatives!$N$6="reprice",I$3&gt;=Initiatives!$N$33),Initiatives!$N$41*Initiatives!$N$21*(1-Inputs!$C$9)^(I$3-Initiatives!$N$33)-Initiatives!$N$31,0)</f>
        <v>133664853.333333</v>
      </c>
      <c r="J170" s="8" t="n">
        <f aca="false">IF(J$3&lt;=Initiatives!$N$46,Initiatives!$N$29/Initiatives!$N$46,0)+IF(J$3&gt;=Initiatives!$N$33,Initiatives!$N$30,0)+IF(J$3=Initiatives!$N$33,Initiatives!$N$39*Initiatives!$N$26,0)+J164*Initiatives!$N$27+J166*Initiatives!$N$28+IF(AND(Initiatives!$N$6="reprice",J$3&gt;=Initiatives!$N$33),Initiatives!$N$41*Initiatives!$N$21*(1-Inputs!$C$9)^(J$3-Initiatives!$N$33)-Initiatives!$N$31,0)</f>
        <v>95084789.76</v>
      </c>
      <c r="K170" s="8" t="n">
        <f aca="false">IF(K$3&lt;=Initiatives!$N$46,Initiatives!$N$29/Initiatives!$N$46,0)+IF(K$3&gt;=Initiatives!$N$33,Initiatives!$N$30,0)+IF(K$3=Initiatives!$N$33,Initiatives!$N$39*Initiatives!$N$26,0)+K164*Initiatives!$N$27+K166*Initiatives!$N$28+IF(AND(Initiatives!$N$6="reprice",K$3&gt;=Initiatives!$N$33),Initiatives!$N$41*Initiatives!$N$21*(1-Inputs!$C$9)^(K$3-Initiatives!$N$33)-Initiatives!$N$31,0)</f>
        <v>95918598.9495467</v>
      </c>
      <c r="L170" s="8" t="n">
        <f aca="false">IF(L$3&lt;=Initiatives!$N$46,Initiatives!$N$29/Initiatives!$N$46,0)+IF(L$3&gt;=Initiatives!$N$33,Initiatives!$N$30,0)+IF(L$3=Initiatives!$N$33,Initiatives!$N$39*Initiatives!$N$26,0)+L164*Initiatives!$N$27+L166*Initiatives!$N$28+IF(AND(Initiatives!$N$6="reprice",L$3&gt;=Initiatives!$N$33),Initiatives!$N$41*Initiatives!$N$21*(1-Inputs!$C$9)^(L$3-Initiatives!$N$33)-Initiatives!$N$31,0)</f>
        <v>96742402.4288188</v>
      </c>
      <c r="M170" s="8" t="n">
        <f aca="false">IF(M$3&lt;=Initiatives!$N$46,Initiatives!$N$29/Initiatives!$N$46,0)+IF(M$3&gt;=Initiatives!$N$33,Initiatives!$N$30,0)+IF(M$3=Initiatives!$N$33,Initiatives!$N$39*Initiatives!$N$26,0)+M164*Initiatives!$N$27+M166*Initiatives!$N$28+IF(AND(Initiatives!$N$6="reprice",M$3&gt;=Initiatives!$N$33),Initiatives!$N$41*Initiatives!$N$21*(1-Inputs!$C$9)^(M$3-Initiatives!$N$33)-Initiatives!$N$31,0)</f>
        <v>97556320.2663396</v>
      </c>
      <c r="N170" s="8" t="n">
        <f aca="false">IF(N$3&lt;=Initiatives!$N$46,Initiatives!$N$29/Initiatives!$N$46,0)+IF(N$3&gt;=Initiatives!$N$33,Initiatives!$N$30,0)+IF(N$3=Initiatives!$N$33,Initiatives!$N$39*Initiatives!$N$26,0)+N164*Initiatives!$N$27+N166*Initiatives!$N$28+IF(AND(Initiatives!$N$6="reprice",N$3&gt;=Initiatives!$N$33),Initiatives!$N$41*Initiatives!$N$21*(1-Inputs!$C$9)^(N$3-Initiatives!$N$33)-Initiatives!$N$31,0)</f>
        <v>98360471.0898102</v>
      </c>
      <c r="O170" s="8" t="n">
        <f aca="false">IF(O$3&lt;=Initiatives!$N$46,Initiatives!$N$29/Initiatives!$N$46,0)+IF(O$3&gt;=Initiatives!$N$33,Initiatives!$N$30,0)+IF(O$3=Initiatives!$N$33,Initiatives!$N$39*Initiatives!$N$26,0)+O164*Initiatives!$N$27+O166*Initiatives!$N$28+IF(AND(Initiatives!$N$6="reprice",O$3&gt;=Initiatives!$N$33),Initiatives!$N$41*Initiatives!$N$21*(1-Inputs!$C$9)^(O$3-Initiatives!$N$33)-Initiatives!$N$31,0)</f>
        <v>44914118.7700658</v>
      </c>
      <c r="P170" s="8" t="n">
        <f aca="false">IF(P$3&lt;=Initiatives!$N$46,Initiatives!$N$29/Initiatives!$N$46,0)+IF(P$3&gt;=Initiatives!$N$33,Initiatives!$N$30,0)+IF(P$3=Initiatives!$N$33,Initiatives!$N$39*Initiatives!$N$26,0)+P164*Initiatives!$N$27+P166*Initiatives!$N$28+IF(AND(Initiatives!$N$6="reprice",P$3&gt;=Initiatives!$N$33),Initiatives!$N$41*Initiatives!$N$21*(1-Inputs!$C$9)^(P$3-Initiatives!$N$33)-Initiatives!$N$31,0)</f>
        <v>44855149.344825</v>
      </c>
      <c r="Q170" s="8" t="n">
        <f aca="false">IF(Q$3&lt;=Initiatives!$N$46,Initiatives!$N$29/Initiatives!$N$46,0)+IF(Q$3&gt;=Initiatives!$N$33,Initiatives!$N$30,0)+IF(Q$3=Initiatives!$N$33,Initiatives!$N$39*Initiatives!$N$26,0)+Q164*Initiatives!$N$27+Q166*Initiatives!$N$28+IF(AND(Initiatives!$N$6="reprice",Q$3&gt;=Initiatives!$N$33),Initiatives!$N$41*Initiatives!$N$21*(1-Inputs!$C$9)^(Q$3-Initiatives!$N$33)-Initiatives!$N$31,0)</f>
        <v>44796887.5526871</v>
      </c>
      <c r="R170" s="8" t="n">
        <f aca="false">IF(R$3&lt;=Initiatives!$N$46,Initiatives!$N$29/Initiatives!$N$46,0)+IF(R$3&gt;=Initiatives!$N$33,Initiatives!$N$30,0)+IF(R$3=Initiatives!$N$33,Initiatives!$N$39*Initiatives!$N$26,0)+R164*Initiatives!$N$27+R166*Initiatives!$N$28+IF(AND(Initiatives!$N$6="reprice",R$3&gt;=Initiatives!$N$33),Initiatives!$N$41*Initiatives!$N$21*(1-Inputs!$C$9)^(R$3-Initiatives!$N$33)-Initiatives!$N$31,0)</f>
        <v>44739324.9020549</v>
      </c>
      <c r="S170" s="8" t="n">
        <f aca="false">IF(S$3&lt;=Initiatives!$N$46,Initiatives!$N$29/Initiatives!$N$46,0)+IF(S$3&gt;=Initiatives!$N$33,Initiatives!$N$30,0)+IF(S$3=Initiatives!$N$33,Initiatives!$N$39*Initiatives!$N$26,0)+S164*Initiatives!$N$27+S166*Initiatives!$N$28+IF(AND(Initiatives!$N$6="reprice",S$3&gt;=Initiatives!$N$33),Initiatives!$N$41*Initiatives!$N$21*(1-Inputs!$C$9)^(S$3-Initiatives!$N$33)-Initiatives!$N$31,0)</f>
        <v>44682453.0032302</v>
      </c>
      <c r="T170" s="8" t="n">
        <f aca="false">IF(T$3&lt;=Initiatives!$N$46,Initiatives!$N$29/Initiatives!$N$46,0)+IF(T$3&gt;=Initiatives!$N$33,Initiatives!$N$30,0)+IF(T$3=Initiatives!$N$33,Initiatives!$N$39*Initiatives!$N$26,0)+T164*Initiatives!$N$27+T166*Initiatives!$N$28+IF(AND(Initiatives!$N$6="reprice",T$3&gt;=Initiatives!$N$33),Initiatives!$N$41*Initiatives!$N$21*(1-Inputs!$C$9)^(T$3-Initiatives!$N$33)-Initiatives!$N$31,0)</f>
        <v>44626263.5671915</v>
      </c>
      <c r="U170" s="8" t="n">
        <f aca="false">IF(U$3&lt;=Initiatives!$N$46,Initiatives!$N$29/Initiatives!$N$46,0)+IF(U$3&gt;=Initiatives!$N$33,Initiatives!$N$30,0)+IF(U$3=Initiatives!$N$33,Initiatives!$N$39*Initiatives!$N$26,0)+U164*Initiatives!$N$27+U166*Initiatives!$N$28+IF(AND(Initiatives!$N$6="reprice",U$3&gt;=Initiatives!$N$33),Initiatives!$N$41*Initiatives!$N$21*(1-Inputs!$C$9)^(U$3-Initiatives!$N$33)-Initiatives!$N$31,0)</f>
        <v>44570748.4043852</v>
      </c>
      <c r="V170" s="8" t="n">
        <f aca="false">IF(V$3&lt;=Initiatives!$N$46,Initiatives!$N$29/Initiatives!$N$46,0)+IF(V$3&gt;=Initiatives!$N$33,Initiatives!$N$30,0)+IF(V$3=Initiatives!$N$33,Initiatives!$N$39*Initiatives!$N$26,0)+V164*Initiatives!$N$27+V166*Initiatives!$N$28+IF(AND(Initiatives!$N$6="reprice",V$3&gt;=Initiatives!$N$33),Initiatives!$N$41*Initiatives!$N$21*(1-Inputs!$C$9)^(V$3-Initiatives!$N$33)-Initiatives!$N$31,0)</f>
        <v>44515899.4235325</v>
      </c>
      <c r="W170" s="8" t="n">
        <f aca="false">IF(W$3&lt;=Initiatives!$N$46,Initiatives!$N$29/Initiatives!$N$46,0)+IF(W$3&gt;=Initiatives!$N$33,Initiatives!$N$30,0)+IF(W$3=Initiatives!$N$33,Initiatives!$N$39*Initiatives!$N$26,0)+W164*Initiatives!$N$27+W166*Initiatives!$N$28+IF(AND(Initiatives!$N$6="reprice",W$3&gt;=Initiatives!$N$33),Initiatives!$N$41*Initiatives!$N$21*(1-Inputs!$C$9)^(W$3-Initiatives!$N$33)-Initiatives!$N$31,0)</f>
        <v>44461708.6304502</v>
      </c>
      <c r="X170" s="8" t="n">
        <f aca="false">IF(X$3&lt;=Initiatives!$N$46,Initiatives!$N$29/Initiatives!$N$46,0)+IF(X$3&gt;=Initiatives!$N$33,Initiatives!$N$30,0)+IF(X$3=Initiatives!$N$33,Initiatives!$N$39*Initiatives!$N$26,0)+X164*Initiatives!$N$27+X166*Initiatives!$N$28+IF(AND(Initiatives!$N$6="reprice",X$3&gt;=Initiatives!$N$33),Initiatives!$N$41*Initiatives!$N$21*(1-Inputs!$C$9)^(X$3-Initiatives!$N$33)-Initiatives!$N$31,0)</f>
        <v>44408168.1268848</v>
      </c>
      <c r="Y170" s="8" t="n">
        <f aca="false">IF(Y$3&lt;=Initiatives!$N$46,Initiatives!$N$29/Initiatives!$N$46,0)+IF(Y$3&gt;=Initiatives!$N$33,Initiatives!$N$30,0)+IF(Y$3=Initiatives!$N$33,Initiatives!$N$39*Initiatives!$N$26,0)+Y164*Initiatives!$N$27+Y166*Initiatives!$N$28+IF(AND(Initiatives!$N$6="reprice",Y$3&gt;=Initiatives!$N$33),Initiatives!$N$41*Initiatives!$N$21*(1-Inputs!$C$9)^(Y$3-Initiatives!$N$33)-Initiatives!$N$31,0)</f>
        <v>44355270.1093621</v>
      </c>
      <c r="Z170" s="8" t="n">
        <f aca="false">IF(Z$3&lt;=Initiatives!$N$46,Initiatives!$N$29/Initiatives!$N$46,0)+IF(Z$3&gt;=Initiatives!$N$33,Initiatives!$N$30,0)+IF(Z$3=Initiatives!$N$33,Initiatives!$N$39*Initiatives!$N$26,0)+Z164*Initiatives!$N$27+Z166*Initiatives!$N$28+IF(AND(Initiatives!$N$6="reprice",Z$3&gt;=Initiatives!$N$33),Initiatives!$N$41*Initiatives!$N$21*(1-Inputs!$C$9)^(Z$3-Initiatives!$N$33)-Initiatives!$N$31,0)</f>
        <v>44303006.8680498</v>
      </c>
    </row>
    <row r="171" customFormat="false" ht="15" hidden="false" customHeight="false" outlineLevel="0" collapsed="false">
      <c r="A171" s="4" t="s">
        <v>231</v>
      </c>
      <c r="B171" s="4" t="s">
        <v>232</v>
      </c>
      <c r="C171" s="8" t="n">
        <f aca="false">(C168+C169)*Initiatives!$N$32-C170</f>
        <v>-416666666.666667</v>
      </c>
      <c r="D171" s="8" t="n">
        <f aca="false">(D168+D169)*Initiatives!$N$32-D170</f>
        <v>-416666666.666667</v>
      </c>
      <c r="E171" s="8" t="n">
        <f aca="false">(E168+E169)*Initiatives!$N$32-E170</f>
        <v>-416666666.666667</v>
      </c>
      <c r="F171" s="8" t="n">
        <f aca="false">(F168+F169)*Initiatives!$N$32-F170</f>
        <v>-416666666.666667</v>
      </c>
      <c r="G171" s="8" t="n">
        <f aca="false">(G168+G169)*Initiatives!$N$32-G170</f>
        <v>-416666666.666667</v>
      </c>
      <c r="H171" s="8" t="n">
        <f aca="false">(H168+H169)*Initiatives!$N$32-H170</f>
        <v>-416666666.666667</v>
      </c>
      <c r="I171" s="8" t="n">
        <f aca="false">(I168+I169)*Initiatives!$N$32-I170</f>
        <v>-124589120</v>
      </c>
      <c r="J171" s="8" t="n">
        <f aca="false">(J168+J169)*Initiatives!$N$32-J170</f>
        <v>-77015004.6933333</v>
      </c>
      <c r="K171" s="8" t="n">
        <f aca="false">(K168+K169)*Initiatives!$N$32-K170</f>
        <v>-68935871.9783467</v>
      </c>
      <c r="L171" s="8" t="n">
        <f aca="false">(L168+L169)*Initiatives!$N$32-L170</f>
        <v>-60927272.3458198</v>
      </c>
      <c r="M171" s="8" t="n">
        <f aca="false">(M168+M169)*Initiatives!$N$32-M170</f>
        <v>-52988755.6464152</v>
      </c>
      <c r="N171" s="8" t="n">
        <f aca="false">(N168+N169)*Initiatives!$N$32-N170</f>
        <v>-45119871.1888721</v>
      </c>
      <c r="O171" s="8" t="n">
        <f aca="false">(O168+O169)*Initiatives!$N$32-O170</f>
        <v>7844952.16433362</v>
      </c>
      <c r="P171" s="8" t="n">
        <f aca="false">(P168+P169)*Initiatives!$N$32-P170</f>
        <v>7425810.5971501</v>
      </c>
      <c r="Q171" s="8" t="n">
        <f aca="false">(Q168+Q169)*Initiatives!$N$32-Q170</f>
        <v>7009373.76089098</v>
      </c>
      <c r="R171" s="8" t="n">
        <f aca="false">(R168+R169)*Initiatives!$N$32-R170</f>
        <v>6595644.07330335</v>
      </c>
      <c r="S171" s="8" t="n">
        <f aca="false">(S168+S169)*Initiatives!$N$32-S170</f>
        <v>6184623.40000363</v>
      </c>
      <c r="T171" s="8" t="n">
        <f aca="false">(T168+T169)*Initiatives!$N$32-T170</f>
        <v>5776313.06894982</v>
      </c>
      <c r="U171" s="8" t="n">
        <f aca="false">(U168+U169)*Initiatives!$N$32-U170</f>
        <v>5370713.88462246</v>
      </c>
      <c r="V171" s="8" t="n">
        <f aca="false">(V168+V169)*Initiatives!$N$32-V170</f>
        <v>4967826.14191952</v>
      </c>
      <c r="W171" s="8" t="n">
        <f aca="false">(W168+W169)*Initiatives!$N$32-W170</f>
        <v>4567649.63977032</v>
      </c>
      <c r="X171" s="8" t="n">
        <f aca="false">(X168+X169)*Initiatives!$N$32-X170</f>
        <v>4170183.69447362</v>
      </c>
      <c r="Y171" s="8" t="n">
        <f aca="false">(Y168+Y169)*Initiatives!$N$32-Y170</f>
        <v>3775427.15276476</v>
      </c>
      <c r="Z171" s="8" t="n">
        <f aca="false">(Z168+Z169)*Initiatives!$N$32-Z170</f>
        <v>3383378.40461704</v>
      </c>
    </row>
    <row r="172" customFormat="false" ht="15" hidden="false" customHeight="false" outlineLevel="0" collapsed="false">
      <c r="A172" s="4" t="s">
        <v>233</v>
      </c>
      <c r="B172" s="4" t="s">
        <v>234</v>
      </c>
      <c r="C172" s="8" t="n">
        <f aca="false">C165-C167</f>
        <v>0</v>
      </c>
      <c r="D172" s="8" t="n">
        <f aca="false">D165-D167</f>
        <v>0</v>
      </c>
      <c r="E172" s="8" t="n">
        <f aca="false">E165-E167</f>
        <v>0</v>
      </c>
      <c r="F172" s="8" t="n">
        <f aca="false">F165-F167</f>
        <v>0</v>
      </c>
      <c r="G172" s="8" t="n">
        <f aca="false">G165-G167</f>
        <v>0</v>
      </c>
      <c r="H172" s="8" t="n">
        <f aca="false">H165-H167</f>
        <v>0</v>
      </c>
      <c r="I172" s="8" t="n">
        <f aca="false">I165-I167</f>
        <v>0</v>
      </c>
      <c r="J172" s="8" t="n">
        <f aca="false">J165-J167</f>
        <v>3.2032</v>
      </c>
      <c r="K172" s="8" t="n">
        <f aca="false">K165-K167</f>
        <v>9.5231136</v>
      </c>
      <c r="L172" s="8" t="n">
        <f aca="false">L165-L167</f>
        <v>18.8750129568</v>
      </c>
      <c r="M172" s="8" t="n">
        <f aca="false">M165-M167</f>
        <v>31.1758968705184</v>
      </c>
      <c r="N172" s="8" t="n">
        <f aca="false">N165-N167</f>
        <v>46.3444594162342</v>
      </c>
      <c r="O172" s="8" t="n">
        <f aca="false">O165-O167</f>
        <v>64.3010591117789</v>
      </c>
      <c r="P172" s="8" t="n">
        <f aca="false">P165-P167</f>
        <v>81.7644886128491</v>
      </c>
      <c r="Q172" s="8" t="n">
        <f aca="false">Q165-Q167</f>
        <v>98.7448313267502</v>
      </c>
      <c r="R172" s="8" t="n">
        <f aca="false">R165-R167</f>
        <v>115.251987179426</v>
      </c>
      <c r="S172" s="8" t="n">
        <f aca="false">S165-S167</f>
        <v>131.29567575444</v>
      </c>
      <c r="T172" s="8" t="n">
        <f aca="false">T165-T167</f>
        <v>146.885439380237</v>
      </c>
      <c r="U172" s="8" t="n">
        <f aca="false">U165-U167</f>
        <v>162.030646166501</v>
      </c>
      <c r="V172" s="8" t="n">
        <f aca="false">V165-V167</f>
        <v>176.740492990448</v>
      </c>
      <c r="W172" s="8" t="n">
        <f aca="false">W165-W167</f>
        <v>191.024008433838</v>
      </c>
      <c r="X172" s="8" t="n">
        <f aca="false">X165-X167</f>
        <v>204.890055671519</v>
      </c>
      <c r="Y172" s="8" t="n">
        <f aca="false">Y165-Y167</f>
        <v>218.347335312264</v>
      </c>
      <c r="Z172" s="8" t="n">
        <f aca="false">Z165-Z167</f>
        <v>231.404388192688</v>
      </c>
    </row>
    <row r="173" customFormat="false" ht="15" hidden="false" customHeight="false" outlineLevel="0" collapsed="false">
      <c r="A173" s="4" t="s">
        <v>235</v>
      </c>
      <c r="B173" s="4" t="s">
        <v>236</v>
      </c>
      <c r="C173" s="8" t="n">
        <f aca="false">C166*Initiatives!$N$24</f>
        <v>0</v>
      </c>
      <c r="D173" s="8" t="n">
        <f aca="false">D166*Initiatives!$N$24</f>
        <v>0</v>
      </c>
      <c r="E173" s="8" t="n">
        <f aca="false">E166*Initiatives!$N$24</f>
        <v>0</v>
      </c>
      <c r="F173" s="8" t="n">
        <f aca="false">F166*Initiatives!$N$24</f>
        <v>0</v>
      </c>
      <c r="G173" s="8" t="n">
        <f aca="false">G166*Initiatives!$N$24</f>
        <v>0</v>
      </c>
      <c r="H173" s="8" t="n">
        <f aca="false">H166*Initiatives!$N$24</f>
        <v>0</v>
      </c>
      <c r="I173" s="8" t="n">
        <f aca="false">I166*Initiatives!$N$24</f>
        <v>0</v>
      </c>
      <c r="J173" s="8" t="n">
        <f aca="false">J166*Initiatives!$N$24</f>
        <v>0</v>
      </c>
      <c r="K173" s="8" t="n">
        <f aca="false">K166*Initiatives!$N$24</f>
        <v>0</v>
      </c>
      <c r="L173" s="8" t="n">
        <f aca="false">L166*Initiatives!$N$24</f>
        <v>0</v>
      </c>
      <c r="M173" s="8" t="n">
        <f aca="false">M166*Initiatives!$N$24</f>
        <v>0</v>
      </c>
      <c r="N173" s="8" t="n">
        <f aca="false">N166*Initiatives!$N$24</f>
        <v>0</v>
      </c>
      <c r="O173" s="8" t="n">
        <f aca="false">O166*Initiatives!$N$24</f>
        <v>0</v>
      </c>
      <c r="P173" s="8" t="n">
        <f aca="false">P166*Initiatives!$N$24</f>
        <v>0</v>
      </c>
      <c r="Q173" s="8" t="n">
        <f aca="false">Q166*Initiatives!$N$24</f>
        <v>0</v>
      </c>
      <c r="R173" s="8" t="n">
        <f aca="false">R166*Initiatives!$N$24</f>
        <v>0</v>
      </c>
      <c r="S173" s="8" t="n">
        <f aca="false">S166*Initiatives!$N$24</f>
        <v>0</v>
      </c>
      <c r="T173" s="8" t="n">
        <f aca="false">T166*Initiatives!$N$24</f>
        <v>0</v>
      </c>
      <c r="U173" s="8" t="n">
        <f aca="false">U166*Initiatives!$N$24</f>
        <v>0</v>
      </c>
      <c r="V173" s="8" t="n">
        <f aca="false">V166*Initiatives!$N$24</f>
        <v>0</v>
      </c>
      <c r="W173" s="8" t="n">
        <f aca="false">W166*Initiatives!$N$24</f>
        <v>0</v>
      </c>
      <c r="X173" s="8" t="n">
        <f aca="false">X166*Initiatives!$N$24</f>
        <v>0</v>
      </c>
      <c r="Y173" s="8" t="n">
        <f aca="false">Y166*Initiatives!$N$24</f>
        <v>0</v>
      </c>
      <c r="Z173" s="8" t="n">
        <f aca="false">Z166*Initiatives!$N$24</f>
        <v>0</v>
      </c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" hidden="false" customHeight="false" outlineLevel="0" collapsed="false">
      <c r="A175" s="17" t="s">
        <v>248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customFormat="false" ht="15" hidden="false" customHeight="false" outlineLevel="0" collapsed="false">
      <c r="A176" s="4" t="s">
        <v>213</v>
      </c>
      <c r="B176" s="4" t="s">
        <v>214</v>
      </c>
      <c r="C176" s="24" t="n">
        <f aca="false">IF(C$3&lt;Initiatives!$O$33,0,MIN((C$3-Initiatives!$O$33+1)/Initiatives!$O$34,1))</f>
        <v>0</v>
      </c>
      <c r="D176" s="24" t="n">
        <f aca="false">IF(D$3&lt;Initiatives!$O$33,0,MIN((D$3-Initiatives!$O$33+1)/Initiatives!$O$34,1))</f>
        <v>0</v>
      </c>
      <c r="E176" s="24" t="n">
        <f aca="false">IF(E$3&lt;Initiatives!$O$33,0,MIN((E$3-Initiatives!$O$33+1)/Initiatives!$O$34,1))</f>
        <v>0</v>
      </c>
      <c r="F176" s="24" t="n">
        <f aca="false">IF(F$3&lt;Initiatives!$O$33,0,MIN((F$3-Initiatives!$O$33+1)/Initiatives!$O$34,1))</f>
        <v>0</v>
      </c>
      <c r="G176" s="24" t="n">
        <f aca="false">IF(G$3&lt;Initiatives!$O$33,0,MIN((G$3-Initiatives!$O$33+1)/Initiatives!$O$34,1))</f>
        <v>0</v>
      </c>
      <c r="H176" s="24" t="n">
        <f aca="false">IF(H$3&lt;Initiatives!$O$33,0,MIN((H$3-Initiatives!$O$33+1)/Initiatives!$O$34,1))</f>
        <v>0.333333333333333</v>
      </c>
      <c r="I176" s="24" t="n">
        <f aca="false">IF(I$3&lt;Initiatives!$O$33,0,MIN((I$3-Initiatives!$O$33+1)/Initiatives!$O$34,1))</f>
        <v>0.666666666666667</v>
      </c>
      <c r="J176" s="24" t="n">
        <f aca="false">IF(J$3&lt;Initiatives!$O$33,0,MIN((J$3-Initiatives!$O$33+1)/Initiatives!$O$34,1))</f>
        <v>1</v>
      </c>
      <c r="K176" s="24" t="n">
        <f aca="false">IF(K$3&lt;Initiatives!$O$33,0,MIN((K$3-Initiatives!$O$33+1)/Initiatives!$O$34,1))</f>
        <v>1</v>
      </c>
      <c r="L176" s="24" t="n">
        <f aca="false">IF(L$3&lt;Initiatives!$O$33,0,MIN((L$3-Initiatives!$O$33+1)/Initiatives!$O$34,1))</f>
        <v>1</v>
      </c>
      <c r="M176" s="24" t="n">
        <f aca="false">IF(M$3&lt;Initiatives!$O$33,0,MIN((M$3-Initiatives!$O$33+1)/Initiatives!$O$34,1))</f>
        <v>1</v>
      </c>
      <c r="N176" s="24" t="n">
        <f aca="false">IF(N$3&lt;Initiatives!$O$33,0,MIN((N$3-Initiatives!$O$33+1)/Initiatives!$O$34,1))</f>
        <v>1</v>
      </c>
      <c r="O176" s="24" t="n">
        <f aca="false">IF(O$3&lt;Initiatives!$O$33,0,MIN((O$3-Initiatives!$O$33+1)/Initiatives!$O$34,1))</f>
        <v>1</v>
      </c>
      <c r="P176" s="24" t="n">
        <f aca="false">IF(P$3&lt;Initiatives!$O$33,0,MIN((P$3-Initiatives!$O$33+1)/Initiatives!$O$34,1))</f>
        <v>1</v>
      </c>
      <c r="Q176" s="24" t="n">
        <f aca="false">IF(Q$3&lt;Initiatives!$O$33,0,MIN((Q$3-Initiatives!$O$33+1)/Initiatives!$O$34,1))</f>
        <v>1</v>
      </c>
      <c r="R176" s="24" t="n">
        <f aca="false">IF(R$3&lt;Initiatives!$O$33,0,MIN((R$3-Initiatives!$O$33+1)/Initiatives!$O$34,1))</f>
        <v>1</v>
      </c>
      <c r="S176" s="24" t="n">
        <f aca="false">IF(S$3&lt;Initiatives!$O$33,0,MIN((S$3-Initiatives!$O$33+1)/Initiatives!$O$34,1))</f>
        <v>1</v>
      </c>
      <c r="T176" s="24" t="n">
        <f aca="false">IF(T$3&lt;Initiatives!$O$33,0,MIN((T$3-Initiatives!$O$33+1)/Initiatives!$O$34,1))</f>
        <v>1</v>
      </c>
      <c r="U176" s="24" t="n">
        <f aca="false">IF(U$3&lt;Initiatives!$O$33,0,MIN((U$3-Initiatives!$O$33+1)/Initiatives!$O$34,1))</f>
        <v>1</v>
      </c>
      <c r="V176" s="24" t="n">
        <f aca="false">IF(V$3&lt;Initiatives!$O$33,0,MIN((V$3-Initiatives!$O$33+1)/Initiatives!$O$34,1))</f>
        <v>1</v>
      </c>
      <c r="W176" s="24" t="n">
        <f aca="false">IF(W$3&lt;Initiatives!$O$33,0,MIN((W$3-Initiatives!$O$33+1)/Initiatives!$O$34,1))</f>
        <v>1</v>
      </c>
      <c r="X176" s="24" t="n">
        <f aca="false">IF(X$3&lt;Initiatives!$O$33,0,MIN((X$3-Initiatives!$O$33+1)/Initiatives!$O$34,1))</f>
        <v>1</v>
      </c>
      <c r="Y176" s="24" t="n">
        <f aca="false">IF(Y$3&lt;Initiatives!$O$33,0,MIN((Y$3-Initiatives!$O$33+1)/Initiatives!$O$34,1))</f>
        <v>1</v>
      </c>
      <c r="Z176" s="24" t="n">
        <f aca="false">IF(Z$3&lt;Initiatives!$O$33,0,MIN((Z$3-Initiatives!$O$33+1)/Initiatives!$O$34,1))</f>
        <v>1</v>
      </c>
    </row>
    <row r="177" customFormat="false" ht="15" hidden="false" customHeight="false" outlineLevel="0" collapsed="false">
      <c r="A177" s="4" t="s">
        <v>215</v>
      </c>
      <c r="B177" s="4" t="s">
        <v>216</v>
      </c>
      <c r="C177" s="8" t="n">
        <f aca="false">Initiatives!$O$40*C176</f>
        <v>0</v>
      </c>
      <c r="D177" s="8" t="n">
        <f aca="false">Initiatives!$O$40*D176</f>
        <v>0</v>
      </c>
      <c r="E177" s="8" t="n">
        <f aca="false">Initiatives!$O$40*E176</f>
        <v>0</v>
      </c>
      <c r="F177" s="8" t="n">
        <f aca="false">Initiatives!$O$40*F176</f>
        <v>0</v>
      </c>
      <c r="G177" s="8" t="n">
        <f aca="false">Initiatives!$O$40*G176</f>
        <v>0</v>
      </c>
      <c r="H177" s="8" t="n">
        <f aca="false">Initiatives!$O$40*H176</f>
        <v>28512</v>
      </c>
      <c r="I177" s="8" t="n">
        <f aca="false">Initiatives!$O$40*I176</f>
        <v>57024</v>
      </c>
      <c r="J177" s="8" t="n">
        <f aca="false">Initiatives!$O$40*J176</f>
        <v>85536</v>
      </c>
      <c r="K177" s="8" t="n">
        <f aca="false">Initiatives!$O$40*K176</f>
        <v>85536</v>
      </c>
      <c r="L177" s="8" t="n">
        <f aca="false">Initiatives!$O$40*L176</f>
        <v>85536</v>
      </c>
      <c r="M177" s="8" t="n">
        <f aca="false">Initiatives!$O$40*M176</f>
        <v>85536</v>
      </c>
      <c r="N177" s="8" t="n">
        <f aca="false">Initiatives!$O$40*N176</f>
        <v>85536</v>
      </c>
      <c r="O177" s="8" t="n">
        <f aca="false">Initiatives!$O$40*O176</f>
        <v>85536</v>
      </c>
      <c r="P177" s="8" t="n">
        <f aca="false">Initiatives!$O$40*P176</f>
        <v>85536</v>
      </c>
      <c r="Q177" s="8" t="n">
        <f aca="false">Initiatives!$O$40*Q176</f>
        <v>85536</v>
      </c>
      <c r="R177" s="8" t="n">
        <f aca="false">Initiatives!$O$40*R176</f>
        <v>85536</v>
      </c>
      <c r="S177" s="8" t="n">
        <f aca="false">Initiatives!$O$40*S176</f>
        <v>85536</v>
      </c>
      <c r="T177" s="8" t="n">
        <f aca="false">Initiatives!$O$40*T176</f>
        <v>85536</v>
      </c>
      <c r="U177" s="8" t="n">
        <f aca="false">Initiatives!$O$40*U176</f>
        <v>85536</v>
      </c>
      <c r="V177" s="8" t="n">
        <f aca="false">Initiatives!$O$40*V176</f>
        <v>85536</v>
      </c>
      <c r="W177" s="8" t="n">
        <f aca="false">Initiatives!$O$40*W176</f>
        <v>85536</v>
      </c>
      <c r="X177" s="8" t="n">
        <f aca="false">Initiatives!$O$40*X176</f>
        <v>85536</v>
      </c>
      <c r="Y177" s="8" t="n">
        <f aca="false">Initiatives!$O$40*Y176</f>
        <v>85536</v>
      </c>
      <c r="Z177" s="8" t="n">
        <f aca="false">Initiatives!$O$40*Z176</f>
        <v>85536</v>
      </c>
    </row>
    <row r="178" customFormat="false" ht="15" hidden="false" customHeight="false" outlineLevel="0" collapsed="false">
      <c r="A178" s="4" t="s">
        <v>217</v>
      </c>
      <c r="B178" s="4" t="s">
        <v>218</v>
      </c>
      <c r="C178" s="8" t="n">
        <f aca="false">MAX(C177-N(B177),0)</f>
        <v>0</v>
      </c>
      <c r="D178" s="8" t="n">
        <f aca="false">MAX(D177-N(C177),0)</f>
        <v>0</v>
      </c>
      <c r="E178" s="8" t="n">
        <f aca="false">MAX(E177-N(D177),0)</f>
        <v>0</v>
      </c>
      <c r="F178" s="8" t="n">
        <f aca="false">MAX(F177-N(E177),0)</f>
        <v>0</v>
      </c>
      <c r="G178" s="8" t="n">
        <f aca="false">MAX(G177-N(F177),0)</f>
        <v>0</v>
      </c>
      <c r="H178" s="8" t="n">
        <f aca="false">MAX(H177-N(G177),0)</f>
        <v>28512</v>
      </c>
      <c r="I178" s="8" t="n">
        <f aca="false">MAX(I177-N(H177),0)</f>
        <v>28512</v>
      </c>
      <c r="J178" s="8" t="n">
        <f aca="false">MAX(J177-N(I177),0)</f>
        <v>28512</v>
      </c>
      <c r="K178" s="8" t="n">
        <f aca="false">MAX(K177-N(J177),0)</f>
        <v>0</v>
      </c>
      <c r="L178" s="8" t="n">
        <f aca="false">MAX(L177-N(K177),0)</f>
        <v>0</v>
      </c>
      <c r="M178" s="8" t="n">
        <f aca="false">MAX(M177-N(L177),0)</f>
        <v>0</v>
      </c>
      <c r="N178" s="8" t="n">
        <f aca="false">MAX(N177-N(M177),0)</f>
        <v>0</v>
      </c>
      <c r="O178" s="8" t="n">
        <f aca="false">MAX(O177-N(N177),0)</f>
        <v>0</v>
      </c>
      <c r="P178" s="8" t="n">
        <f aca="false">MAX(P177-N(O177),0)</f>
        <v>0</v>
      </c>
      <c r="Q178" s="8" t="n">
        <f aca="false">MAX(Q177-N(P177),0)</f>
        <v>0</v>
      </c>
      <c r="R178" s="8" t="n">
        <f aca="false">MAX(R177-N(Q177),0)</f>
        <v>0</v>
      </c>
      <c r="S178" s="8" t="n">
        <f aca="false">MAX(S177-N(R177),0)</f>
        <v>0</v>
      </c>
      <c r="T178" s="8" t="n">
        <f aca="false">MAX(T177-N(S177),0)</f>
        <v>0</v>
      </c>
      <c r="U178" s="8" t="n">
        <f aca="false">MAX(U177-N(T177),0)</f>
        <v>0</v>
      </c>
      <c r="V178" s="8" t="n">
        <f aca="false">MAX(V177-N(U177),0)</f>
        <v>0</v>
      </c>
      <c r="W178" s="8" t="n">
        <f aca="false">MAX(W177-N(V177),0)</f>
        <v>0</v>
      </c>
      <c r="X178" s="8" t="n">
        <f aca="false">MAX(X177-N(W177),0)</f>
        <v>0</v>
      </c>
      <c r="Y178" s="8" t="n">
        <f aca="false">MAX(Y177-N(X177),0)</f>
        <v>0</v>
      </c>
      <c r="Z178" s="8" t="n">
        <f aca="false">MAX(Z177-N(Y177),0)</f>
        <v>0</v>
      </c>
    </row>
    <row r="179" customFormat="false" ht="15" hidden="false" customHeight="false" outlineLevel="0" collapsed="false">
      <c r="A179" s="4" t="s">
        <v>219</v>
      </c>
      <c r="B179" s="4" t="s">
        <v>220</v>
      </c>
      <c r="C179" s="8" t="n">
        <f aca="false">IF(Initiatives!$O$6="adoption",N(B179)*(1-Inputs!$C$9)+N(B180)*Inputs!$C$9*Initiatives!$O$16,IF(Initiatives!$O$6="relative",N(B179)*(1-Inputs!$C$9)+C$4*Inputs!$C$9*Initiatives!$O$23*C176,0))</f>
        <v>0</v>
      </c>
      <c r="D179" s="8" t="n">
        <f aca="false">IF(Initiatives!$O$6="adoption",N(C179)*(1-Inputs!$C$9)+N(C180)*Inputs!$C$9*Initiatives!$O$16,IF(Initiatives!$O$6="relative",N(C179)*(1-Inputs!$C$9)+D$4*Inputs!$C$9*Initiatives!$O$23*D176,0))</f>
        <v>0</v>
      </c>
      <c r="E179" s="8" t="n">
        <f aca="false">IF(Initiatives!$O$6="adoption",N(D179)*(1-Inputs!$C$9)+N(D180)*Inputs!$C$9*Initiatives!$O$16,IF(Initiatives!$O$6="relative",N(D179)*(1-Inputs!$C$9)+E$4*Inputs!$C$9*Initiatives!$O$23*E176,0))</f>
        <v>0</v>
      </c>
      <c r="F179" s="8" t="n">
        <f aca="false">IF(Initiatives!$O$6="adoption",N(E179)*(1-Inputs!$C$9)+N(E180)*Inputs!$C$9*Initiatives!$O$16,IF(Initiatives!$O$6="relative",N(E179)*(1-Inputs!$C$9)+F$4*Inputs!$C$9*Initiatives!$O$23*F176,0))</f>
        <v>0</v>
      </c>
      <c r="G179" s="8" t="n">
        <f aca="false">IF(Initiatives!$O$6="adoption",N(F179)*(1-Inputs!$C$9)+N(F180)*Inputs!$C$9*Initiatives!$O$16,IF(Initiatives!$O$6="relative",N(F179)*(1-Inputs!$C$9)+G$4*Inputs!$C$9*Initiatives!$O$23*G176,0))</f>
        <v>0</v>
      </c>
      <c r="H179" s="8" t="n">
        <f aca="false">IF(Initiatives!$O$6="adoption",N(G179)*(1-Inputs!$C$9)+N(G180)*Inputs!$C$9*Initiatives!$O$16,IF(Initiatives!$O$6="relative",N(G179)*(1-Inputs!$C$9)+H$4*Inputs!$C$9*Initiatives!$O$23*H176,0))</f>
        <v>0</v>
      </c>
      <c r="I179" s="8" t="n">
        <f aca="false">IF(Initiatives!$O$6="adoption",N(H179)*(1-Inputs!$C$9)+N(H180)*Inputs!$C$9*Initiatives!$O$16,IF(Initiatives!$O$6="relative",N(H179)*(1-Inputs!$C$9)+I$4*Inputs!$C$9*Initiatives!$O$23*I176,0))</f>
        <v>42.768</v>
      </c>
      <c r="J179" s="8" t="n">
        <f aca="false">IF(Initiatives!$O$6="adoption",N(I179)*(1-Inputs!$C$9)+N(I180)*Inputs!$C$9*Initiatives!$O$16,IF(Initiatives!$O$6="relative",N(I179)*(1-Inputs!$C$9)+J$4*Inputs!$C$9*Initiatives!$O$23*J176,0))</f>
        <v>127.085112</v>
      </c>
      <c r="K179" s="8" t="n">
        <f aca="false">IF(Initiatives!$O$6="adoption",N(J179)*(1-Inputs!$C$9)+N(J180)*Inputs!$C$9*Initiatives!$O$16,IF(Initiatives!$O$6="relative",N(J179)*(1-Inputs!$C$9)+K$4*Inputs!$C$9*Initiatives!$O$23*K176,0))</f>
        <v>251.758525788</v>
      </c>
      <c r="L179" s="8" t="n">
        <f aca="false">IF(Initiatives!$O$6="adoption",N(K179)*(1-Inputs!$C$9)+N(K180)*Inputs!$C$9*Initiatives!$O$16,IF(Initiatives!$O$6="relative",N(K179)*(1-Inputs!$C$9)+L$4*Inputs!$C$9*Initiatives!$O$23*L176,0))</f>
        <v>372.853012547862</v>
      </c>
      <c r="M179" s="8" t="n">
        <f aca="false">IF(Initiatives!$O$6="adoption",N(L179)*(1-Inputs!$C$9)+N(L180)*Inputs!$C$9*Initiatives!$O$16,IF(Initiatives!$O$6="relative",N(L179)*(1-Inputs!$C$9)+M$4*Inputs!$C$9*Initiatives!$O$23*M176,0))</f>
        <v>490.445325333596</v>
      </c>
      <c r="N179" s="8" t="n">
        <f aca="false">IF(Initiatives!$O$6="adoption",N(M179)*(1-Inputs!$C$9)+N(M180)*Inputs!$C$9*Initiatives!$O$16,IF(Initiatives!$O$6="relative",N(M179)*(1-Inputs!$C$9)+N$4*Inputs!$C$9*Initiatives!$O$23*N176,0))</f>
        <v>604.610754469896</v>
      </c>
      <c r="O179" s="8" t="n">
        <f aca="false">IF(Initiatives!$O$6="adoption",N(N179)*(1-Inputs!$C$9)+N(N180)*Inputs!$C$9*Initiatives!$O$16,IF(Initiatives!$O$6="relative",N(N179)*(1-Inputs!$C$9)+O$4*Inputs!$C$9*Initiatives!$O$23*O176,0))</f>
        <v>715.42315369743</v>
      </c>
      <c r="P179" s="8" t="n">
        <f aca="false">IF(Initiatives!$O$6="adoption",N(O179)*(1-Inputs!$C$9)+N(O180)*Inputs!$C$9*Initiatives!$O$16,IF(Initiatives!$O$6="relative",N(O179)*(1-Inputs!$C$9)+P$4*Inputs!$C$9*Initiatives!$O$23*P176,0))</f>
        <v>822.954965869201</v>
      </c>
      <c r="Q179" s="8" t="n">
        <f aca="false">IF(Initiatives!$O$6="adoption",N(P179)*(1-Inputs!$C$9)+N(P180)*Inputs!$C$9*Initiatives!$O$16,IF(Initiatives!$O$6="relative",N(P179)*(1-Inputs!$C$9)+Q$4*Inputs!$C$9*Initiatives!$O$23*Q176,0))</f>
        <v>927.277248205451</v>
      </c>
      <c r="R179" s="8" t="n">
        <f aca="false">IF(Initiatives!$O$6="adoption",N(Q179)*(1-Inputs!$C$9)+N(Q180)*Inputs!$C$9*Initiatives!$O$16,IF(Initiatives!$O$6="relative",N(Q179)*(1-Inputs!$C$9)+R$4*Inputs!$C$9*Initiatives!$O$23*R176,0))</f>
        <v>1028.45969711453</v>
      </c>
      <c r="S179" s="8" t="n">
        <f aca="false">IF(Initiatives!$O$6="adoption",N(R179)*(1-Inputs!$C$9)+N(R180)*Inputs!$C$9*Initiatives!$O$16,IF(Initiatives!$O$6="relative",N(R179)*(1-Inputs!$C$9)+S$4*Inputs!$C$9*Initiatives!$O$23*S176,0))</f>
        <v>1126.57067258694</v>
      </c>
      <c r="T179" s="8" t="n">
        <f aca="false">IF(Initiatives!$O$6="adoption",N(S179)*(1-Inputs!$C$9)+N(S180)*Inputs!$C$9*Initiatives!$O$16,IF(Initiatives!$O$6="relative",N(S179)*(1-Inputs!$C$9)+T$4*Inputs!$C$9*Initiatives!$O$23*T176,0))</f>
        <v>1221.67722216972</v>
      </c>
      <c r="U179" s="8" t="n">
        <f aca="false">IF(Initiatives!$O$6="adoption",N(T179)*(1-Inputs!$C$9)+N(T180)*Inputs!$C$9*Initiatives!$O$16,IF(Initiatives!$O$6="relative",N(T179)*(1-Inputs!$C$9)+U$4*Inputs!$C$9*Initiatives!$O$23*U176,0))</f>
        <v>1313.84510452819</v>
      </c>
      <c r="V179" s="8" t="n">
        <f aca="false">IF(Initiatives!$O$6="adoption",N(U179)*(1-Inputs!$C$9)+N(U180)*Inputs!$C$9*Initiatives!$O$16,IF(Initiatives!$O$6="relative",N(U179)*(1-Inputs!$C$9)+V$4*Inputs!$C$9*Initiatives!$O$23*V176,0))</f>
        <v>1403.13881260196</v>
      </c>
      <c r="W179" s="8" t="n">
        <f aca="false">IF(Initiatives!$O$6="adoption",N(V179)*(1-Inputs!$C$9)+N(V180)*Inputs!$C$9*Initiatives!$O$16,IF(Initiatives!$O$6="relative",N(V179)*(1-Inputs!$C$9)+W$4*Inputs!$C$9*Initiatives!$O$23*W176,0))</f>
        <v>1489.62159636195</v>
      </c>
      <c r="X179" s="8" t="n">
        <f aca="false">IF(Initiatives!$O$6="adoption",N(W179)*(1-Inputs!$C$9)+N(W180)*Inputs!$C$9*Initiatives!$O$16,IF(Initiatives!$O$6="relative",N(W179)*(1-Inputs!$C$9)+X$4*Inputs!$C$9*Initiatives!$O$23*X176,0))</f>
        <v>1573.35548517524</v>
      </c>
      <c r="Y179" s="8" t="n">
        <f aca="false">IF(Initiatives!$O$6="adoption",N(X179)*(1-Inputs!$C$9)+N(X180)*Inputs!$C$9*Initiatives!$O$16,IF(Initiatives!$O$6="relative",N(X179)*(1-Inputs!$C$9)+Y$4*Inputs!$C$9*Initiatives!$O$23*Y176,0))</f>
        <v>1654.40130978408</v>
      </c>
      <c r="Z179" s="8" t="n">
        <f aca="false">IF(Initiatives!$O$6="adoption",N(Y179)*(1-Inputs!$C$9)+N(Y180)*Inputs!$C$9*Initiatives!$O$16,IF(Initiatives!$O$6="relative",N(Y179)*(1-Inputs!$C$9)+Z$4*Inputs!$C$9*Initiatives!$O$23*Z176,0))</f>
        <v>1732.81872390582</v>
      </c>
    </row>
    <row r="180" customFormat="false" ht="15" hidden="false" customHeight="false" outlineLevel="0" collapsed="false">
      <c r="A180" s="4" t="s">
        <v>221</v>
      </c>
      <c r="B180" s="4" t="s">
        <v>222</v>
      </c>
      <c r="C180" s="8" t="n">
        <f aca="false">N(B180)*(1-Initiatives!$O$45)*(1-Inputs!$C$9*(1-Initiatives!$O$16))+C178</f>
        <v>0</v>
      </c>
      <c r="D180" s="8" t="n">
        <f aca="false">N(C180)*(1-Initiatives!$O$45)*(1-Inputs!$C$9*(1-Initiatives!$O$16))+D178</f>
        <v>0</v>
      </c>
      <c r="E180" s="8" t="n">
        <f aca="false">N(D180)*(1-Initiatives!$O$45)*(1-Inputs!$C$9*(1-Initiatives!$O$16))+E178</f>
        <v>0</v>
      </c>
      <c r="F180" s="8" t="n">
        <f aca="false">N(E180)*(1-Initiatives!$O$45)*(1-Inputs!$C$9*(1-Initiatives!$O$16))+F178</f>
        <v>0</v>
      </c>
      <c r="G180" s="8" t="n">
        <f aca="false">N(F180)*(1-Initiatives!$O$45)*(1-Inputs!$C$9*(1-Initiatives!$O$16))+G178</f>
        <v>0</v>
      </c>
      <c r="H180" s="8" t="n">
        <f aca="false">N(G180)*(1-Initiatives!$O$45)*(1-Inputs!$C$9*(1-Initiatives!$O$16))+H178</f>
        <v>28512</v>
      </c>
      <c r="I180" s="8" t="n">
        <f aca="false">N(H180)*(1-Initiatives!$O$45)*(1-Inputs!$C$9*(1-Initiatives!$O$16))+I178</f>
        <v>56639.088</v>
      </c>
      <c r="J180" s="8" t="n">
        <f aca="false">N(I180)*(1-Initiatives!$O$45)*(1-Inputs!$C$9*(1-Initiatives!$O$16))+J178</f>
        <v>84386.460312</v>
      </c>
      <c r="K180" s="8" t="n">
        <f aca="false">N(J180)*(1-Initiatives!$O$45)*(1-Inputs!$C$9*(1-Initiatives!$O$16))+K178</f>
        <v>83247.243097788</v>
      </c>
      <c r="L180" s="8" t="n">
        <f aca="false">N(K180)*(1-Initiatives!$O$45)*(1-Inputs!$C$9*(1-Initiatives!$O$16))+L178</f>
        <v>82123.4053159679</v>
      </c>
      <c r="M180" s="8" t="n">
        <f aca="false">N(L180)*(1-Initiatives!$O$45)*(1-Inputs!$C$9*(1-Initiatives!$O$16))+M178</f>
        <v>81014.7393442023</v>
      </c>
      <c r="N180" s="8" t="n">
        <f aca="false">N(M180)*(1-Initiatives!$O$45)*(1-Inputs!$C$9*(1-Initiatives!$O$16))+N178</f>
        <v>79921.0403630556</v>
      </c>
      <c r="O180" s="8" t="n">
        <f aca="false">N(N180)*(1-Initiatives!$O$45)*(1-Inputs!$C$9*(1-Initiatives!$O$16))+O178</f>
        <v>78842.1063181543</v>
      </c>
      <c r="P180" s="8" t="n">
        <f aca="false">N(O180)*(1-Initiatives!$O$45)*(1-Inputs!$C$9*(1-Initiatives!$O$16))+P178</f>
        <v>77777.7378828593</v>
      </c>
      <c r="Q180" s="8" t="n">
        <f aca="false">N(P180)*(1-Initiatives!$O$45)*(1-Inputs!$C$9*(1-Initiatives!$O$16))+Q178</f>
        <v>76727.7384214407</v>
      </c>
      <c r="R180" s="8" t="n">
        <f aca="false">N(Q180)*(1-Initiatives!$O$45)*(1-Inputs!$C$9*(1-Initiatives!$O$16))+R178</f>
        <v>75691.9139527512</v>
      </c>
      <c r="S180" s="8" t="n">
        <f aca="false">N(R180)*(1-Initiatives!$O$45)*(1-Inputs!$C$9*(1-Initiatives!$O$16))+S178</f>
        <v>74670.0731143891</v>
      </c>
      <c r="T180" s="8" t="n">
        <f aca="false">N(S180)*(1-Initiatives!$O$45)*(1-Inputs!$C$9*(1-Initiatives!$O$16))+T178</f>
        <v>73662.0271273448</v>
      </c>
      <c r="U180" s="8" t="n">
        <f aca="false">N(T180)*(1-Initiatives!$O$45)*(1-Inputs!$C$9*(1-Initiatives!$O$16))+U178</f>
        <v>72667.5897611257</v>
      </c>
      <c r="V180" s="8" t="n">
        <f aca="false">N(U180)*(1-Initiatives!$O$45)*(1-Inputs!$C$9*(1-Initiatives!$O$16))+V178</f>
        <v>71686.5772993505</v>
      </c>
      <c r="W180" s="8" t="n">
        <f aca="false">N(V180)*(1-Initiatives!$O$45)*(1-Inputs!$C$9*(1-Initiatives!$O$16))+W178</f>
        <v>70718.8085058093</v>
      </c>
      <c r="X180" s="8" t="n">
        <f aca="false">N(W180)*(1-Initiatives!$O$45)*(1-Inputs!$C$9*(1-Initiatives!$O$16))+X178</f>
        <v>69764.1045909808</v>
      </c>
      <c r="Y180" s="8" t="n">
        <f aca="false">N(X180)*(1-Initiatives!$O$45)*(1-Inputs!$C$9*(1-Initiatives!$O$16))+Y178</f>
        <v>68822.2891790026</v>
      </c>
      <c r="Z180" s="8" t="n">
        <f aca="false">N(Y180)*(1-Initiatives!$O$45)*(1-Inputs!$C$9*(1-Initiatives!$O$16))+Z178</f>
        <v>67893.1882750861</v>
      </c>
    </row>
    <row r="181" customFormat="false" ht="15" hidden="false" customHeight="false" outlineLevel="0" collapsed="false">
      <c r="A181" s="4" t="s">
        <v>223</v>
      </c>
      <c r="B181" s="4" t="s">
        <v>224</v>
      </c>
      <c r="C181" s="8" t="n">
        <f aca="false">N(B181)*(1-Inputs!$C$9)+IF(AND(C$3&gt;=Initiatives!$O$33,C$3&lt;Initiatives!$O$33+Initiatives!$O$47),Initiatives!$O$43/Initiatives!$O$47,0)</f>
        <v>0</v>
      </c>
      <c r="D181" s="8" t="n">
        <f aca="false">N(C181)*(1-Inputs!$C$9)+IF(AND(D$3&gt;=Initiatives!$O$33,D$3&lt;Initiatives!$O$33+Initiatives!$O$47),Initiatives!$O$43/Initiatives!$O$47,0)</f>
        <v>0</v>
      </c>
      <c r="E181" s="8" t="n">
        <f aca="false">N(D181)*(1-Inputs!$C$9)+IF(AND(E$3&gt;=Initiatives!$O$33,E$3&lt;Initiatives!$O$33+Initiatives!$O$47),Initiatives!$O$43/Initiatives!$O$47,0)</f>
        <v>0</v>
      </c>
      <c r="F181" s="8" t="n">
        <f aca="false">N(E181)*(1-Inputs!$C$9)+IF(AND(F$3&gt;=Initiatives!$O$33,F$3&lt;Initiatives!$O$33+Initiatives!$O$47),Initiatives!$O$43/Initiatives!$O$47,0)</f>
        <v>0</v>
      </c>
      <c r="G181" s="8" t="n">
        <f aca="false">N(F181)*(1-Inputs!$C$9)+IF(AND(G$3&gt;=Initiatives!$O$33,G$3&lt;Initiatives!$O$33+Initiatives!$O$47),Initiatives!$O$43/Initiatives!$O$47,0)</f>
        <v>0</v>
      </c>
      <c r="H181" s="8" t="n">
        <f aca="false">N(G181)*(1-Inputs!$C$9)+IF(AND(H$3&gt;=Initiatives!$O$33,H$3&lt;Initiatives!$O$33+Initiatives!$O$47),Initiatives!$O$43/Initiatives!$O$47,0)</f>
        <v>0</v>
      </c>
      <c r="I181" s="8" t="n">
        <f aca="false">N(H181)*(1-Inputs!$C$9)+IF(AND(I$3&gt;=Initiatives!$O$33,I$3&lt;Initiatives!$O$33+Initiatives!$O$47),Initiatives!$O$43/Initiatives!$O$47,0)</f>
        <v>0</v>
      </c>
      <c r="J181" s="8" t="n">
        <f aca="false">N(I181)*(1-Inputs!$C$9)+IF(AND(J$3&gt;=Initiatives!$O$33,J$3&lt;Initiatives!$O$33+Initiatives!$O$47),Initiatives!$O$43/Initiatives!$O$47,0)</f>
        <v>0</v>
      </c>
      <c r="K181" s="8" t="n">
        <f aca="false">N(J181)*(1-Inputs!$C$9)+IF(AND(K$3&gt;=Initiatives!$O$33,K$3&lt;Initiatives!$O$33+Initiatives!$O$47),Initiatives!$O$43/Initiatives!$O$47,0)</f>
        <v>0</v>
      </c>
      <c r="L181" s="8" t="n">
        <f aca="false">N(K181)*(1-Inputs!$C$9)+IF(AND(L$3&gt;=Initiatives!$O$33,L$3&lt;Initiatives!$O$33+Initiatives!$O$47),Initiatives!$O$43/Initiatives!$O$47,0)</f>
        <v>0</v>
      </c>
      <c r="M181" s="8" t="n">
        <f aca="false">N(L181)*(1-Inputs!$C$9)+IF(AND(M$3&gt;=Initiatives!$O$33,M$3&lt;Initiatives!$O$33+Initiatives!$O$47),Initiatives!$O$43/Initiatives!$O$47,0)</f>
        <v>0</v>
      </c>
      <c r="N181" s="8" t="n">
        <f aca="false">N(M181)*(1-Inputs!$C$9)+IF(AND(N$3&gt;=Initiatives!$O$33,N$3&lt;Initiatives!$O$33+Initiatives!$O$47),Initiatives!$O$43/Initiatives!$O$47,0)</f>
        <v>0</v>
      </c>
      <c r="O181" s="8" t="n">
        <f aca="false">N(N181)*(1-Inputs!$C$9)+IF(AND(O$3&gt;=Initiatives!$O$33,O$3&lt;Initiatives!$O$33+Initiatives!$O$47),Initiatives!$O$43/Initiatives!$O$47,0)</f>
        <v>0</v>
      </c>
      <c r="P181" s="8" t="n">
        <f aca="false">N(O181)*(1-Inputs!$C$9)+IF(AND(P$3&gt;=Initiatives!$O$33,P$3&lt;Initiatives!$O$33+Initiatives!$O$47),Initiatives!$O$43/Initiatives!$O$47,0)</f>
        <v>0</v>
      </c>
      <c r="Q181" s="8" t="n">
        <f aca="false">N(P181)*(1-Inputs!$C$9)+IF(AND(Q$3&gt;=Initiatives!$O$33,Q$3&lt;Initiatives!$O$33+Initiatives!$O$47),Initiatives!$O$43/Initiatives!$O$47,0)</f>
        <v>0</v>
      </c>
      <c r="R181" s="8" t="n">
        <f aca="false">N(Q181)*(1-Inputs!$C$9)+IF(AND(R$3&gt;=Initiatives!$O$33,R$3&lt;Initiatives!$O$33+Initiatives!$O$47),Initiatives!$O$43/Initiatives!$O$47,0)</f>
        <v>0</v>
      </c>
      <c r="S181" s="8" t="n">
        <f aca="false">N(R181)*(1-Inputs!$C$9)+IF(AND(S$3&gt;=Initiatives!$O$33,S$3&lt;Initiatives!$O$33+Initiatives!$O$47),Initiatives!$O$43/Initiatives!$O$47,0)</f>
        <v>0</v>
      </c>
      <c r="T181" s="8" t="n">
        <f aca="false">N(S181)*(1-Inputs!$C$9)+IF(AND(T$3&gt;=Initiatives!$O$33,T$3&lt;Initiatives!$O$33+Initiatives!$O$47),Initiatives!$O$43/Initiatives!$O$47,0)</f>
        <v>0</v>
      </c>
      <c r="U181" s="8" t="n">
        <f aca="false">N(T181)*(1-Inputs!$C$9)+IF(AND(U$3&gt;=Initiatives!$O$33,U$3&lt;Initiatives!$O$33+Initiatives!$O$47),Initiatives!$O$43/Initiatives!$O$47,0)</f>
        <v>0</v>
      </c>
      <c r="V181" s="8" t="n">
        <f aca="false">N(U181)*(1-Inputs!$C$9)+IF(AND(V$3&gt;=Initiatives!$O$33,V$3&lt;Initiatives!$O$33+Initiatives!$O$47),Initiatives!$O$43/Initiatives!$O$47,0)</f>
        <v>0</v>
      </c>
      <c r="W181" s="8" t="n">
        <f aca="false">N(V181)*(1-Inputs!$C$9)+IF(AND(W$3&gt;=Initiatives!$O$33,W$3&lt;Initiatives!$O$33+Initiatives!$O$47),Initiatives!$O$43/Initiatives!$O$47,0)</f>
        <v>0</v>
      </c>
      <c r="X181" s="8" t="n">
        <f aca="false">N(W181)*(1-Inputs!$C$9)+IF(AND(X$3&gt;=Initiatives!$O$33,X$3&lt;Initiatives!$O$33+Initiatives!$O$47),Initiatives!$O$43/Initiatives!$O$47,0)</f>
        <v>0</v>
      </c>
      <c r="Y181" s="8" t="n">
        <f aca="false">N(X181)*(1-Inputs!$C$9)+IF(AND(Y$3&gt;=Initiatives!$O$33,Y$3&lt;Initiatives!$O$33+Initiatives!$O$47),Initiatives!$O$43/Initiatives!$O$47,0)</f>
        <v>0</v>
      </c>
      <c r="Z181" s="8" t="n">
        <f aca="false">N(Y181)*(1-Inputs!$C$9)+IF(AND(Z$3&gt;=Initiatives!$O$33,Z$3&lt;Initiatives!$O$33+Initiatives!$O$47),Initiatives!$O$43/Initiatives!$O$47,0)</f>
        <v>0</v>
      </c>
    </row>
    <row r="182" customFormat="false" ht="15" hidden="false" customHeight="false" outlineLevel="0" collapsed="false">
      <c r="A182" s="4" t="s">
        <v>225</v>
      </c>
      <c r="B182" s="4" t="s">
        <v>226</v>
      </c>
      <c r="C182" s="8" t="n">
        <f aca="false">IF(Initiatives!$O$6="adoption",C180*Initiatives!$O$14+C179*Initiatives!$O$9-C181*Initiatives!$O$9,IF(Initiatives!$O$6="reprice",IF(C$3&gt;=Initiatives!$O$33,(Initiatives!$O$41*Initiatives!$O$44+Initiatives!$O$42*Initiatives!$O$20)*(1-Inputs!$C$9)^(C$3-Initiatives!$O$33),0)-C181*Initiatives!$O$9,C$5*Initiatives!$O$22*C176+C179*Inputs!$C$8))</f>
        <v>0</v>
      </c>
      <c r="D182" s="8" t="n">
        <f aca="false">IF(Initiatives!$O$6="adoption",D180*Initiatives!$O$14+D179*Initiatives!$O$9-D181*Initiatives!$O$9,IF(Initiatives!$O$6="reprice",IF(D$3&gt;=Initiatives!$O$33,(Initiatives!$O$41*Initiatives!$O$44+Initiatives!$O$42*Initiatives!$O$20)*(1-Inputs!$C$9)^(D$3-Initiatives!$O$33),0)-D181*Initiatives!$O$9,D$5*Initiatives!$O$22*D176+D179*Inputs!$C$8))</f>
        <v>0</v>
      </c>
      <c r="E182" s="8" t="n">
        <f aca="false">IF(Initiatives!$O$6="adoption",E180*Initiatives!$O$14+E179*Initiatives!$O$9-E181*Initiatives!$O$9,IF(Initiatives!$O$6="reprice",IF(E$3&gt;=Initiatives!$O$33,(Initiatives!$O$41*Initiatives!$O$44+Initiatives!$O$42*Initiatives!$O$20)*(1-Inputs!$C$9)^(E$3-Initiatives!$O$33),0)-E181*Initiatives!$O$9,E$5*Initiatives!$O$22*E176+E179*Inputs!$C$8))</f>
        <v>0</v>
      </c>
      <c r="F182" s="8" t="n">
        <f aca="false">IF(Initiatives!$O$6="adoption",F180*Initiatives!$O$14+F179*Initiatives!$O$9-F181*Initiatives!$O$9,IF(Initiatives!$O$6="reprice",IF(F$3&gt;=Initiatives!$O$33,(Initiatives!$O$41*Initiatives!$O$44+Initiatives!$O$42*Initiatives!$O$20)*(1-Inputs!$C$9)^(F$3-Initiatives!$O$33),0)-F181*Initiatives!$O$9,F$5*Initiatives!$O$22*F176+F179*Inputs!$C$8))</f>
        <v>0</v>
      </c>
      <c r="G182" s="8" t="n">
        <f aca="false">IF(Initiatives!$O$6="adoption",G180*Initiatives!$O$14+G179*Initiatives!$O$9-G181*Initiatives!$O$9,IF(Initiatives!$O$6="reprice",IF(G$3&gt;=Initiatives!$O$33,(Initiatives!$O$41*Initiatives!$O$44+Initiatives!$O$42*Initiatives!$O$20)*(1-Inputs!$C$9)^(G$3-Initiatives!$O$33),0)-G181*Initiatives!$O$9,G$5*Initiatives!$O$22*G176+G179*Inputs!$C$8))</f>
        <v>0</v>
      </c>
      <c r="H182" s="8" t="n">
        <f aca="false">IF(Initiatives!$O$6="adoption",H180*Initiatives!$O$14+H179*Initiatives!$O$9-H181*Initiatives!$O$9,IF(Initiatives!$O$6="reprice",IF(H$3&gt;=Initiatives!$O$33,(Initiatives!$O$41*Initiatives!$O$44+Initiatives!$O$42*Initiatives!$O$20)*(1-Inputs!$C$9)^(H$3-Initiatives!$O$33),0)-H181*Initiatives!$O$9,H$5*Initiatives!$O$22*H176+H179*Inputs!$C$8))</f>
        <v>85536000</v>
      </c>
      <c r="I182" s="8" t="n">
        <f aca="false">IF(Initiatives!$O$6="adoption",I180*Initiatives!$O$14+I179*Initiatives!$O$9-I181*Initiatives!$O$9,IF(Initiatives!$O$6="reprice",IF(I$3&gt;=Initiatives!$O$33,(Initiatives!$O$41*Initiatives!$O$44+Initiatives!$O$42*Initiatives!$O$20)*(1-Inputs!$C$9)^(I$3-Initiatives!$O$33),0)-I181*Initiatives!$O$9,I$5*Initiatives!$O$22*I176+I179*Inputs!$C$8))</f>
        <v>170516016</v>
      </c>
      <c r="J182" s="8" t="n">
        <f aca="false">IF(Initiatives!$O$6="adoption",J180*Initiatives!$O$14+J179*Initiatives!$O$9-J181*Initiatives!$O$9,IF(Initiatives!$O$6="reprice",IF(J$3&gt;=Initiatives!$O$33,(Initiatives!$O$41*Initiatives!$O$44+Initiatives!$O$42*Initiatives!$O$20)*(1-Inputs!$C$9)^(J$3-Initiatives!$O$33),0)-J181*Initiatives!$O$9,J$5*Initiatives!$O$22*J176+J179*Inputs!$C$8))</f>
        <v>254938572.504</v>
      </c>
      <c r="K182" s="8" t="n">
        <f aca="false">IF(Initiatives!$O$6="adoption",K180*Initiatives!$O$14+K179*Initiatives!$O$9-K181*Initiatives!$O$9,IF(Initiatives!$O$6="reprice",IF(K$3&gt;=Initiatives!$O$33,(Initiatives!$O$41*Initiatives!$O$44+Initiatives!$O$42*Initiatives!$O$20)*(1-Inputs!$C$9)^(K$3-Initiatives!$O$33),0)-K181*Initiatives!$O$9,K$5*Initiatives!$O$22*K176+K179*Inputs!$C$8))</f>
        <v>253266348.654396</v>
      </c>
      <c r="L182" s="8" t="n">
        <f aca="false">IF(Initiatives!$O$6="adoption",L180*Initiatives!$O$14+L179*Initiatives!$O$9-L181*Initiatives!$O$9,IF(Initiatives!$O$6="reprice",IF(L$3&gt;=Initiatives!$O$33,(Initiatives!$O$41*Initiatives!$O$44+Initiatives!$O$42*Initiatives!$O$20)*(1-Inputs!$C$9)^(L$3-Initiatives!$O$33),0)-L181*Initiatives!$O$9,L$5*Initiatives!$O$22*L176+L179*Inputs!$C$8))</f>
        <v>251590158.123574</v>
      </c>
      <c r="M182" s="8" t="n">
        <f aca="false">IF(Initiatives!$O$6="adoption",M180*Initiatives!$O$14+M179*Initiatives!$O$9-M181*Initiatives!$O$9,IF(Initiatives!$O$6="reprice",IF(M$3&gt;=Initiatives!$O$33,(Initiatives!$O$41*Initiatives!$O$44+Initiatives!$O$42*Initiatives!$O$20)*(1-Inputs!$C$9)^(M$3-Initiatives!$O$33),0)-M181*Initiatives!$O$9,M$5*Initiatives!$O$22*M176+M179*Inputs!$C$8))</f>
        <v>249910452.587277</v>
      </c>
      <c r="N182" s="8" t="n">
        <f aca="false">IF(Initiatives!$O$6="adoption",N180*Initiatives!$O$14+N179*Initiatives!$O$9-N181*Initiatives!$O$9,IF(Initiatives!$O$6="reprice",IF(N$3&gt;=Initiatives!$O$33,(Initiatives!$O$41*Initiatives!$O$44+Initiatives!$O$42*Initiatives!$O$20)*(1-Inputs!$C$9)^(N$3-Initiatives!$O$33),0)-N181*Initiatives!$O$9,N$5*Initiatives!$O$22*N176+N179*Inputs!$C$8))</f>
        <v>248227671.651745</v>
      </c>
      <c r="O182" s="8" t="n">
        <f aca="false">IF(Initiatives!$O$6="adoption",O180*Initiatives!$O$14+O179*Initiatives!$O$9-O181*Initiatives!$O$9,IF(Initiatives!$O$6="reprice",IF(O$3&gt;=Initiatives!$O$33,(Initiatives!$O$41*Initiatives!$O$44+Initiatives!$O$42*Initiatives!$O$20)*(1-Inputs!$C$9)^(O$3-Initiatives!$O$33),0)-O181*Initiatives!$O$9,O$5*Initiatives!$O$22*O176+O179*Inputs!$C$8))</f>
        <v>246542243.106227</v>
      </c>
      <c r="P182" s="8" t="n">
        <f aca="false">IF(Initiatives!$O$6="adoption",P180*Initiatives!$O$14+P179*Initiatives!$O$9-P181*Initiatives!$O$9,IF(Initiatives!$O$6="reprice",IF(P$3&gt;=Initiatives!$O$33,(Initiatives!$O$41*Initiatives!$O$44+Initiatives!$O$42*Initiatives!$O$20)*(1-Inputs!$C$9)^(P$3-Initiatives!$O$33),0)-P181*Initiatives!$O$9,P$5*Initiatives!$O$22*P176+P179*Inputs!$C$8))</f>
        <v>244854583.170747</v>
      </c>
      <c r="Q182" s="8" t="n">
        <f aca="false">IF(Initiatives!$O$6="adoption",Q180*Initiatives!$O$14+Q179*Initiatives!$O$9-Q181*Initiatives!$O$9,IF(Initiatives!$O$6="reprice",IF(Q$3&gt;=Initiatives!$O$33,(Initiatives!$O$41*Initiatives!$O$44+Initiatives!$O$42*Initiatives!$O$20)*(1-Inputs!$C$9)^(Q$3-Initiatives!$O$33),0)-Q181*Initiatives!$O$9,Q$5*Initiatives!$O$22*Q176+Q179*Inputs!$C$8))</f>
        <v>243165096.739198</v>
      </c>
      <c r="R182" s="8" t="n">
        <f aca="false">IF(Initiatives!$O$6="adoption",R180*Initiatives!$O$14+R179*Initiatives!$O$9-R181*Initiatives!$O$9,IF(Initiatives!$O$6="reprice",IF(R$3&gt;=Initiatives!$O$33,(Initiatives!$O$41*Initiatives!$O$44+Initiatives!$O$42*Initiatives!$O$20)*(1-Inputs!$C$9)^(R$3-Initiatives!$O$33),0)-R181*Initiatives!$O$9,R$5*Initiatives!$O$22*R176+R179*Inputs!$C$8))</f>
        <v>241474177.617857</v>
      </c>
      <c r="S182" s="8" t="n">
        <f aca="false">IF(Initiatives!$O$6="adoption",S180*Initiatives!$O$14+S179*Initiatives!$O$9-S181*Initiatives!$O$9,IF(Initiatives!$O$6="reprice",IF(S$3&gt;=Initiatives!$O$33,(Initiatives!$O$41*Initiatives!$O$44+Initiatives!$O$42*Initiatives!$O$20)*(1-Inputs!$C$9)^(S$3-Initiatives!$O$33),0)-S181*Initiatives!$O$9,S$5*Initiatives!$O$22*S176+S179*Inputs!$C$8))</f>
        <v>239782208.759384</v>
      </c>
      <c r="T182" s="8" t="n">
        <f aca="false">IF(Initiatives!$O$6="adoption",T180*Initiatives!$O$14+T179*Initiatives!$O$9-T181*Initiatives!$O$9,IF(Initiatives!$O$6="reprice",IF(T$3&gt;=Initiatives!$O$33,(Initiatives!$O$41*Initiatives!$O$44+Initiatives!$O$42*Initiatives!$O$20)*(1-Inputs!$C$9)^(T$3-Initiatives!$O$33),0)-T181*Initiatives!$O$9,T$5*Initiatives!$O$22*T176+T179*Inputs!$C$8))</f>
        <v>238089562.492411</v>
      </c>
      <c r="U182" s="8" t="n">
        <f aca="false">IF(Initiatives!$O$6="adoption",U180*Initiatives!$O$14+U179*Initiatives!$O$9-U181*Initiatives!$O$9,IF(Initiatives!$O$6="reprice",IF(U$3&gt;=Initiatives!$O$33,(Initiatives!$O$41*Initiatives!$O$44+Initiatives!$O$42*Initiatives!$O$20)*(1-Inputs!$C$9)^(U$3-Initiatives!$O$33),0)-U181*Initiatives!$O$9,U$5*Initiatives!$O$22*U176+U179*Inputs!$C$8))</f>
        <v>236396600.746772</v>
      </c>
      <c r="V182" s="8" t="n">
        <f aca="false">IF(Initiatives!$O$6="adoption",V180*Initiatives!$O$14+V179*Initiatives!$O$9-V181*Initiatives!$O$9,IF(Initiatives!$O$6="reprice",IF(V$3&gt;=Initiatives!$O$33,(Initiatives!$O$41*Initiatives!$O$44+Initiatives!$O$42*Initiatives!$O$20)*(1-Inputs!$C$9)^(V$3-Initiatives!$O$33),0)-V181*Initiatives!$O$9,V$5*Initiatives!$O$22*V176+V179*Inputs!$C$8))</f>
        <v>234703675.274479</v>
      </c>
      <c r="W182" s="8" t="n">
        <f aca="false">IF(Initiatives!$O$6="adoption",W180*Initiatives!$O$14+W179*Initiatives!$O$9-W181*Initiatives!$O$9,IF(Initiatives!$O$6="reprice",IF(W$3&gt;=Initiatives!$O$33,(Initiatives!$O$41*Initiatives!$O$44+Initiatives!$O$42*Initiatives!$O$20)*(1-Inputs!$C$9)^(W$3-Initiatives!$O$33),0)-W181*Initiatives!$O$9,W$5*Initiatives!$O$22*W176+W179*Inputs!$C$8))</f>
        <v>233011127.866495</v>
      </c>
      <c r="X182" s="8" t="n">
        <f aca="false">IF(Initiatives!$O$6="adoption",X180*Initiatives!$O$14+X179*Initiatives!$O$9-X181*Initiatives!$O$9,IF(Initiatives!$O$6="reprice",IF(X$3&gt;=Initiatives!$O$33,(Initiatives!$O$41*Initiatives!$O$44+Initiatives!$O$42*Initiatives!$O$20)*(1-Inputs!$C$9)^(X$3-Initiatives!$O$33),0)-X181*Initiatives!$O$9,X$5*Initiatives!$O$22*X176+X179*Inputs!$C$8))</f>
        <v>231319290.565396</v>
      </c>
      <c r="Y182" s="8" t="n">
        <f aca="false">IF(Initiatives!$O$6="adoption",Y180*Initiatives!$O$14+Y179*Initiatives!$O$9-Y181*Initiatives!$O$9,IF(Initiatives!$O$6="reprice",IF(Y$3&gt;=Initiatives!$O$33,(Initiatives!$O$41*Initiatives!$O$44+Initiatives!$O$42*Initiatives!$O$20)*(1-Inputs!$C$9)^(Y$3-Initiatives!$O$33),0)-Y181*Initiatives!$O$9,Y$5*Initiatives!$O$22*Y176+Y179*Inputs!$C$8))</f>
        <v>229628485.873985</v>
      </c>
      <c r="Z182" s="8" t="n">
        <f aca="false">IF(Initiatives!$O$6="adoption",Z180*Initiatives!$O$14+Z179*Initiatives!$O$9-Z181*Initiatives!$O$9,IF(Initiatives!$O$6="reprice",IF(Z$3&gt;=Initiatives!$O$33,(Initiatives!$O$41*Initiatives!$O$44+Initiatives!$O$42*Initiatives!$O$20)*(1-Inputs!$C$9)^(Z$3-Initiatives!$O$33),0)-Z181*Initiatives!$O$9,Z$5*Initiatives!$O$22*Z176+Z179*Inputs!$C$8))</f>
        <v>227939026.95994</v>
      </c>
    </row>
    <row r="183" customFormat="false" ht="15" hidden="false" customHeight="false" outlineLevel="0" collapsed="false">
      <c r="A183" s="4" t="s">
        <v>227</v>
      </c>
      <c r="B183" s="4" t="s">
        <v>228</v>
      </c>
      <c r="C183" s="8" t="n">
        <f aca="false">C180*Initiatives!$O$24*Initiatives!$O$25</f>
        <v>0</v>
      </c>
      <c r="D183" s="8" t="n">
        <f aca="false">D180*Initiatives!$O$24*Initiatives!$O$25</f>
        <v>0</v>
      </c>
      <c r="E183" s="8" t="n">
        <f aca="false">E180*Initiatives!$O$24*Initiatives!$O$25</f>
        <v>0</v>
      </c>
      <c r="F183" s="8" t="n">
        <f aca="false">F180*Initiatives!$O$24*Initiatives!$O$25</f>
        <v>0</v>
      </c>
      <c r="G183" s="8" t="n">
        <f aca="false">G180*Initiatives!$O$24*Initiatives!$O$25</f>
        <v>0</v>
      </c>
      <c r="H183" s="8" t="n">
        <f aca="false">H180*Initiatives!$O$24*Initiatives!$O$25</f>
        <v>0</v>
      </c>
      <c r="I183" s="8" t="n">
        <f aca="false">I180*Initiatives!$O$24*Initiatives!$O$25</f>
        <v>0</v>
      </c>
      <c r="J183" s="8" t="n">
        <f aca="false">J180*Initiatives!$O$24*Initiatives!$O$25</f>
        <v>0</v>
      </c>
      <c r="K183" s="8" t="n">
        <f aca="false">K180*Initiatives!$O$24*Initiatives!$O$25</f>
        <v>0</v>
      </c>
      <c r="L183" s="8" t="n">
        <f aca="false">L180*Initiatives!$O$24*Initiatives!$O$25</f>
        <v>0</v>
      </c>
      <c r="M183" s="8" t="n">
        <f aca="false">M180*Initiatives!$O$24*Initiatives!$O$25</f>
        <v>0</v>
      </c>
      <c r="N183" s="8" t="n">
        <f aca="false">N180*Initiatives!$O$24*Initiatives!$O$25</f>
        <v>0</v>
      </c>
      <c r="O183" s="8" t="n">
        <f aca="false">O180*Initiatives!$O$24*Initiatives!$O$25</f>
        <v>0</v>
      </c>
      <c r="P183" s="8" t="n">
        <f aca="false">P180*Initiatives!$O$24*Initiatives!$O$25</f>
        <v>0</v>
      </c>
      <c r="Q183" s="8" t="n">
        <f aca="false">Q180*Initiatives!$O$24*Initiatives!$O$25</f>
        <v>0</v>
      </c>
      <c r="R183" s="8" t="n">
        <f aca="false">R180*Initiatives!$O$24*Initiatives!$O$25</f>
        <v>0</v>
      </c>
      <c r="S183" s="8" t="n">
        <f aca="false">S180*Initiatives!$O$24*Initiatives!$O$25</f>
        <v>0</v>
      </c>
      <c r="T183" s="8" t="n">
        <f aca="false">T180*Initiatives!$O$24*Initiatives!$O$25</f>
        <v>0</v>
      </c>
      <c r="U183" s="8" t="n">
        <f aca="false">U180*Initiatives!$O$24*Initiatives!$O$25</f>
        <v>0</v>
      </c>
      <c r="V183" s="8" t="n">
        <f aca="false">V180*Initiatives!$O$24*Initiatives!$O$25</f>
        <v>0</v>
      </c>
      <c r="W183" s="8" t="n">
        <f aca="false">W180*Initiatives!$O$24*Initiatives!$O$25</f>
        <v>0</v>
      </c>
      <c r="X183" s="8" t="n">
        <f aca="false">X180*Initiatives!$O$24*Initiatives!$O$25</f>
        <v>0</v>
      </c>
      <c r="Y183" s="8" t="n">
        <f aca="false">Y180*Initiatives!$O$24*Initiatives!$O$25</f>
        <v>0</v>
      </c>
      <c r="Z183" s="8" t="n">
        <f aca="false">Z180*Initiatives!$O$24*Initiatives!$O$25</f>
        <v>0</v>
      </c>
    </row>
    <row r="184" customFormat="false" ht="15" hidden="false" customHeight="false" outlineLevel="0" collapsed="false">
      <c r="A184" s="4" t="s">
        <v>229</v>
      </c>
      <c r="B184" s="4" t="s">
        <v>230</v>
      </c>
      <c r="C184" s="8" t="n">
        <f aca="false">IF(C$3&lt;=Initiatives!$O$46,Initiatives!$O$29/Initiatives!$O$46,0)+IF(C$3&gt;=Initiatives!$O$33,Initiatives!$O$30,0)+IF(C$3=Initiatives!$O$33,Initiatives!$O$39*Initiatives!$O$26,0)+C178*Initiatives!$O$27+C180*Initiatives!$O$28+IF(AND(Initiatives!$O$6="reprice",C$3&gt;=Initiatives!$O$33),Initiatives!$O$41*Initiatives!$O$21*(1-Inputs!$C$9)^(C$3-Initiatives!$O$33)-Initiatives!$O$31,0)</f>
        <v>500000000</v>
      </c>
      <c r="D184" s="8" t="n">
        <f aca="false">IF(D$3&lt;=Initiatives!$O$46,Initiatives!$O$29/Initiatives!$O$46,0)+IF(D$3&gt;=Initiatives!$O$33,Initiatives!$O$30,0)+IF(D$3=Initiatives!$O$33,Initiatives!$O$39*Initiatives!$O$26,0)+D178*Initiatives!$O$27+D180*Initiatives!$O$28+IF(AND(Initiatives!$O$6="reprice",D$3&gt;=Initiatives!$O$33),Initiatives!$O$41*Initiatives!$O$21*(1-Inputs!$C$9)^(D$3-Initiatives!$O$33)-Initiatives!$O$31,0)</f>
        <v>500000000</v>
      </c>
      <c r="E184" s="8" t="n">
        <f aca="false">IF(E$3&lt;=Initiatives!$O$46,Initiatives!$O$29/Initiatives!$O$46,0)+IF(E$3&gt;=Initiatives!$O$33,Initiatives!$O$30,0)+IF(E$3=Initiatives!$O$33,Initiatives!$O$39*Initiatives!$O$26,0)+E178*Initiatives!$O$27+E180*Initiatives!$O$28+IF(AND(Initiatives!$O$6="reprice",E$3&gt;=Initiatives!$O$33),Initiatives!$O$41*Initiatives!$O$21*(1-Inputs!$C$9)^(E$3-Initiatives!$O$33)-Initiatives!$O$31,0)</f>
        <v>500000000</v>
      </c>
      <c r="F184" s="8" t="n">
        <f aca="false">IF(F$3&lt;=Initiatives!$O$46,Initiatives!$O$29/Initiatives!$O$46,0)+IF(F$3&gt;=Initiatives!$O$33,Initiatives!$O$30,0)+IF(F$3=Initiatives!$O$33,Initiatives!$O$39*Initiatives!$O$26,0)+F178*Initiatives!$O$27+F180*Initiatives!$O$28+IF(AND(Initiatives!$O$6="reprice",F$3&gt;=Initiatives!$O$33),Initiatives!$O$41*Initiatives!$O$21*(1-Inputs!$C$9)^(F$3-Initiatives!$O$33)-Initiatives!$O$31,0)</f>
        <v>500000000</v>
      </c>
      <c r="G184" s="8" t="n">
        <f aca="false">IF(G$3&lt;=Initiatives!$O$46,Initiatives!$O$29/Initiatives!$O$46,0)+IF(G$3&gt;=Initiatives!$O$33,Initiatives!$O$30,0)+IF(G$3=Initiatives!$O$33,Initiatives!$O$39*Initiatives!$O$26,0)+G178*Initiatives!$O$27+G180*Initiatives!$O$28+IF(AND(Initiatives!$O$6="reprice",G$3&gt;=Initiatives!$O$33),Initiatives!$O$41*Initiatives!$O$21*(1-Inputs!$C$9)^(G$3-Initiatives!$O$33)-Initiatives!$O$31,0)</f>
        <v>500000000</v>
      </c>
      <c r="H184" s="8" t="n">
        <f aca="false">IF(H$3&lt;=Initiatives!$O$46,Initiatives!$O$29/Initiatives!$O$46,0)+IF(H$3&gt;=Initiatives!$O$33,Initiatives!$O$30,0)+IF(H$3=Initiatives!$O$33,Initiatives!$O$39*Initiatives!$O$26,0)+H178*Initiatives!$O$27+H180*Initiatives!$O$28+IF(AND(Initiatives!$O$6="reprice",H$3&gt;=Initiatives!$O$33),Initiatives!$O$41*Initiatives!$O$21*(1-Inputs!$C$9)^(H$3-Initiatives!$O$33)-Initiatives!$O$31,0)</f>
        <v>87520000</v>
      </c>
      <c r="I184" s="8" t="n">
        <f aca="false">IF(I$3&lt;=Initiatives!$O$46,Initiatives!$O$29/Initiatives!$O$46,0)+IF(I$3&gt;=Initiatives!$O$33,Initiatives!$O$30,0)+IF(I$3=Initiatives!$O$33,Initiatives!$O$39*Initiatives!$O$26,0)+I178*Initiatives!$O$27+I180*Initiatives!$O$28+IF(AND(Initiatives!$O$6="reprice",I$3&gt;=Initiatives!$O$33),Initiatives!$O$41*Initiatives!$O$21*(1-Inputs!$C$9)^(I$3-Initiatives!$O$33)-Initiatives!$O$31,0)</f>
        <v>40000000</v>
      </c>
      <c r="J184" s="8" t="n">
        <f aca="false">IF(J$3&lt;=Initiatives!$O$46,Initiatives!$O$29/Initiatives!$O$46,0)+IF(J$3&gt;=Initiatives!$O$33,Initiatives!$O$30,0)+IF(J$3=Initiatives!$O$33,Initiatives!$O$39*Initiatives!$O$26,0)+J178*Initiatives!$O$27+J180*Initiatives!$O$28+IF(AND(Initiatives!$O$6="reprice",J$3&gt;=Initiatives!$O$33),Initiatives!$O$41*Initiatives!$O$21*(1-Inputs!$C$9)^(J$3-Initiatives!$O$33)-Initiatives!$O$31,0)</f>
        <v>40000000</v>
      </c>
      <c r="K184" s="8" t="n">
        <f aca="false">IF(K$3&lt;=Initiatives!$O$46,Initiatives!$O$29/Initiatives!$O$46,0)+IF(K$3&gt;=Initiatives!$O$33,Initiatives!$O$30,0)+IF(K$3=Initiatives!$O$33,Initiatives!$O$39*Initiatives!$O$26,0)+K178*Initiatives!$O$27+K180*Initiatives!$O$28+IF(AND(Initiatives!$O$6="reprice",K$3&gt;=Initiatives!$O$33),Initiatives!$O$41*Initiatives!$O$21*(1-Inputs!$C$9)^(K$3-Initiatives!$O$33)-Initiatives!$O$31,0)</f>
        <v>40000000</v>
      </c>
      <c r="L184" s="8" t="n">
        <f aca="false">IF(L$3&lt;=Initiatives!$O$46,Initiatives!$O$29/Initiatives!$O$46,0)+IF(L$3&gt;=Initiatives!$O$33,Initiatives!$O$30,0)+IF(L$3=Initiatives!$O$33,Initiatives!$O$39*Initiatives!$O$26,0)+L178*Initiatives!$O$27+L180*Initiatives!$O$28+IF(AND(Initiatives!$O$6="reprice",L$3&gt;=Initiatives!$O$33),Initiatives!$O$41*Initiatives!$O$21*(1-Inputs!$C$9)^(L$3-Initiatives!$O$33)-Initiatives!$O$31,0)</f>
        <v>40000000</v>
      </c>
      <c r="M184" s="8" t="n">
        <f aca="false">IF(M$3&lt;=Initiatives!$O$46,Initiatives!$O$29/Initiatives!$O$46,0)+IF(M$3&gt;=Initiatives!$O$33,Initiatives!$O$30,0)+IF(M$3=Initiatives!$O$33,Initiatives!$O$39*Initiatives!$O$26,0)+M178*Initiatives!$O$27+M180*Initiatives!$O$28+IF(AND(Initiatives!$O$6="reprice",M$3&gt;=Initiatives!$O$33),Initiatives!$O$41*Initiatives!$O$21*(1-Inputs!$C$9)^(M$3-Initiatives!$O$33)-Initiatives!$O$31,0)</f>
        <v>40000000</v>
      </c>
      <c r="N184" s="8" t="n">
        <f aca="false">IF(N$3&lt;=Initiatives!$O$46,Initiatives!$O$29/Initiatives!$O$46,0)+IF(N$3&gt;=Initiatives!$O$33,Initiatives!$O$30,0)+IF(N$3=Initiatives!$O$33,Initiatives!$O$39*Initiatives!$O$26,0)+N178*Initiatives!$O$27+N180*Initiatives!$O$28+IF(AND(Initiatives!$O$6="reprice",N$3&gt;=Initiatives!$O$33),Initiatives!$O$41*Initiatives!$O$21*(1-Inputs!$C$9)^(N$3-Initiatives!$O$33)-Initiatives!$O$31,0)</f>
        <v>40000000</v>
      </c>
      <c r="O184" s="8" t="n">
        <f aca="false">IF(O$3&lt;=Initiatives!$O$46,Initiatives!$O$29/Initiatives!$O$46,0)+IF(O$3&gt;=Initiatives!$O$33,Initiatives!$O$30,0)+IF(O$3=Initiatives!$O$33,Initiatives!$O$39*Initiatives!$O$26,0)+O178*Initiatives!$O$27+O180*Initiatives!$O$28+IF(AND(Initiatives!$O$6="reprice",O$3&gt;=Initiatives!$O$33),Initiatives!$O$41*Initiatives!$O$21*(1-Inputs!$C$9)^(O$3-Initiatives!$O$33)-Initiatives!$O$31,0)</f>
        <v>40000000</v>
      </c>
      <c r="P184" s="8" t="n">
        <f aca="false">IF(P$3&lt;=Initiatives!$O$46,Initiatives!$O$29/Initiatives!$O$46,0)+IF(P$3&gt;=Initiatives!$O$33,Initiatives!$O$30,0)+IF(P$3=Initiatives!$O$33,Initiatives!$O$39*Initiatives!$O$26,0)+P178*Initiatives!$O$27+P180*Initiatives!$O$28+IF(AND(Initiatives!$O$6="reprice",P$3&gt;=Initiatives!$O$33),Initiatives!$O$41*Initiatives!$O$21*(1-Inputs!$C$9)^(P$3-Initiatives!$O$33)-Initiatives!$O$31,0)</f>
        <v>40000000</v>
      </c>
      <c r="Q184" s="8" t="n">
        <f aca="false">IF(Q$3&lt;=Initiatives!$O$46,Initiatives!$O$29/Initiatives!$O$46,0)+IF(Q$3&gt;=Initiatives!$O$33,Initiatives!$O$30,0)+IF(Q$3=Initiatives!$O$33,Initiatives!$O$39*Initiatives!$O$26,0)+Q178*Initiatives!$O$27+Q180*Initiatives!$O$28+IF(AND(Initiatives!$O$6="reprice",Q$3&gt;=Initiatives!$O$33),Initiatives!$O$41*Initiatives!$O$21*(1-Inputs!$C$9)^(Q$3-Initiatives!$O$33)-Initiatives!$O$31,0)</f>
        <v>40000000</v>
      </c>
      <c r="R184" s="8" t="n">
        <f aca="false">IF(R$3&lt;=Initiatives!$O$46,Initiatives!$O$29/Initiatives!$O$46,0)+IF(R$3&gt;=Initiatives!$O$33,Initiatives!$O$30,0)+IF(R$3=Initiatives!$O$33,Initiatives!$O$39*Initiatives!$O$26,0)+R178*Initiatives!$O$27+R180*Initiatives!$O$28+IF(AND(Initiatives!$O$6="reprice",R$3&gt;=Initiatives!$O$33),Initiatives!$O$41*Initiatives!$O$21*(1-Inputs!$C$9)^(R$3-Initiatives!$O$33)-Initiatives!$O$31,0)</f>
        <v>40000000</v>
      </c>
      <c r="S184" s="8" t="n">
        <f aca="false">IF(S$3&lt;=Initiatives!$O$46,Initiatives!$O$29/Initiatives!$O$46,0)+IF(S$3&gt;=Initiatives!$O$33,Initiatives!$O$30,0)+IF(S$3=Initiatives!$O$33,Initiatives!$O$39*Initiatives!$O$26,0)+S178*Initiatives!$O$27+S180*Initiatives!$O$28+IF(AND(Initiatives!$O$6="reprice",S$3&gt;=Initiatives!$O$33),Initiatives!$O$41*Initiatives!$O$21*(1-Inputs!$C$9)^(S$3-Initiatives!$O$33)-Initiatives!$O$31,0)</f>
        <v>40000000</v>
      </c>
      <c r="T184" s="8" t="n">
        <f aca="false">IF(T$3&lt;=Initiatives!$O$46,Initiatives!$O$29/Initiatives!$O$46,0)+IF(T$3&gt;=Initiatives!$O$33,Initiatives!$O$30,0)+IF(T$3=Initiatives!$O$33,Initiatives!$O$39*Initiatives!$O$26,0)+T178*Initiatives!$O$27+T180*Initiatives!$O$28+IF(AND(Initiatives!$O$6="reprice",T$3&gt;=Initiatives!$O$33),Initiatives!$O$41*Initiatives!$O$21*(1-Inputs!$C$9)^(T$3-Initiatives!$O$33)-Initiatives!$O$31,0)</f>
        <v>40000000</v>
      </c>
      <c r="U184" s="8" t="n">
        <f aca="false">IF(U$3&lt;=Initiatives!$O$46,Initiatives!$O$29/Initiatives!$O$46,0)+IF(U$3&gt;=Initiatives!$O$33,Initiatives!$O$30,0)+IF(U$3=Initiatives!$O$33,Initiatives!$O$39*Initiatives!$O$26,0)+U178*Initiatives!$O$27+U180*Initiatives!$O$28+IF(AND(Initiatives!$O$6="reprice",U$3&gt;=Initiatives!$O$33),Initiatives!$O$41*Initiatives!$O$21*(1-Inputs!$C$9)^(U$3-Initiatives!$O$33)-Initiatives!$O$31,0)</f>
        <v>40000000</v>
      </c>
      <c r="V184" s="8" t="n">
        <f aca="false">IF(V$3&lt;=Initiatives!$O$46,Initiatives!$O$29/Initiatives!$O$46,0)+IF(V$3&gt;=Initiatives!$O$33,Initiatives!$O$30,0)+IF(V$3=Initiatives!$O$33,Initiatives!$O$39*Initiatives!$O$26,0)+V178*Initiatives!$O$27+V180*Initiatives!$O$28+IF(AND(Initiatives!$O$6="reprice",V$3&gt;=Initiatives!$O$33),Initiatives!$O$41*Initiatives!$O$21*(1-Inputs!$C$9)^(V$3-Initiatives!$O$33)-Initiatives!$O$31,0)</f>
        <v>40000000</v>
      </c>
      <c r="W184" s="8" t="n">
        <f aca="false">IF(W$3&lt;=Initiatives!$O$46,Initiatives!$O$29/Initiatives!$O$46,0)+IF(W$3&gt;=Initiatives!$O$33,Initiatives!$O$30,0)+IF(W$3=Initiatives!$O$33,Initiatives!$O$39*Initiatives!$O$26,0)+W178*Initiatives!$O$27+W180*Initiatives!$O$28+IF(AND(Initiatives!$O$6="reprice",W$3&gt;=Initiatives!$O$33),Initiatives!$O$41*Initiatives!$O$21*(1-Inputs!$C$9)^(W$3-Initiatives!$O$33)-Initiatives!$O$31,0)</f>
        <v>40000000</v>
      </c>
      <c r="X184" s="8" t="n">
        <f aca="false">IF(X$3&lt;=Initiatives!$O$46,Initiatives!$O$29/Initiatives!$O$46,0)+IF(X$3&gt;=Initiatives!$O$33,Initiatives!$O$30,0)+IF(X$3=Initiatives!$O$33,Initiatives!$O$39*Initiatives!$O$26,0)+X178*Initiatives!$O$27+X180*Initiatives!$O$28+IF(AND(Initiatives!$O$6="reprice",X$3&gt;=Initiatives!$O$33),Initiatives!$O$41*Initiatives!$O$21*(1-Inputs!$C$9)^(X$3-Initiatives!$O$33)-Initiatives!$O$31,0)</f>
        <v>40000000</v>
      </c>
      <c r="Y184" s="8" t="n">
        <f aca="false">IF(Y$3&lt;=Initiatives!$O$46,Initiatives!$O$29/Initiatives!$O$46,0)+IF(Y$3&gt;=Initiatives!$O$33,Initiatives!$O$30,0)+IF(Y$3=Initiatives!$O$33,Initiatives!$O$39*Initiatives!$O$26,0)+Y178*Initiatives!$O$27+Y180*Initiatives!$O$28+IF(AND(Initiatives!$O$6="reprice",Y$3&gt;=Initiatives!$O$33),Initiatives!$O$41*Initiatives!$O$21*(1-Inputs!$C$9)^(Y$3-Initiatives!$O$33)-Initiatives!$O$31,0)</f>
        <v>40000000</v>
      </c>
      <c r="Z184" s="8" t="n">
        <f aca="false">IF(Z$3&lt;=Initiatives!$O$46,Initiatives!$O$29/Initiatives!$O$46,0)+IF(Z$3&gt;=Initiatives!$O$33,Initiatives!$O$30,0)+IF(Z$3=Initiatives!$O$33,Initiatives!$O$39*Initiatives!$O$26,0)+Z178*Initiatives!$O$27+Z180*Initiatives!$O$28+IF(AND(Initiatives!$O$6="reprice",Z$3&gt;=Initiatives!$O$33),Initiatives!$O$41*Initiatives!$O$21*(1-Inputs!$C$9)^(Z$3-Initiatives!$O$33)-Initiatives!$O$31,0)</f>
        <v>40000000</v>
      </c>
    </row>
    <row r="185" customFormat="false" ht="15" hidden="false" customHeight="false" outlineLevel="0" collapsed="false">
      <c r="A185" s="4" t="s">
        <v>231</v>
      </c>
      <c r="B185" s="4" t="s">
        <v>232</v>
      </c>
      <c r="C185" s="8" t="n">
        <f aca="false">(C182+C183)*Initiatives!$O$32-C184</f>
        <v>-500000000</v>
      </c>
      <c r="D185" s="8" t="n">
        <f aca="false">(D182+D183)*Initiatives!$O$32-D184</f>
        <v>-500000000</v>
      </c>
      <c r="E185" s="8" t="n">
        <f aca="false">(E182+E183)*Initiatives!$O$32-E184</f>
        <v>-500000000</v>
      </c>
      <c r="F185" s="8" t="n">
        <f aca="false">(F182+F183)*Initiatives!$O$32-F184</f>
        <v>-500000000</v>
      </c>
      <c r="G185" s="8" t="n">
        <f aca="false">(G182+G183)*Initiatives!$O$32-G184</f>
        <v>-500000000</v>
      </c>
      <c r="H185" s="8" t="n">
        <f aca="false">(H182+H183)*Initiatives!$O$32-H184</f>
        <v>-27644800</v>
      </c>
      <c r="I185" s="8" t="n">
        <f aca="false">(I182+I183)*Initiatives!$O$32-I184</f>
        <v>79361211.2</v>
      </c>
      <c r="J185" s="8" t="n">
        <f aca="false">(J182+J183)*Initiatives!$O$32-J184</f>
        <v>138457000.7528</v>
      </c>
      <c r="K185" s="8" t="n">
        <f aca="false">(K182+K183)*Initiatives!$O$32-K184</f>
        <v>137286444.058077</v>
      </c>
      <c r="L185" s="8" t="n">
        <f aca="false">(L182+L183)*Initiatives!$O$32-L184</f>
        <v>136113110.686502</v>
      </c>
      <c r="M185" s="8" t="n">
        <f aca="false">(M182+M183)*Initiatives!$O$32-M184</f>
        <v>134937316.811094</v>
      </c>
      <c r="N185" s="8" t="n">
        <f aca="false">(N182+N183)*Initiatives!$O$32-N184</f>
        <v>133759370.156222</v>
      </c>
      <c r="O185" s="8" t="n">
        <f aca="false">(O182+O183)*Initiatives!$O$32-O184</f>
        <v>132579570.174359</v>
      </c>
      <c r="P185" s="8" t="n">
        <f aca="false">(P182+P183)*Initiatives!$O$32-P184</f>
        <v>131398208.219523</v>
      </c>
      <c r="Q185" s="8" t="n">
        <f aca="false">(Q182+Q183)*Initiatives!$O$32-Q184</f>
        <v>130215567.717439</v>
      </c>
      <c r="R185" s="8" t="n">
        <f aca="false">(R182+R183)*Initiatives!$O$32-R184</f>
        <v>129031924.3325</v>
      </c>
      <c r="S185" s="8" t="n">
        <f aca="false">(S182+S183)*Initiatives!$O$32-S184</f>
        <v>127847546.131569</v>
      </c>
      <c r="T185" s="8" t="n">
        <f aca="false">(T182+T183)*Initiatives!$O$32-T184</f>
        <v>126662693.744687</v>
      </c>
      <c r="U185" s="8" t="n">
        <f aca="false">(U182+U183)*Initiatives!$O$32-U184</f>
        <v>125477620.52274</v>
      </c>
      <c r="V185" s="8" t="n">
        <f aca="false">(V182+V183)*Initiatives!$O$32-V184</f>
        <v>124292572.692135</v>
      </c>
      <c r="W185" s="8" t="n">
        <f aca="false">(W182+W183)*Initiatives!$O$32-W184</f>
        <v>123107789.506547</v>
      </c>
      <c r="X185" s="8" t="n">
        <f aca="false">(X182+X183)*Initiatives!$O$32-X184</f>
        <v>121923503.395777</v>
      </c>
      <c r="Y185" s="8" t="n">
        <f aca="false">(Y182+Y183)*Initiatives!$O$32-Y184</f>
        <v>120739940.111789</v>
      </c>
      <c r="Z185" s="8" t="n">
        <f aca="false">(Z182+Z183)*Initiatives!$O$32-Z184</f>
        <v>119557318.871958</v>
      </c>
    </row>
    <row r="186" customFormat="false" ht="15" hidden="false" customHeight="false" outlineLevel="0" collapsed="false">
      <c r="A186" s="4" t="s">
        <v>233</v>
      </c>
      <c r="B186" s="4" t="s">
        <v>234</v>
      </c>
      <c r="C186" s="8" t="n">
        <f aca="false">C179-C181</f>
        <v>0</v>
      </c>
      <c r="D186" s="8" t="n">
        <f aca="false">D179-D181</f>
        <v>0</v>
      </c>
      <c r="E186" s="8" t="n">
        <f aca="false">E179-E181</f>
        <v>0</v>
      </c>
      <c r="F186" s="8" t="n">
        <f aca="false">F179-F181</f>
        <v>0</v>
      </c>
      <c r="G186" s="8" t="n">
        <f aca="false">G179-G181</f>
        <v>0</v>
      </c>
      <c r="H186" s="8" t="n">
        <f aca="false">H179-H181</f>
        <v>0</v>
      </c>
      <c r="I186" s="8" t="n">
        <f aca="false">I179-I181</f>
        <v>42.768</v>
      </c>
      <c r="J186" s="8" t="n">
        <f aca="false">J179-J181</f>
        <v>127.085112</v>
      </c>
      <c r="K186" s="8" t="n">
        <f aca="false">K179-K181</f>
        <v>251.758525788</v>
      </c>
      <c r="L186" s="8" t="n">
        <f aca="false">L179-L181</f>
        <v>372.853012547862</v>
      </c>
      <c r="M186" s="8" t="n">
        <f aca="false">M179-M181</f>
        <v>490.445325333596</v>
      </c>
      <c r="N186" s="8" t="n">
        <f aca="false">N179-N181</f>
        <v>604.610754469896</v>
      </c>
      <c r="O186" s="8" t="n">
        <f aca="false">O179-O181</f>
        <v>715.42315369743</v>
      </c>
      <c r="P186" s="8" t="n">
        <f aca="false">P179-P181</f>
        <v>822.954965869201</v>
      </c>
      <c r="Q186" s="8" t="n">
        <f aca="false">Q179-Q181</f>
        <v>927.277248205451</v>
      </c>
      <c r="R186" s="8" t="n">
        <f aca="false">R179-R181</f>
        <v>1028.45969711453</v>
      </c>
      <c r="S186" s="8" t="n">
        <f aca="false">S179-S181</f>
        <v>1126.57067258694</v>
      </c>
      <c r="T186" s="8" t="n">
        <f aca="false">T179-T181</f>
        <v>1221.67722216972</v>
      </c>
      <c r="U186" s="8" t="n">
        <f aca="false">U179-U181</f>
        <v>1313.84510452819</v>
      </c>
      <c r="V186" s="8" t="n">
        <f aca="false">V179-V181</f>
        <v>1403.13881260196</v>
      </c>
      <c r="W186" s="8" t="n">
        <f aca="false">W179-W181</f>
        <v>1489.62159636195</v>
      </c>
      <c r="X186" s="8" t="n">
        <f aca="false">X179-X181</f>
        <v>1573.35548517524</v>
      </c>
      <c r="Y186" s="8" t="n">
        <f aca="false">Y179-Y181</f>
        <v>1654.40130978408</v>
      </c>
      <c r="Z186" s="8" t="n">
        <f aca="false">Z179-Z181</f>
        <v>1732.81872390582</v>
      </c>
    </row>
    <row r="187" customFormat="false" ht="15" hidden="false" customHeight="false" outlineLevel="0" collapsed="false">
      <c r="A187" s="4" t="s">
        <v>235</v>
      </c>
      <c r="B187" s="4" t="s">
        <v>236</v>
      </c>
      <c r="C187" s="8" t="n">
        <f aca="false">C180*Initiatives!$O$24</f>
        <v>0</v>
      </c>
      <c r="D187" s="8" t="n">
        <f aca="false">D180*Initiatives!$O$24</f>
        <v>0</v>
      </c>
      <c r="E187" s="8" t="n">
        <f aca="false">E180*Initiatives!$O$24</f>
        <v>0</v>
      </c>
      <c r="F187" s="8" t="n">
        <f aca="false">F180*Initiatives!$O$24</f>
        <v>0</v>
      </c>
      <c r="G187" s="8" t="n">
        <f aca="false">G180*Initiatives!$O$24</f>
        <v>0</v>
      </c>
      <c r="H187" s="8" t="n">
        <f aca="false">H180*Initiatives!$O$24</f>
        <v>0</v>
      </c>
      <c r="I187" s="8" t="n">
        <f aca="false">I180*Initiatives!$O$24</f>
        <v>0</v>
      </c>
      <c r="J187" s="8" t="n">
        <f aca="false">J180*Initiatives!$O$24</f>
        <v>0</v>
      </c>
      <c r="K187" s="8" t="n">
        <f aca="false">K180*Initiatives!$O$24</f>
        <v>0</v>
      </c>
      <c r="L187" s="8" t="n">
        <f aca="false">L180*Initiatives!$O$24</f>
        <v>0</v>
      </c>
      <c r="M187" s="8" t="n">
        <f aca="false">M180*Initiatives!$O$24</f>
        <v>0</v>
      </c>
      <c r="N187" s="8" t="n">
        <f aca="false">N180*Initiatives!$O$24</f>
        <v>0</v>
      </c>
      <c r="O187" s="8" t="n">
        <f aca="false">O180*Initiatives!$O$24</f>
        <v>0</v>
      </c>
      <c r="P187" s="8" t="n">
        <f aca="false">P180*Initiatives!$O$24</f>
        <v>0</v>
      </c>
      <c r="Q187" s="8" t="n">
        <f aca="false">Q180*Initiatives!$O$24</f>
        <v>0</v>
      </c>
      <c r="R187" s="8" t="n">
        <f aca="false">R180*Initiatives!$O$24</f>
        <v>0</v>
      </c>
      <c r="S187" s="8" t="n">
        <f aca="false">S180*Initiatives!$O$24</f>
        <v>0</v>
      </c>
      <c r="T187" s="8" t="n">
        <f aca="false">T180*Initiatives!$O$24</f>
        <v>0</v>
      </c>
      <c r="U187" s="8" t="n">
        <f aca="false">U180*Initiatives!$O$24</f>
        <v>0</v>
      </c>
      <c r="V187" s="8" t="n">
        <f aca="false">V180*Initiatives!$O$24</f>
        <v>0</v>
      </c>
      <c r="W187" s="8" t="n">
        <f aca="false">W180*Initiatives!$O$24</f>
        <v>0</v>
      </c>
      <c r="X187" s="8" t="n">
        <f aca="false">X180*Initiatives!$O$24</f>
        <v>0</v>
      </c>
      <c r="Y187" s="8" t="n">
        <f aca="false">Y180*Initiatives!$O$24</f>
        <v>0</v>
      </c>
      <c r="Z187" s="8" t="n">
        <f aca="false">Z180*Initiatives!$O$24</f>
        <v>0</v>
      </c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" hidden="false" customHeight="false" outlineLevel="0" collapsed="false">
      <c r="A189" s="17" t="s">
        <v>249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customFormat="false" ht="15" hidden="false" customHeight="false" outlineLevel="0" collapsed="false">
      <c r="A190" s="3" t="s">
        <v>250</v>
      </c>
      <c r="B190" s="4"/>
      <c r="C190" s="8" t="n">
        <f aca="false">C14*(1-Initiatives!$C$8)+C28*(1-Initiatives!$D$8)+C42*(1-Initiatives!$E$8)+C56*(1-Initiatives!$F$8)+C70*(1-Initiatives!$G$8)+C84*(1-Initiatives!$H$8)+C98*(1-Initiatives!$I$8)+C112*(1-Initiatives!$J$8)+C126*(1-Initiatives!$K$8)+C140*(1-Initiatives!$L$8)+C154*(1-Initiatives!$M$8)+C168*(1-Initiatives!$N$8)+C182*(1-Initiatives!$O$8)</f>
        <v>0</v>
      </c>
      <c r="D190" s="8" t="n">
        <f aca="false">D14*(1-Initiatives!$C$8)+D28*(1-Initiatives!$D$8)+D42*(1-Initiatives!$E$8)+D56*(1-Initiatives!$F$8)+D70*(1-Initiatives!$G$8)+D84*(1-Initiatives!$H$8)+D98*(1-Initiatives!$I$8)+D112*(1-Initiatives!$J$8)+D126*(1-Initiatives!$K$8)+D140*(1-Initiatives!$L$8)+D154*(1-Initiatives!$M$8)+D168*(1-Initiatives!$N$8)+D182*(1-Initiatives!$O$8)</f>
        <v>3129569897.14286</v>
      </c>
      <c r="E190" s="8" t="n">
        <f aca="false">E14*(1-Initiatives!$C$8)+E28*(1-Initiatives!$D$8)+E42*(1-Initiatives!$E$8)+E56*(1-Initiatives!$F$8)+E70*(1-Initiatives!$G$8)+E84*(1-Initiatives!$H$8)+E98*(1-Initiatives!$I$8)+E112*(1-Initiatives!$J$8)+E126*(1-Initiatives!$K$8)+E140*(1-Initiatives!$L$8)+E154*(1-Initiatives!$M$8)+E168*(1-Initiatives!$N$8)+E182*(1-Initiatives!$O$8)</f>
        <v>3414492594.76167</v>
      </c>
      <c r="F190" s="8" t="n">
        <f aca="false">F14*(1-Initiatives!$C$8)+F28*(1-Initiatives!$D$8)+F42*(1-Initiatives!$E$8)+F56*(1-Initiatives!$F$8)+F70*(1-Initiatives!$G$8)+F84*(1-Initiatives!$H$8)+F98*(1-Initiatives!$I$8)+F112*(1-Initiatives!$J$8)+F126*(1-Initiatives!$K$8)+F140*(1-Initiatives!$L$8)+F154*(1-Initiatives!$M$8)+F168*(1-Initiatives!$N$8)+F182*(1-Initiatives!$O$8)</f>
        <v>3780561440.85284</v>
      </c>
      <c r="G190" s="8" t="n">
        <f aca="false">G14*(1-Initiatives!$C$8)+G28*(1-Initiatives!$D$8)+G42*(1-Initiatives!$E$8)+G56*(1-Initiatives!$F$8)+G70*(1-Initiatives!$G$8)+G84*(1-Initiatives!$H$8)+G98*(1-Initiatives!$I$8)+G112*(1-Initiatives!$J$8)+G126*(1-Initiatives!$K$8)+G140*(1-Initiatives!$L$8)+G154*(1-Initiatives!$M$8)+G168*(1-Initiatives!$N$8)+G182*(1-Initiatives!$O$8)</f>
        <v>4048474712.29852</v>
      </c>
      <c r="H190" s="8" t="n">
        <f aca="false">H14*(1-Initiatives!$C$8)+H28*(1-Initiatives!$D$8)+H42*(1-Initiatives!$E$8)+H56*(1-Initiatives!$F$8)+H70*(1-Initiatives!$G$8)+H84*(1-Initiatives!$H$8)+H98*(1-Initiatives!$I$8)+H112*(1-Initiatives!$J$8)+H126*(1-Initiatives!$K$8)+H140*(1-Initiatives!$L$8)+H154*(1-Initiatives!$M$8)+H168*(1-Initiatives!$N$8)+H182*(1-Initiatives!$O$8)</f>
        <v>4133341488.32033</v>
      </c>
      <c r="I190" s="8" t="n">
        <f aca="false">I14*(1-Initiatives!$C$8)+I28*(1-Initiatives!$D$8)+I42*(1-Initiatives!$E$8)+I56*(1-Initiatives!$F$8)+I70*(1-Initiatives!$G$8)+I84*(1-Initiatives!$H$8)+I98*(1-Initiatives!$I$8)+I112*(1-Initiatives!$J$8)+I126*(1-Initiatives!$K$8)+I140*(1-Initiatives!$L$8)+I154*(1-Initiatives!$M$8)+I168*(1-Initiatives!$N$8)+I182*(1-Initiatives!$O$8)</f>
        <v>4170600474.76252</v>
      </c>
      <c r="J190" s="8" t="n">
        <f aca="false">J14*(1-Initiatives!$C$8)+J28*(1-Initiatives!$D$8)+J42*(1-Initiatives!$E$8)+J56*(1-Initiatives!$F$8)+J70*(1-Initiatives!$G$8)+J84*(1-Initiatives!$H$8)+J98*(1-Initiatives!$I$8)+J112*(1-Initiatives!$J$8)+J126*(1-Initiatives!$K$8)+J140*(1-Initiatives!$L$8)+J154*(1-Initiatives!$M$8)+J168*(1-Initiatives!$N$8)+J182*(1-Initiatives!$O$8)</f>
        <v>4652264753.93452</v>
      </c>
      <c r="K190" s="8" t="n">
        <f aca="false">K14*(1-Initiatives!$C$8)+K28*(1-Initiatives!$D$8)+K42*(1-Initiatives!$E$8)+K56*(1-Initiatives!$F$8)+K70*(1-Initiatives!$G$8)+K84*(1-Initiatives!$H$8)+K98*(1-Initiatives!$I$8)+K112*(1-Initiatives!$J$8)+K126*(1-Initiatives!$K$8)+K140*(1-Initiatives!$L$8)+K154*(1-Initiatives!$M$8)+K168*(1-Initiatives!$N$8)+K182*(1-Initiatives!$O$8)</f>
        <v>5157982161.11338</v>
      </c>
      <c r="L190" s="8" t="n">
        <f aca="false">L14*(1-Initiatives!$C$8)+L28*(1-Initiatives!$D$8)+L42*(1-Initiatives!$E$8)+L56*(1-Initiatives!$F$8)+L70*(1-Initiatives!$G$8)+L84*(1-Initiatives!$H$8)+L98*(1-Initiatives!$I$8)+L112*(1-Initiatives!$J$8)+L126*(1-Initiatives!$K$8)+L140*(1-Initiatives!$L$8)+L154*(1-Initiatives!$M$8)+L168*(1-Initiatives!$N$8)+L182*(1-Initiatives!$O$8)</f>
        <v>5661543864.11443</v>
      </c>
      <c r="M190" s="8" t="n">
        <f aca="false">M14*(1-Initiatives!$C$8)+M28*(1-Initiatives!$D$8)+M42*(1-Initiatives!$E$8)+M56*(1-Initiatives!$F$8)+M70*(1-Initiatives!$G$8)+M84*(1-Initiatives!$H$8)+M98*(1-Initiatives!$I$8)+M112*(1-Initiatives!$J$8)+M126*(1-Initiatives!$K$8)+M140*(1-Initiatives!$L$8)+M154*(1-Initiatives!$M$8)+M168*(1-Initiatives!$N$8)+M182*(1-Initiatives!$O$8)</f>
        <v>6162706605.69958</v>
      </c>
      <c r="N190" s="8" t="n">
        <f aca="false">N14*(1-Initiatives!$C$8)+N28*(1-Initiatives!$D$8)+N42*(1-Initiatives!$E$8)+N56*(1-Initiatives!$F$8)+N70*(1-Initiatives!$G$8)+N84*(1-Initiatives!$H$8)+N98*(1-Initiatives!$I$8)+N112*(1-Initiatives!$J$8)+N126*(1-Initiatives!$K$8)+N140*(1-Initiatives!$L$8)+N154*(1-Initiatives!$M$8)+N168*(1-Initiatives!$N$8)+N182*(1-Initiatives!$O$8)</f>
        <v>10195808742.3138</v>
      </c>
      <c r="O190" s="8" t="n">
        <f aca="false">O14*(1-Initiatives!$C$8)+O28*(1-Initiatives!$D$8)+O42*(1-Initiatives!$E$8)+O56*(1-Initiatives!$F$8)+O70*(1-Initiatives!$G$8)+O84*(1-Initiatives!$H$8)+O98*(1-Initiatives!$I$8)+O112*(1-Initiatives!$J$8)+O126*(1-Initiatives!$K$8)+O140*(1-Initiatives!$L$8)+O154*(1-Initiatives!$M$8)+O168*(1-Initiatives!$N$8)+O182*(1-Initiatives!$O$8)</f>
        <v>9830944741.69652</v>
      </c>
      <c r="P190" s="8" t="n">
        <f aca="false">P14*(1-Initiatives!$C$8)+P28*(1-Initiatives!$D$8)+P42*(1-Initiatives!$E$8)+P56*(1-Initiatives!$F$8)+P70*(1-Initiatives!$G$8)+P84*(1-Initiatives!$H$8)+P98*(1-Initiatives!$I$8)+P112*(1-Initiatives!$J$8)+P126*(1-Initiatives!$K$8)+P140*(1-Initiatives!$L$8)+P154*(1-Initiatives!$M$8)+P168*(1-Initiatives!$N$8)+P182*(1-Initiatives!$O$8)</f>
        <v>9735173106.45962</v>
      </c>
      <c r="Q190" s="8" t="n">
        <f aca="false">Q14*(1-Initiatives!$C$8)+Q28*(1-Initiatives!$D$8)+Q42*(1-Initiatives!$E$8)+Q56*(1-Initiatives!$F$8)+Q70*(1-Initiatives!$G$8)+Q84*(1-Initiatives!$H$8)+Q98*(1-Initiatives!$I$8)+Q112*(1-Initiatives!$J$8)+Q126*(1-Initiatives!$K$8)+Q140*(1-Initiatives!$L$8)+Q154*(1-Initiatives!$M$8)+Q168*(1-Initiatives!$N$8)+Q182*(1-Initiatives!$O$8)</f>
        <v>9640433184.64252</v>
      </c>
      <c r="R190" s="8" t="n">
        <f aca="false">R14*(1-Initiatives!$C$8)+R28*(1-Initiatives!$D$8)+R42*(1-Initiatives!$E$8)+R56*(1-Initiatives!$F$8)+R70*(1-Initiatives!$G$8)+R84*(1-Initiatives!$H$8)+R98*(1-Initiatives!$I$8)+R112*(1-Initiatives!$J$8)+R126*(1-Initiatives!$K$8)+R140*(1-Initiatives!$L$8)+R154*(1-Initiatives!$M$8)+R168*(1-Initiatives!$N$8)+R182*(1-Initiatives!$O$8)</f>
        <v>9546688054.41627</v>
      </c>
      <c r="S190" s="8" t="n">
        <f aca="false">S14*(1-Initiatives!$C$8)+S28*(1-Initiatives!$D$8)+S42*(1-Initiatives!$E$8)+S56*(1-Initiatives!$F$8)+S70*(1-Initiatives!$G$8)+S84*(1-Initiatives!$H$8)+S98*(1-Initiatives!$I$8)+S112*(1-Initiatives!$J$8)+S126*(1-Initiatives!$K$8)+S140*(1-Initiatives!$L$8)+S154*(1-Initiatives!$M$8)+S168*(1-Initiatives!$N$8)+S182*(1-Initiatives!$O$8)</f>
        <v>9453903921.80989</v>
      </c>
      <c r="T190" s="8" t="n">
        <f aca="false">T14*(1-Initiatives!$C$8)+T28*(1-Initiatives!$D$8)+T42*(1-Initiatives!$E$8)+T56*(1-Initiatives!$F$8)+T70*(1-Initiatives!$G$8)+T84*(1-Initiatives!$H$8)+T98*(1-Initiatives!$I$8)+T112*(1-Initiatives!$J$8)+T126*(1-Initiatives!$K$8)+T140*(1-Initiatives!$L$8)+T154*(1-Initiatives!$M$8)+T168*(1-Initiatives!$N$8)+T182*(1-Initiatives!$O$8)</f>
        <v>9362049848.14285</v>
      </c>
      <c r="U190" s="8" t="n">
        <f aca="false">U14*(1-Initiatives!$C$8)+U28*(1-Initiatives!$D$8)+U42*(1-Initiatives!$E$8)+U56*(1-Initiatives!$F$8)+U70*(1-Initiatives!$G$8)+U84*(1-Initiatives!$H$8)+U98*(1-Initiatives!$I$8)+U112*(1-Initiatives!$J$8)+U126*(1-Initiatives!$K$8)+U140*(1-Initiatives!$L$8)+U154*(1-Initiatives!$M$8)+U168*(1-Initiatives!$N$8)+U182*(1-Initiatives!$O$8)</f>
        <v>9271097500.49486</v>
      </c>
      <c r="V190" s="8" t="n">
        <f aca="false">V14*(1-Initiatives!$C$8)+V28*(1-Initiatives!$D$8)+V42*(1-Initiatives!$E$8)+V56*(1-Initiatives!$F$8)+V70*(1-Initiatives!$G$8)+V84*(1-Initiatives!$H$8)+V98*(1-Initiatives!$I$8)+V112*(1-Initiatives!$J$8)+V126*(1-Initiatives!$K$8)+V140*(1-Initiatives!$L$8)+V154*(1-Initiatives!$M$8)+V168*(1-Initiatives!$N$8)+V182*(1-Initiatives!$O$8)</f>
        <v>9181020923.28772</v>
      </c>
      <c r="W190" s="8" t="n">
        <f aca="false">W14*(1-Initiatives!$C$8)+W28*(1-Initiatives!$D$8)+W42*(1-Initiatives!$E$8)+W56*(1-Initiatives!$F$8)+W70*(1-Initiatives!$G$8)+W84*(1-Initiatives!$H$8)+W98*(1-Initiatives!$I$8)+W112*(1-Initiatives!$J$8)+W126*(1-Initiatives!$K$8)+W140*(1-Initiatives!$L$8)+W154*(1-Initiatives!$M$8)+W168*(1-Initiatives!$N$8)+W182*(1-Initiatives!$O$8)</f>
        <v>9091796329.21429</v>
      </c>
      <c r="X190" s="8" t="n">
        <f aca="false">X14*(1-Initiatives!$C$8)+X28*(1-Initiatives!$D$8)+X42*(1-Initiatives!$E$8)+X56*(1-Initiatives!$F$8)+X70*(1-Initiatives!$G$8)+X84*(1-Initiatives!$H$8)+X98*(1-Initiatives!$I$8)+X112*(1-Initiatives!$J$8)+X126*(1-Initiatives!$K$8)+X140*(1-Initiatives!$L$8)+X154*(1-Initiatives!$M$8)+X168*(1-Initiatives!$N$8)+X182*(1-Initiatives!$O$8)</f>
        <v>9003401907.8967</v>
      </c>
      <c r="Y190" s="8" t="n">
        <f aca="false">Y14*(1-Initiatives!$C$8)+Y28*(1-Initiatives!$D$8)+Y42*(1-Initiatives!$E$8)+Y56*(1-Initiatives!$F$8)+Y70*(1-Initiatives!$G$8)+Y84*(1-Initiatives!$H$8)+Y98*(1-Initiatives!$I$8)+Y112*(1-Initiatives!$J$8)+Y126*(1-Initiatives!$K$8)+Y140*(1-Initiatives!$L$8)+Y154*(1-Initiatives!$M$8)+Y168*(1-Initiatives!$N$8)+Y182*(1-Initiatives!$O$8)</f>
        <v>8915817650.79102</v>
      </c>
      <c r="Z190" s="8" t="n">
        <f aca="false">Z14*(1-Initiatives!$C$8)+Z28*(1-Initiatives!$D$8)+Z42*(1-Initiatives!$E$8)+Z56*(1-Initiatives!$F$8)+Z70*(1-Initiatives!$G$8)+Z84*(1-Initiatives!$H$8)+Z98*(1-Initiatives!$I$8)+Z112*(1-Initiatives!$J$8)+Z126*(1-Initiatives!$K$8)+Z140*(1-Initiatives!$L$8)+Z154*(1-Initiatives!$M$8)+Z168*(1-Initiatives!$N$8)+Z182*(1-Initiatives!$O$8)</f>
        <v>8829025190.9786</v>
      </c>
    </row>
    <row r="191" customFormat="false" ht="15" hidden="false" customHeight="false" outlineLevel="0" collapsed="false">
      <c r="A191" s="3" t="s">
        <v>251</v>
      </c>
      <c r="B191" s="4"/>
      <c r="C191" s="8" t="n">
        <f aca="false">C15*(1-Initiatives!$C$8)+C29*(1-Initiatives!$D$8)+C43*(1-Initiatives!$E$8)+C57*(1-Initiatives!$F$8)+C71*(1-Initiatives!$G$8)+C85*(1-Initiatives!$H$8)+C99*(1-Initiatives!$I$8)+C113*(1-Initiatives!$J$8)+C127*(1-Initiatives!$K$8)+C141*(1-Initiatives!$L$8)+C155*(1-Initiatives!$M$8)+C169*(1-Initiatives!$N$8)+C183*(1-Initiatives!$O$8)</f>
        <v>0</v>
      </c>
      <c r="D191" s="8" t="n">
        <f aca="false">D15*(1-Initiatives!$C$8)+D29*(1-Initiatives!$D$8)+D43*(1-Initiatives!$E$8)+D57*(1-Initiatives!$F$8)+D71*(1-Initiatives!$G$8)+D85*(1-Initiatives!$H$8)+D99*(1-Initiatives!$I$8)+D113*(1-Initiatives!$J$8)+D127*(1-Initiatives!$K$8)+D141*(1-Initiatives!$L$8)+D155*(1-Initiatives!$M$8)+D169*(1-Initiatives!$N$8)+D183*(1-Initiatives!$O$8)</f>
        <v>0</v>
      </c>
      <c r="E191" s="8" t="n">
        <f aca="false">E15*(1-Initiatives!$C$8)+E29*(1-Initiatives!$D$8)+E43*(1-Initiatives!$E$8)+E57*(1-Initiatives!$F$8)+E71*(1-Initiatives!$G$8)+E85*(1-Initiatives!$H$8)+E99*(1-Initiatives!$I$8)+E113*(1-Initiatives!$J$8)+E127*(1-Initiatives!$K$8)+E141*(1-Initiatives!$L$8)+E155*(1-Initiatives!$M$8)+E169*(1-Initiatives!$N$8)+E183*(1-Initiatives!$O$8)</f>
        <v>0</v>
      </c>
      <c r="F191" s="8" t="n">
        <f aca="false">F15*(1-Initiatives!$C$8)+F29*(1-Initiatives!$D$8)+F43*(1-Initiatives!$E$8)+F57*(1-Initiatives!$F$8)+F71*(1-Initiatives!$G$8)+F85*(1-Initiatives!$H$8)+F99*(1-Initiatives!$I$8)+F113*(1-Initiatives!$J$8)+F127*(1-Initiatives!$K$8)+F141*(1-Initiatives!$L$8)+F155*(1-Initiatives!$M$8)+F169*(1-Initiatives!$N$8)+F183*(1-Initiatives!$O$8)</f>
        <v>0</v>
      </c>
      <c r="G191" s="8" t="n">
        <f aca="false">G15*(1-Initiatives!$C$8)+G29*(1-Initiatives!$D$8)+G43*(1-Initiatives!$E$8)+G57*(1-Initiatives!$F$8)+G71*(1-Initiatives!$G$8)+G85*(1-Initiatives!$H$8)+G99*(1-Initiatives!$I$8)+G113*(1-Initiatives!$J$8)+G127*(1-Initiatives!$K$8)+G141*(1-Initiatives!$L$8)+G155*(1-Initiatives!$M$8)+G169*(1-Initiatives!$N$8)+G183*(1-Initiatives!$O$8)</f>
        <v>0</v>
      </c>
      <c r="H191" s="8" t="n">
        <f aca="false">H15*(1-Initiatives!$C$8)+H29*(1-Initiatives!$D$8)+H43*(1-Initiatives!$E$8)+H57*(1-Initiatives!$F$8)+H71*(1-Initiatives!$G$8)+H85*(1-Initiatives!$H$8)+H99*(1-Initiatives!$I$8)+H113*(1-Initiatives!$J$8)+H127*(1-Initiatives!$K$8)+H141*(1-Initiatives!$L$8)+H155*(1-Initiatives!$M$8)+H169*(1-Initiatives!$N$8)+H183*(1-Initiatives!$O$8)</f>
        <v>0</v>
      </c>
      <c r="I191" s="8" t="n">
        <f aca="false">I15*(1-Initiatives!$C$8)+I29*(1-Initiatives!$D$8)+I43*(1-Initiatives!$E$8)+I57*(1-Initiatives!$F$8)+I71*(1-Initiatives!$G$8)+I85*(1-Initiatives!$H$8)+I99*(1-Initiatives!$I$8)+I113*(1-Initiatives!$J$8)+I127*(1-Initiatives!$K$8)+I141*(1-Initiatives!$L$8)+I155*(1-Initiatives!$M$8)+I169*(1-Initiatives!$N$8)+I183*(1-Initiatives!$O$8)</f>
        <v>0</v>
      </c>
      <c r="J191" s="8" t="n">
        <f aca="false">J15*(1-Initiatives!$C$8)+J29*(1-Initiatives!$D$8)+J43*(1-Initiatives!$E$8)+J57*(1-Initiatives!$F$8)+J71*(1-Initiatives!$G$8)+J85*(1-Initiatives!$H$8)+J99*(1-Initiatives!$I$8)+J113*(1-Initiatives!$J$8)+J127*(1-Initiatives!$K$8)+J141*(1-Initiatives!$L$8)+J155*(1-Initiatives!$M$8)+J169*(1-Initiatives!$N$8)+J183*(1-Initiatives!$O$8)</f>
        <v>0</v>
      </c>
      <c r="K191" s="8" t="n">
        <f aca="false">K15*(1-Initiatives!$C$8)+K29*(1-Initiatives!$D$8)+K43*(1-Initiatives!$E$8)+K57*(1-Initiatives!$F$8)+K71*(1-Initiatives!$G$8)+K85*(1-Initiatives!$H$8)+K99*(1-Initiatives!$I$8)+K113*(1-Initiatives!$J$8)+K127*(1-Initiatives!$K$8)+K141*(1-Initiatives!$L$8)+K155*(1-Initiatives!$M$8)+K169*(1-Initiatives!$N$8)+K183*(1-Initiatives!$O$8)</f>
        <v>24330240</v>
      </c>
      <c r="L191" s="8" t="n">
        <f aca="false">L15*(1-Initiatives!$C$8)+L29*(1-Initiatives!$D$8)+L43*(1-Initiatives!$E$8)+L57*(1-Initiatives!$F$8)+L71*(1-Initiatives!$G$8)+L85*(1-Initiatives!$H$8)+L99*(1-Initiatives!$I$8)+L113*(1-Initiatives!$J$8)+L127*(1-Initiatives!$K$8)+L141*(1-Initiatives!$L$8)+L155*(1-Initiatives!$M$8)+L169*(1-Initiatives!$N$8)+L183*(1-Initiatives!$O$8)</f>
        <v>48405012.48</v>
      </c>
      <c r="M191" s="8" t="n">
        <f aca="false">M15*(1-Initiatives!$C$8)+M29*(1-Initiatives!$D$8)+M43*(1-Initiatives!$E$8)+M57*(1-Initiatives!$F$8)+M71*(1-Initiatives!$G$8)+M85*(1-Initiatives!$H$8)+M99*(1-Initiatives!$I$8)+M113*(1-Initiatives!$J$8)+M127*(1-Initiatives!$K$8)+M141*(1-Initiatives!$L$8)+M155*(1-Initiatives!$M$8)+M169*(1-Initiatives!$N$8)+M183*(1-Initiatives!$O$8)</f>
        <v>72226999.84896</v>
      </c>
      <c r="N191" s="8" t="n">
        <f aca="false">N15*(1-Initiatives!$C$8)+N29*(1-Initiatives!$D$8)+N43*(1-Initiatives!$E$8)+N57*(1-Initiatives!$F$8)+N71*(1-Initiatives!$G$8)+N85*(1-Initiatives!$H$8)+N99*(1-Initiatives!$I$8)+N113*(1-Initiatives!$J$8)+N127*(1-Initiatives!$K$8)+N141*(1-Initiatives!$L$8)+N155*(1-Initiatives!$M$8)+N169*(1-Initiatives!$N$8)+N183*(1-Initiatives!$O$8)</f>
        <v>95798856.3505459</v>
      </c>
      <c r="O191" s="8" t="n">
        <f aca="false">O15*(1-Initiatives!$C$8)+O29*(1-Initiatives!$D$8)+O43*(1-Initiatives!$E$8)+O57*(1-Initiatives!$F$8)+O71*(1-Initiatives!$G$8)+O85*(1-Initiatives!$H$8)+O99*(1-Initiatives!$I$8)+O113*(1-Initiatives!$J$8)+O127*(1-Initiatives!$K$8)+O141*(1-Initiatives!$L$8)+O155*(1-Initiatives!$M$8)+O169*(1-Initiatives!$N$8)+O183*(1-Initiatives!$O$8)</f>
        <v>94792968.3588652</v>
      </c>
      <c r="P191" s="8" t="n">
        <f aca="false">P15*(1-Initiatives!$C$8)+P29*(1-Initiatives!$D$8)+P43*(1-Initiatives!$E$8)+P57*(1-Initiatives!$F$8)+P71*(1-Initiatives!$G$8)+P85*(1-Initiatives!$H$8)+P99*(1-Initiatives!$I$8)+P113*(1-Initiatives!$J$8)+P127*(1-Initiatives!$K$8)+P141*(1-Initiatives!$L$8)+P155*(1-Initiatives!$M$8)+P169*(1-Initiatives!$N$8)+P183*(1-Initiatives!$O$8)</f>
        <v>93797642.1910971</v>
      </c>
      <c r="Q191" s="8" t="n">
        <f aca="false">Q15*(1-Initiatives!$C$8)+Q29*(1-Initiatives!$D$8)+Q43*(1-Initiatives!$E$8)+Q57*(1-Initiatives!$F$8)+Q71*(1-Initiatives!$G$8)+Q85*(1-Initiatives!$H$8)+Q99*(1-Initiatives!$I$8)+Q113*(1-Initiatives!$J$8)+Q127*(1-Initiatives!$K$8)+Q141*(1-Initiatives!$L$8)+Q155*(1-Initiatives!$M$8)+Q169*(1-Initiatives!$N$8)+Q183*(1-Initiatives!$O$8)</f>
        <v>92812766.9480906</v>
      </c>
      <c r="R191" s="8" t="n">
        <f aca="false">R15*(1-Initiatives!$C$8)+R29*(1-Initiatives!$D$8)+R43*(1-Initiatives!$E$8)+R57*(1-Initiatives!$F$8)+R71*(1-Initiatives!$G$8)+R85*(1-Initiatives!$H$8)+R99*(1-Initiatives!$I$8)+R113*(1-Initiatives!$J$8)+R127*(1-Initiatives!$K$8)+R141*(1-Initiatives!$L$8)+R155*(1-Initiatives!$M$8)+R169*(1-Initiatives!$N$8)+R183*(1-Initiatives!$O$8)</f>
        <v>91838232.8951357</v>
      </c>
      <c r="S191" s="8" t="n">
        <f aca="false">S15*(1-Initiatives!$C$8)+S29*(1-Initiatives!$D$8)+S43*(1-Initiatives!$E$8)+S57*(1-Initiatives!$F$8)+S71*(1-Initiatives!$G$8)+S85*(1-Initiatives!$H$8)+S99*(1-Initiatives!$I$8)+S113*(1-Initiatives!$J$8)+S127*(1-Initiatives!$K$8)+S141*(1-Initiatives!$L$8)+S155*(1-Initiatives!$M$8)+S169*(1-Initiatives!$N$8)+S183*(1-Initiatives!$O$8)</f>
        <v>90873931.4497368</v>
      </c>
      <c r="T191" s="8" t="n">
        <f aca="false">T15*(1-Initiatives!$C$8)+T29*(1-Initiatives!$D$8)+T43*(1-Initiatives!$E$8)+T57*(1-Initiatives!$F$8)+T71*(1-Initiatives!$G$8)+T85*(1-Initiatives!$H$8)+T99*(1-Initiatives!$I$8)+T113*(1-Initiatives!$J$8)+T127*(1-Initiatives!$K$8)+T141*(1-Initiatives!$L$8)+T155*(1-Initiatives!$M$8)+T169*(1-Initiatives!$N$8)+T183*(1-Initiatives!$O$8)</f>
        <v>89919755.1695145</v>
      </c>
      <c r="U191" s="8" t="n">
        <f aca="false">U15*(1-Initiatives!$C$8)+U29*(1-Initiatives!$D$8)+U43*(1-Initiatives!$E$8)+U57*(1-Initiatives!$F$8)+U71*(1-Initiatives!$G$8)+U85*(1-Initiatives!$H$8)+U99*(1-Initiatives!$I$8)+U113*(1-Initiatives!$J$8)+U127*(1-Initiatives!$K$8)+U141*(1-Initiatives!$L$8)+U155*(1-Initiatives!$M$8)+U169*(1-Initiatives!$N$8)+U183*(1-Initiatives!$O$8)</f>
        <v>88975597.7402346</v>
      </c>
      <c r="V191" s="8" t="n">
        <f aca="false">V15*(1-Initiatives!$C$8)+V29*(1-Initiatives!$D$8)+V43*(1-Initiatives!$E$8)+V57*(1-Initiatives!$F$8)+V71*(1-Initiatives!$G$8)+V85*(1-Initiatives!$H$8)+V99*(1-Initiatives!$I$8)+V113*(1-Initiatives!$J$8)+V127*(1-Initiatives!$K$8)+V141*(1-Initiatives!$L$8)+V155*(1-Initiatives!$M$8)+V169*(1-Initiatives!$N$8)+V183*(1-Initiatives!$O$8)</f>
        <v>88041353.9639622</v>
      </c>
      <c r="W191" s="8" t="n">
        <f aca="false">W15*(1-Initiatives!$C$8)+W29*(1-Initiatives!$D$8)+W43*(1-Initiatives!$E$8)+W57*(1-Initiatives!$F$8)+W71*(1-Initiatives!$G$8)+W85*(1-Initiatives!$H$8)+W99*(1-Initiatives!$I$8)+W113*(1-Initiatives!$J$8)+W127*(1-Initiatives!$K$8)+W141*(1-Initiatives!$L$8)+W155*(1-Initiatives!$M$8)+W169*(1-Initiatives!$N$8)+W183*(1-Initiatives!$O$8)</f>
        <v>87116919.7473406</v>
      </c>
      <c r="X191" s="8" t="n">
        <f aca="false">X15*(1-Initiatives!$C$8)+X29*(1-Initiatives!$D$8)+X43*(1-Initiatives!$E$8)+X57*(1-Initiatives!$F$8)+X71*(1-Initiatives!$G$8)+X85*(1-Initiatives!$H$8)+X99*(1-Initiatives!$I$8)+X113*(1-Initiatives!$J$8)+X127*(1-Initiatives!$K$8)+X141*(1-Initiatives!$L$8)+X155*(1-Initiatives!$M$8)+X169*(1-Initiatives!$N$8)+X183*(1-Initiatives!$O$8)</f>
        <v>86202192.0899935</v>
      </c>
      <c r="Y191" s="8" t="n">
        <f aca="false">Y15*(1-Initiatives!$C$8)+Y29*(1-Initiatives!$D$8)+Y43*(1-Initiatives!$E$8)+Y57*(1-Initiatives!$F$8)+Y71*(1-Initiatives!$G$8)+Y85*(1-Initiatives!$H$8)+Y99*(1-Initiatives!$I$8)+Y113*(1-Initiatives!$J$8)+Y127*(1-Initiatives!$K$8)+Y141*(1-Initiatives!$L$8)+Y155*(1-Initiatives!$M$8)+Y169*(1-Initiatives!$N$8)+Y183*(1-Initiatives!$O$8)</f>
        <v>85297069.0730486</v>
      </c>
      <c r="Z191" s="8" t="n">
        <f aca="false">Z15*(1-Initiatives!$C$8)+Z29*(1-Initiatives!$D$8)+Z43*(1-Initiatives!$E$8)+Z57*(1-Initiatives!$F$8)+Z71*(1-Initiatives!$G$8)+Z85*(1-Initiatives!$H$8)+Z99*(1-Initiatives!$I$8)+Z113*(1-Initiatives!$J$8)+Z127*(1-Initiatives!$K$8)+Z141*(1-Initiatives!$L$8)+Z155*(1-Initiatives!$M$8)+Z169*(1-Initiatives!$N$8)+Z183*(1-Initiatives!$O$8)</f>
        <v>84401449.8477816</v>
      </c>
    </row>
    <row r="192" customFormat="false" ht="15" hidden="false" customHeight="false" outlineLevel="0" collapsed="false">
      <c r="A192" s="3" t="s">
        <v>252</v>
      </c>
      <c r="B192" s="4"/>
      <c r="C192" s="8" t="n">
        <f aca="false">C18*(1-Initiatives!$C$8)+C32*(1-Initiatives!$D$8)+C46*(1-Initiatives!$E$8)+C60*(1-Initiatives!$F$8)+C74*(1-Initiatives!$G$8)+C88*(1-Initiatives!$H$8)+C102*(1-Initiatives!$I$8)+C116*(1-Initiatives!$J$8)+C130*(1-Initiatives!$K$8)+C144*(1-Initiatives!$L$8)+C158*(1-Initiatives!$M$8)+C172*(1-Initiatives!$N$8)+C186*(1-Initiatives!$O$8)</f>
        <v>0</v>
      </c>
      <c r="D192" s="8" t="n">
        <f aca="false">D18*(1-Initiatives!$C$8)+D32*(1-Initiatives!$D$8)+D46*(1-Initiatives!$E$8)+D60*(1-Initiatives!$F$8)+D74*(1-Initiatives!$G$8)+D88*(1-Initiatives!$H$8)+D102*(1-Initiatives!$I$8)+D116*(1-Initiatives!$J$8)+D130*(1-Initiatives!$K$8)+D144*(1-Initiatives!$L$8)+D158*(1-Initiatives!$M$8)+D172*(1-Initiatives!$N$8)+D186*(1-Initiatives!$O$8)</f>
        <v>-10597.5466666667</v>
      </c>
      <c r="E192" s="8" t="n">
        <f aca="false">E18*(1-Initiatives!$C$8)+E32*(1-Initiatives!$D$8)+E46*(1-Initiatives!$E$8)+E60*(1-Initiatives!$F$8)+E74*(1-Initiatives!$G$8)+E88*(1-Initiatives!$H$8)+E102*(1-Initiatives!$I$8)+E116*(1-Initiatives!$J$8)+E130*(1-Initiatives!$K$8)+E144*(1-Initiatives!$L$8)+E158*(1-Initiatives!$M$8)+E172*(1-Initiatives!$N$8)+E186*(1-Initiatives!$O$8)</f>
        <v>-20957.9254133333</v>
      </c>
      <c r="F192" s="8" t="n">
        <f aca="false">F18*(1-Initiatives!$C$8)+F32*(1-Initiatives!$D$8)+F46*(1-Initiatives!$E$8)+F60*(1-Initiatives!$F$8)+F74*(1-Initiatives!$G$8)+F88*(1-Initiatives!$H$8)+F102*(1-Initiatives!$I$8)+F116*(1-Initiatives!$J$8)+F130*(1-Initiatives!$K$8)+F144*(1-Initiatives!$L$8)+F158*(1-Initiatives!$M$8)+F172*(1-Initiatives!$N$8)+F186*(1-Initiatives!$O$8)</f>
        <v>-21364.48141542</v>
      </c>
      <c r="G192" s="8" t="n">
        <f aca="false">G18*(1-Initiatives!$C$8)+G32*(1-Initiatives!$D$8)+G46*(1-Initiatives!$E$8)+G60*(1-Initiatives!$F$8)+G74*(1-Initiatives!$G$8)+G88*(1-Initiatives!$H$8)+G102*(1-Initiatives!$I$8)+G116*(1-Initiatives!$J$8)+G130*(1-Initiatives!$K$8)+G144*(1-Initiatives!$L$8)+G158*(1-Initiatives!$M$8)+G172*(1-Initiatives!$N$8)+G186*(1-Initiatives!$O$8)</f>
        <v>-20742.2805700105</v>
      </c>
      <c r="H192" s="8" t="n">
        <f aca="false">H18*(1-Initiatives!$C$8)+H32*(1-Initiatives!$D$8)+H46*(1-Initiatives!$E$8)+H60*(1-Initiatives!$F$8)+H74*(1-Initiatives!$G$8)+H88*(1-Initiatives!$H$8)+H102*(1-Initiatives!$I$8)+H116*(1-Initiatives!$J$8)+H130*(1-Initiatives!$K$8)+H144*(1-Initiatives!$L$8)+H158*(1-Initiatives!$M$8)+H172*(1-Initiatives!$N$8)+H186*(1-Initiatives!$O$8)</f>
        <v>-20042.5530540993</v>
      </c>
      <c r="I192" s="8" t="n">
        <f aca="false">I18*(1-Initiatives!$C$8)+I32*(1-Initiatives!$D$8)+I46*(1-Initiatives!$E$8)+I60*(1-Initiatives!$F$8)+I74*(1-Initiatives!$G$8)+I88*(1-Initiatives!$H$8)+I102*(1-Initiatives!$I$8)+I116*(1-Initiatives!$J$8)+I130*(1-Initiatives!$K$8)+I144*(1-Initiatives!$L$8)+I158*(1-Initiatives!$M$8)+I172*(1-Initiatives!$N$8)+I186*(1-Initiatives!$O$8)</f>
        <v>-19297.1486654805</v>
      </c>
      <c r="J192" s="8" t="n">
        <f aca="false">J18*(1-Initiatives!$C$8)+J32*(1-Initiatives!$D$8)+J46*(1-Initiatives!$E$8)+J60*(1-Initiatives!$F$8)+J74*(1-Initiatives!$G$8)+J88*(1-Initiatives!$H$8)+J102*(1-Initiatives!$I$8)+J116*(1-Initiatives!$J$8)+J130*(1-Initiatives!$K$8)+J144*(1-Initiatives!$L$8)+J158*(1-Initiatives!$M$8)+J172*(1-Initiatives!$N$8)+J186*(1-Initiatives!$O$8)</f>
        <v>-17937.9123744474</v>
      </c>
      <c r="K192" s="8" t="n">
        <f aca="false">K18*(1-Initiatives!$C$8)+K32*(1-Initiatives!$D$8)+K46*(1-Initiatives!$E$8)+K60*(1-Initiatives!$F$8)+K74*(1-Initiatives!$G$8)+K88*(1-Initiatives!$H$8)+K102*(1-Initiatives!$I$8)+K116*(1-Initiatives!$J$8)+K130*(1-Initiatives!$K$8)+K144*(1-Initiatives!$L$8)+K158*(1-Initiatives!$M$8)+K172*(1-Initiatives!$N$8)+K186*(1-Initiatives!$O$8)</f>
        <v>-15992.1366008654</v>
      </c>
      <c r="L192" s="8" t="n">
        <f aca="false">L18*(1-Initiatives!$C$8)+L32*(1-Initiatives!$D$8)+L46*(1-Initiatives!$E$8)+L60*(1-Initiatives!$F$8)+L74*(1-Initiatives!$G$8)+L88*(1-Initiatives!$H$8)+L102*(1-Initiatives!$I$8)+L116*(1-Initiatives!$J$8)+L130*(1-Initiatives!$K$8)+L144*(1-Initiatives!$L$8)+L158*(1-Initiatives!$M$8)+L172*(1-Initiatives!$N$8)+L186*(1-Initiatives!$O$8)</f>
        <v>-13506.2607593227</v>
      </c>
      <c r="M192" s="8" t="n">
        <f aca="false">M18*(1-Initiatives!$C$8)+M32*(1-Initiatives!$D$8)+M46*(1-Initiatives!$E$8)+M60*(1-Initiatives!$F$8)+M74*(1-Initiatives!$G$8)+M88*(1-Initiatives!$H$8)+M102*(1-Initiatives!$I$8)+M116*(1-Initiatives!$J$8)+M130*(1-Initiatives!$K$8)+M144*(1-Initiatives!$L$8)+M158*(1-Initiatives!$M$8)+M172*(1-Initiatives!$N$8)+M186*(1-Initiatives!$O$8)</f>
        <v>-10505.3373797927</v>
      </c>
      <c r="N192" s="8" t="n">
        <f aca="false">N18*(1-Initiatives!$C$8)+N32*(1-Initiatives!$D$8)+N46*(1-Initiatives!$E$8)+N60*(1-Initiatives!$F$8)+N74*(1-Initiatives!$G$8)+N88*(1-Initiatives!$H$8)+N102*(1-Initiatives!$I$8)+N116*(1-Initiatives!$J$8)+N130*(1-Initiatives!$K$8)+N144*(1-Initiatives!$L$8)+N158*(1-Initiatives!$M$8)+N172*(1-Initiatives!$N$8)+N186*(1-Initiatives!$O$8)</f>
        <v>-25164.1894003527</v>
      </c>
      <c r="O192" s="8" t="n">
        <f aca="false">O18*(1-Initiatives!$C$8)+O32*(1-Initiatives!$D$8)+O46*(1-Initiatives!$E$8)+O60*(1-Initiatives!$F$8)+O74*(1-Initiatives!$G$8)+O88*(1-Initiatives!$H$8)+O102*(1-Initiatives!$I$8)+O116*(1-Initiatives!$J$8)+O130*(1-Initiatives!$K$8)+O144*(1-Initiatives!$L$8)+O158*(1-Initiatives!$M$8)+O172*(1-Initiatives!$N$8)+O186*(1-Initiatives!$O$8)</f>
        <v>-39617.6012178299</v>
      </c>
      <c r="P192" s="8" t="n">
        <f aca="false">P18*(1-Initiatives!$C$8)+P32*(1-Initiatives!$D$8)+P46*(1-Initiatives!$E$8)+P60*(1-Initiatives!$F$8)+P74*(1-Initiatives!$G$8)+P88*(1-Initiatives!$H$8)+P102*(1-Initiatives!$I$8)+P116*(1-Initiatives!$J$8)+P130*(1-Initiatives!$K$8)+P144*(1-Initiatives!$L$8)+P158*(1-Initiatives!$M$8)+P172*(1-Initiatives!$N$8)+P186*(1-Initiatives!$O$8)</f>
        <v>-36294.3540588546</v>
      </c>
      <c r="Q192" s="8" t="n">
        <f aca="false">Q18*(1-Initiatives!$C$8)+Q32*(1-Initiatives!$D$8)+Q46*(1-Initiatives!$E$8)+Q60*(1-Initiatives!$F$8)+Q74*(1-Initiatives!$G$8)+Q88*(1-Initiatives!$H$8)+Q102*(1-Initiatives!$I$8)+Q116*(1-Initiatives!$J$8)+Q130*(1-Initiatives!$K$8)+Q144*(1-Initiatives!$L$8)+Q158*(1-Initiatives!$M$8)+Q172*(1-Initiatives!$N$8)+Q186*(1-Initiatives!$O$8)</f>
        <v>-33060.5123908484</v>
      </c>
      <c r="R192" s="8" t="n">
        <f aca="false">R18*(1-Initiatives!$C$8)+R32*(1-Initiatives!$D$8)+R46*(1-Initiatives!$E$8)+R60*(1-Initiatives!$F$8)+R74*(1-Initiatives!$G$8)+R88*(1-Initiatives!$H$8)+R102*(1-Initiatives!$I$8)+R116*(1-Initiatives!$J$8)+R130*(1-Initiatives!$K$8)+R144*(1-Initiatives!$L$8)+R158*(1-Initiatives!$M$8)+R172*(1-Initiatives!$N$8)+R186*(1-Initiatives!$O$8)</f>
        <v>-29914.1582928351</v>
      </c>
      <c r="S192" s="8" t="n">
        <f aca="false">S18*(1-Initiatives!$C$8)+S32*(1-Initiatives!$D$8)+S46*(1-Initiatives!$E$8)+S60*(1-Initiatives!$F$8)+S74*(1-Initiatives!$G$8)+S88*(1-Initiatives!$H$8)+S102*(1-Initiatives!$I$8)+S116*(1-Initiatives!$J$8)+S130*(1-Initiatives!$K$8)+S144*(1-Initiatives!$L$8)+S158*(1-Initiatives!$M$8)+S172*(1-Initiatives!$N$8)+S186*(1-Initiatives!$O$8)</f>
        <v>-26853.4110650712</v>
      </c>
      <c r="T192" s="8" t="n">
        <f aca="false">T18*(1-Initiatives!$C$8)+T32*(1-Initiatives!$D$8)+T46*(1-Initiatives!$E$8)+T60*(1-Initiatives!$F$8)+T74*(1-Initiatives!$G$8)+T88*(1-Initiatives!$H$8)+T102*(1-Initiatives!$I$8)+T116*(1-Initiatives!$J$8)+T130*(1-Initiatives!$K$8)+T144*(1-Initiatives!$L$8)+T158*(1-Initiatives!$M$8)+T172*(1-Initiatives!$N$8)+T186*(1-Initiatives!$O$8)</f>
        <v>-23876.4265463954</v>
      </c>
      <c r="U192" s="8" t="n">
        <f aca="false">U18*(1-Initiatives!$C$8)+U32*(1-Initiatives!$D$8)+U46*(1-Initiatives!$E$8)+U60*(1-Initiatives!$F$8)+U74*(1-Initiatives!$G$8)+U88*(1-Initiatives!$H$8)+U102*(1-Initiatives!$I$8)+U116*(1-Initiatives!$J$8)+U130*(1-Initiatives!$K$8)+U144*(1-Initiatives!$L$8)+U158*(1-Initiatives!$M$8)+U172*(1-Initiatives!$N$8)+U186*(1-Initiatives!$O$8)</f>
        <v>-20981.3964436521</v>
      </c>
      <c r="V192" s="8" t="n">
        <f aca="false">V18*(1-Initiatives!$C$8)+V32*(1-Initiatives!$D$8)+V46*(1-Initiatives!$E$8)+V60*(1-Initiatives!$F$8)+V74*(1-Initiatives!$G$8)+V88*(1-Initiatives!$H$8)+V102*(1-Initiatives!$I$8)+V116*(1-Initiatives!$J$8)+V130*(1-Initiatives!$K$8)+V144*(1-Initiatives!$L$8)+V158*(1-Initiatives!$M$8)+V172*(1-Initiatives!$N$8)+V186*(1-Initiatives!$O$8)</f>
        <v>-18166.5476729804</v>
      </c>
      <c r="W192" s="8" t="n">
        <f aca="false">W18*(1-Initiatives!$C$8)+W32*(1-Initiatives!$D$8)+W46*(1-Initiatives!$E$8)+W60*(1-Initiatives!$F$8)+W74*(1-Initiatives!$G$8)+W88*(1-Initiatives!$H$8)+W102*(1-Initiatives!$I$8)+W116*(1-Initiatives!$J$8)+W130*(1-Initiatives!$K$8)+W144*(1-Initiatives!$L$8)+W158*(1-Initiatives!$M$8)+W172*(1-Initiatives!$N$8)+W186*(1-Initiatives!$O$8)</f>
        <v>-15430.1417127654</v>
      </c>
      <c r="X192" s="8" t="n">
        <f aca="false">X18*(1-Initiatives!$C$8)+X32*(1-Initiatives!$D$8)+X46*(1-Initiatives!$E$8)+X60*(1-Initiatives!$F$8)+X74*(1-Initiatives!$G$8)+X88*(1-Initiatives!$H$8)+X102*(1-Initiatives!$I$8)+X116*(1-Initiatives!$J$8)+X130*(1-Initiatives!$K$8)+X144*(1-Initiatives!$L$8)+X158*(1-Initiatives!$M$8)+X172*(1-Initiatives!$N$8)+X186*(1-Initiatives!$O$8)</f>
        <v>-12770.4739680488</v>
      </c>
      <c r="Y192" s="8" t="n">
        <f aca="false">Y18*(1-Initiatives!$C$8)+Y32*(1-Initiatives!$D$8)+Y46*(1-Initiatives!$E$8)+Y60*(1-Initiatives!$F$8)+Y74*(1-Initiatives!$G$8)+Y88*(1-Initiatives!$H$8)+Y102*(1-Initiatives!$I$8)+Y116*(1-Initiatives!$J$8)+Y130*(1-Initiatives!$K$8)+Y144*(1-Initiatives!$L$8)+Y158*(1-Initiatives!$M$8)+Y172*(1-Initiatives!$N$8)+Y186*(1-Initiatives!$O$8)</f>
        <v>-10185.8731462019</v>
      </c>
      <c r="Z192" s="8" t="n">
        <f aca="false">Z18*(1-Initiatives!$C$8)+Z32*(1-Initiatives!$D$8)+Z46*(1-Initiatives!$E$8)+Z60*(1-Initiatives!$F$8)+Z74*(1-Initiatives!$G$8)+Z88*(1-Initiatives!$H$8)+Z102*(1-Initiatives!$I$8)+Z116*(1-Initiatives!$J$8)+Z130*(1-Initiatives!$K$8)+Z144*(1-Initiatives!$L$8)+Z158*(1-Initiatives!$M$8)+Z172*(1-Initiatives!$N$8)+Z186*(1-Initiatives!$O$8)</f>
        <v>-7674.70064366713</v>
      </c>
    </row>
    <row r="193" customFormat="false" ht="15" hidden="false" customHeight="false" outlineLevel="0" collapsed="false">
      <c r="A193" s="3" t="s">
        <v>253</v>
      </c>
      <c r="B193" s="4"/>
      <c r="C193" s="8" t="n">
        <f aca="false">C17*(1-Initiatives!$C$8)+C31*(1-Initiatives!$D$8)+C45*(1-Initiatives!$E$8)+C59*(1-Initiatives!$F$8)+C73*(1-Initiatives!$G$8)+C87*(1-Initiatives!$H$8)+C101*(1-Initiatives!$I$8)+C115*(1-Initiatives!$J$8)+C129*(1-Initiatives!$K$8)+C143*(1-Initiatives!$L$8)+C157*(1-Initiatives!$M$8)+C171*(1-Initiatives!$N$8)+C185*(1-Initiatives!$O$8)</f>
        <v>-4997835497.8355</v>
      </c>
      <c r="D193" s="8" t="n">
        <f aca="false">D17*(1-Initiatives!$C$8)+D31*(1-Initiatives!$D$8)+D45*(1-Initiatives!$E$8)+D59*(1-Initiatives!$F$8)+D73*(1-Initiatives!$G$8)+D87*(1-Initiatives!$H$8)+D101*(1-Initiatives!$I$8)+D115*(1-Initiatives!$J$8)+D129*(1-Initiatives!$K$8)+D143*(1-Initiatives!$L$8)+D157*(1-Initiatives!$M$8)+D171*(1-Initiatives!$N$8)+D185*(1-Initiatives!$O$8)</f>
        <v>-1425814216.69264</v>
      </c>
      <c r="E193" s="8" t="n">
        <f aca="false">E17*(1-Initiatives!$C$8)+E31*(1-Initiatives!$D$8)+E45*(1-Initiatives!$E$8)+E59*(1-Initiatives!$F$8)+E73*(1-Initiatives!$G$8)+E87*(1-Initiatives!$H$8)+E101*(1-Initiatives!$I$8)+E115*(1-Initiatives!$J$8)+E129*(1-Initiatives!$K$8)+E143*(1-Initiatives!$L$8)+E157*(1-Initiatives!$M$8)+E171*(1-Initiatives!$N$8)+E185*(1-Initiatives!$O$8)</f>
        <v>-828407222.545222</v>
      </c>
      <c r="F193" s="8" t="n">
        <f aca="false">F17*(1-Initiatives!$C$8)+F31*(1-Initiatives!$D$8)+F45*(1-Initiatives!$E$8)+F59*(1-Initiatives!$F$8)+F73*(1-Initiatives!$G$8)+F87*(1-Initiatives!$H$8)+F101*(1-Initiatives!$I$8)+F115*(1-Initiatives!$J$8)+F129*(1-Initiatives!$K$8)+F143*(1-Initiatives!$L$8)+F157*(1-Initiatives!$M$8)+F171*(1-Initiatives!$N$8)+F185*(1-Initiatives!$O$8)</f>
        <v>-397526388.884916</v>
      </c>
      <c r="G193" s="8" t="n">
        <f aca="false">G17*(1-Initiatives!$C$8)+G31*(1-Initiatives!$D$8)+G45*(1-Initiatives!$E$8)+G59*(1-Initiatives!$F$8)+G73*(1-Initiatives!$G$8)+G87*(1-Initiatives!$H$8)+G101*(1-Initiatives!$I$8)+G115*(1-Initiatives!$J$8)+G129*(1-Initiatives!$K$8)+G143*(1-Initiatives!$L$8)+G157*(1-Initiatives!$M$8)+G171*(1-Initiatives!$N$8)+G185*(1-Initiatives!$O$8)</f>
        <v>-181313760.922441</v>
      </c>
      <c r="H193" s="8" t="n">
        <f aca="false">H17*(1-Initiatives!$C$8)+H31*(1-Initiatives!$D$8)+H45*(1-Initiatives!$E$8)+H59*(1-Initiatives!$F$8)+H73*(1-Initiatives!$G$8)+H87*(1-Initiatives!$H$8)+H101*(1-Initiatives!$I$8)+H115*(1-Initiatives!$J$8)+H129*(1-Initiatives!$K$8)+H143*(1-Initiatives!$L$8)+H157*(1-Initiatives!$M$8)+H171*(1-Initiatives!$N$8)+H185*(1-Initiatives!$O$8)</f>
        <v>323586440.517738</v>
      </c>
      <c r="I193" s="8" t="n">
        <f aca="false">I17*(1-Initiatives!$C$8)+I31*(1-Initiatives!$D$8)+I45*(1-Initiatives!$E$8)+I59*(1-Initiatives!$F$8)+I73*(1-Initiatives!$G$8)+I87*(1-Initiatives!$H$8)+I101*(1-Initiatives!$I$8)+I115*(1-Initiatives!$J$8)+I129*(1-Initiatives!$K$8)+I143*(1-Initiatives!$L$8)+I157*(1-Initiatives!$M$8)+I171*(1-Initiatives!$N$8)+I185*(1-Initiatives!$O$8)</f>
        <v>672712756.724584</v>
      </c>
      <c r="J193" s="8" t="n">
        <f aca="false">J17*(1-Initiatives!$C$8)+J31*(1-Initiatives!$D$8)+J45*(1-Initiatives!$E$8)+J59*(1-Initiatives!$F$8)+J73*(1-Initiatives!$G$8)+J87*(1-Initiatives!$H$8)+J101*(1-Initiatives!$I$8)+J115*(1-Initiatives!$J$8)+J129*(1-Initiatives!$K$8)+J143*(1-Initiatives!$L$8)+J157*(1-Initiatives!$M$8)+J171*(1-Initiatives!$N$8)+J185*(1-Initiatives!$O$8)</f>
        <v>2243467270.64348</v>
      </c>
      <c r="K193" s="8" t="n">
        <f aca="false">K17*(1-Initiatives!$C$8)+K31*(1-Initiatives!$D$8)+K45*(1-Initiatives!$E$8)+K59*(1-Initiatives!$F$8)+K73*(1-Initiatives!$G$8)+K87*(1-Initiatives!$H$8)+K101*(1-Initiatives!$I$8)+K115*(1-Initiatives!$J$8)+K129*(1-Initiatives!$K$8)+K143*(1-Initiatives!$L$8)+K157*(1-Initiatives!$M$8)+K171*(1-Initiatives!$N$8)+K185*(1-Initiatives!$O$8)</f>
        <v>3125389376.28866</v>
      </c>
      <c r="L193" s="8" t="n">
        <f aca="false">L17*(1-Initiatives!$C$8)+L31*(1-Initiatives!$D$8)+L45*(1-Initiatives!$E$8)+L59*(1-Initiatives!$F$8)+L73*(1-Initiatives!$G$8)+L87*(1-Initiatives!$H$8)+L101*(1-Initiatives!$I$8)+L115*(1-Initiatives!$J$8)+L129*(1-Initiatives!$K$8)+L143*(1-Initiatives!$L$8)+L157*(1-Initiatives!$M$8)+L171*(1-Initiatives!$N$8)+L185*(1-Initiatives!$O$8)</f>
        <v>3650026630.07038</v>
      </c>
      <c r="M193" s="8" t="n">
        <f aca="false">M17*(1-Initiatives!$C$8)+M31*(1-Initiatives!$D$8)+M45*(1-Initiatives!$E$8)+M59*(1-Initiatives!$F$8)+M73*(1-Initiatives!$G$8)+M87*(1-Initiatives!$H$8)+M101*(1-Initiatives!$I$8)+M115*(1-Initiatives!$J$8)+M129*(1-Initiatives!$K$8)+M143*(1-Initiatives!$L$8)+M157*(1-Initiatives!$M$8)+M171*(1-Initiatives!$N$8)+M185*(1-Initiatives!$O$8)</f>
        <v>4088044869.5943</v>
      </c>
      <c r="N193" s="8" t="n">
        <f aca="false">N17*(1-Initiatives!$C$8)+N31*(1-Initiatives!$D$8)+N45*(1-Initiatives!$E$8)+N59*(1-Initiatives!$F$8)+N73*(1-Initiatives!$G$8)+N87*(1-Initiatives!$H$8)+N101*(1-Initiatives!$I$8)+N115*(1-Initiatives!$J$8)+N129*(1-Initiatives!$K$8)+N143*(1-Initiatives!$L$8)+N157*(1-Initiatives!$M$8)+N171*(1-Initiatives!$N$8)+N185*(1-Initiatives!$O$8)</f>
        <v>8161988278.86868</v>
      </c>
      <c r="O193" s="8" t="n">
        <f aca="false">O17*(1-Initiatives!$C$8)+O31*(1-Initiatives!$D$8)+O45*(1-Initiatives!$E$8)+O59*(1-Initiatives!$F$8)+O73*(1-Initiatives!$G$8)+O87*(1-Initiatives!$H$8)+O101*(1-Initiatives!$I$8)+O115*(1-Initiatives!$J$8)+O129*(1-Initiatives!$K$8)+O143*(1-Initiatives!$L$8)+O157*(1-Initiatives!$M$8)+O171*(1-Initiatives!$N$8)+O185*(1-Initiatives!$O$8)</f>
        <v>8088720842.95584</v>
      </c>
      <c r="P193" s="8" t="n">
        <f aca="false">P17*(1-Initiatives!$C$8)+P31*(1-Initiatives!$D$8)+P45*(1-Initiatives!$E$8)+P59*(1-Initiatives!$F$8)+P73*(1-Initiatives!$G$8)+P87*(1-Initiatives!$H$8)+P101*(1-Initiatives!$I$8)+P115*(1-Initiatives!$J$8)+P129*(1-Initiatives!$K$8)+P143*(1-Initiatives!$L$8)+P157*(1-Initiatives!$M$8)+P171*(1-Initiatives!$N$8)+P185*(1-Initiatives!$O$8)</f>
        <v>8004378485.04526</v>
      </c>
      <c r="Q193" s="8" t="n">
        <f aca="false">Q17*(1-Initiatives!$C$8)+Q31*(1-Initiatives!$D$8)+Q45*(1-Initiatives!$E$8)+Q59*(1-Initiatives!$F$8)+Q73*(1-Initiatives!$G$8)+Q87*(1-Initiatives!$H$8)+Q101*(1-Initiatives!$I$8)+Q115*(1-Initiatives!$J$8)+Q129*(1-Initiatives!$K$8)+Q143*(1-Initiatives!$L$8)+Q157*(1-Initiatives!$M$8)+Q171*(1-Initiatives!$N$8)+Q185*(1-Initiatives!$O$8)</f>
        <v>7920979973.71165</v>
      </c>
      <c r="R193" s="8" t="n">
        <f aca="false">R17*(1-Initiatives!$C$8)+R31*(1-Initiatives!$D$8)+R45*(1-Initiatives!$E$8)+R59*(1-Initiatives!$F$8)+R73*(1-Initiatives!$G$8)+R87*(1-Initiatives!$H$8)+R101*(1-Initiatives!$I$8)+R115*(1-Initiatives!$J$8)+R129*(1-Initiatives!$K$8)+R143*(1-Initiatives!$L$8)+R157*(1-Initiatives!$M$8)+R171*(1-Initiatives!$N$8)+R185*(1-Initiatives!$O$8)</f>
        <v>7838492649.92963</v>
      </c>
      <c r="S193" s="8" t="n">
        <f aca="false">S17*(1-Initiatives!$C$8)+S31*(1-Initiatives!$D$8)+S45*(1-Initiatives!$E$8)+S59*(1-Initiatives!$F$8)+S73*(1-Initiatives!$G$8)+S87*(1-Initiatives!$H$8)+S101*(1-Initiatives!$I$8)+S115*(1-Initiatives!$J$8)+S129*(1-Initiatives!$K$8)+S143*(1-Initiatives!$L$8)+S157*(1-Initiatives!$M$8)+S171*(1-Initiatives!$N$8)+S185*(1-Initiatives!$O$8)</f>
        <v>7756886535.74136</v>
      </c>
      <c r="T193" s="8" t="n">
        <f aca="false">T17*(1-Initiatives!$C$8)+T31*(1-Initiatives!$D$8)+T45*(1-Initiatives!$E$8)+T59*(1-Initiatives!$F$8)+T73*(1-Initiatives!$G$8)+T87*(1-Initiatives!$H$8)+T101*(1-Initiatives!$I$8)+T115*(1-Initiatives!$J$8)+T129*(1-Initiatives!$K$8)+T143*(1-Initiatives!$L$8)+T157*(1-Initiatives!$M$8)+T171*(1-Initiatives!$N$8)+T185*(1-Initiatives!$O$8)</f>
        <v>7676134102.19912</v>
      </c>
      <c r="U193" s="8" t="n">
        <f aca="false">U17*(1-Initiatives!$C$8)+U31*(1-Initiatives!$D$8)+U45*(1-Initiatives!$E$8)+U59*(1-Initiatives!$F$8)+U73*(1-Initiatives!$G$8)+U87*(1-Initiatives!$H$8)+U101*(1-Initiatives!$I$8)+U115*(1-Initiatives!$J$8)+U129*(1-Initiatives!$K$8)+U143*(1-Initiatives!$L$8)+U157*(1-Initiatives!$M$8)+U171*(1-Initiatives!$N$8)+U185*(1-Initiatives!$O$8)</f>
        <v>7596210056.89584</v>
      </c>
      <c r="V193" s="8" t="n">
        <f aca="false">V17*(1-Initiatives!$C$8)+V31*(1-Initiatives!$D$8)+V45*(1-Initiatives!$E$8)+V59*(1-Initiatives!$F$8)+V73*(1-Initiatives!$G$8)+V87*(1-Initiatives!$H$8)+V101*(1-Initiatives!$I$8)+V115*(1-Initiatives!$J$8)+V129*(1-Initiatives!$K$8)+V143*(1-Initiatives!$L$8)+V157*(1-Initiatives!$M$8)+V171*(1-Initiatives!$N$8)+V185*(1-Initiatives!$O$8)</f>
        <v>7517091149.44668</v>
      </c>
      <c r="W193" s="8" t="n">
        <f aca="false">W17*(1-Initiatives!$C$8)+W31*(1-Initiatives!$D$8)+W45*(1-Initiatives!$E$8)+W59*(1-Initiatives!$F$8)+W73*(1-Initiatives!$G$8)+W87*(1-Initiatives!$H$8)+W101*(1-Initiatives!$I$8)+W115*(1-Initiatives!$J$8)+W129*(1-Initiatives!$K$8)+W143*(1-Initiatives!$L$8)+W157*(1-Initiatives!$M$8)+W171*(1-Initiatives!$N$8)+W185*(1-Initiatives!$O$8)</f>
        <v>7438755993.42174</v>
      </c>
      <c r="X193" s="8" t="n">
        <f aca="false">X17*(1-Initiatives!$C$8)+X31*(1-Initiatives!$D$8)+X45*(1-Initiatives!$E$8)+X59*(1-Initiatives!$F$8)+X73*(1-Initiatives!$G$8)+X87*(1-Initiatives!$H$8)+X101*(1-Initiatives!$I$8)+X115*(1-Initiatives!$J$8)+X129*(1-Initiatives!$K$8)+X143*(1-Initiatives!$L$8)+X157*(1-Initiatives!$M$8)+X171*(1-Initiatives!$N$8)+X185*(1-Initiatives!$O$8)</f>
        <v>7361184903.3544</v>
      </c>
      <c r="Y193" s="8" t="n">
        <f aca="false">Y17*(1-Initiatives!$C$8)+Y31*(1-Initiatives!$D$8)+Y45*(1-Initiatives!$E$8)+Y59*(1-Initiatives!$F$8)+Y73*(1-Initiatives!$G$8)+Y87*(1-Initiatives!$H$8)+Y101*(1-Initiatives!$I$8)+Y115*(1-Initiatives!$J$8)+Y129*(1-Initiatives!$K$8)+Y143*(1-Initiatives!$L$8)+Y157*(1-Initiatives!$M$8)+Y171*(1-Initiatives!$N$8)+Y185*(1-Initiatives!$O$8)</f>
        <v>7284359745.56471</v>
      </c>
      <c r="Z193" s="8" t="n">
        <f aca="false">Z17*(1-Initiatives!$C$8)+Z31*(1-Initiatives!$D$8)+Z45*(1-Initiatives!$E$8)+Z59*(1-Initiatives!$F$8)+Z73*(1-Initiatives!$G$8)+Z87*(1-Initiatives!$H$8)+Z101*(1-Initiatives!$I$8)+Z115*(1-Initiatives!$J$8)+Z129*(1-Initiatives!$K$8)+Z143*(1-Initiatives!$L$8)+Z157*(1-Initiatives!$M$8)+Z171*(1-Initiatives!$N$8)+Z185*(1-Initiatives!$O$8)</f>
        <v>7208263801.64238</v>
      </c>
    </row>
    <row r="194" customFormat="false" ht="15" hidden="false" customHeight="false" outlineLevel="0" collapsed="false">
      <c r="A194" s="3" t="s">
        <v>254</v>
      </c>
      <c r="B194" s="4"/>
      <c r="C194" s="8" t="n">
        <f aca="false">C14+C28+C42+C56+C70+C84+C98+C112+C126+C140+C154+C168+C182</f>
        <v>0</v>
      </c>
      <c r="D194" s="8" t="n">
        <f aca="false">D14+D28+D42+D56+D70+D84+D98+D112+D126+D140+D154+D168+D182</f>
        <v>3129569897.14286</v>
      </c>
      <c r="E194" s="8" t="n">
        <f aca="false">E14+E28+E42+E56+E70+E84+E98+E112+E126+E140+E154+E168+E182</f>
        <v>3414492594.76167</v>
      </c>
      <c r="F194" s="8" t="n">
        <f aca="false">F14+F28+F42+F56+F70+F84+F98+F112+F126+F140+F154+F168+F182</f>
        <v>3780561440.85284</v>
      </c>
      <c r="G194" s="8" t="n">
        <f aca="false">G14+G28+G42+G56+G70+G84+G98+G112+G126+G140+G154+G168+G182</f>
        <v>4048474712.29852</v>
      </c>
      <c r="H194" s="8" t="n">
        <f aca="false">H14+H28+H42+H56+H70+H84+H98+H112+H126+H140+H154+H168+H182</f>
        <v>4133341488.32033</v>
      </c>
      <c r="I194" s="8" t="n">
        <f aca="false">I14+I28+I42+I56+I70+I84+I98+I112+I126+I140+I154+I168+I182</f>
        <v>4170600474.76252</v>
      </c>
      <c r="J194" s="8" t="n">
        <f aca="false">J14+J28+J42+J56+J70+J84+J98+J112+J126+J140+J154+J168+J182</f>
        <v>4652264753.93452</v>
      </c>
      <c r="K194" s="8" t="n">
        <f aca="false">K14+K28+K42+K56+K70+K84+K98+K112+K126+K140+K154+K168+K182</f>
        <v>5157982161.11338</v>
      </c>
      <c r="L194" s="8" t="n">
        <f aca="false">L14+L28+L42+L56+L70+L84+L98+L112+L126+L140+L154+L168+L182</f>
        <v>5661543864.11443</v>
      </c>
      <c r="M194" s="8" t="n">
        <f aca="false">M14+M28+M42+M56+M70+M84+M98+M112+M126+M140+M154+M168+M182</f>
        <v>6162706605.69958</v>
      </c>
      <c r="N194" s="8" t="n">
        <f aca="false">N14+N28+N42+N56+N70+N84+N98+N112+N126+N140+N154+N168+N182</f>
        <v>10195808742.3138</v>
      </c>
      <c r="O194" s="8" t="n">
        <f aca="false">O14+O28+O42+O56+O70+O84+O98+O112+O126+O140+O154+O168+O182</f>
        <v>9830944741.69652</v>
      </c>
      <c r="P194" s="8" t="n">
        <f aca="false">P14+P28+P42+P56+P70+P84+P98+P112+P126+P140+P154+P168+P182</f>
        <v>11710043963.6025</v>
      </c>
      <c r="Q194" s="8" t="n">
        <f aca="false">Q14+Q28+Q42+Q56+Q70+Q84+Q98+Q112+Q126+Q140+Q154+Q168+Q182</f>
        <v>11398416978.9282</v>
      </c>
      <c r="R194" s="8" t="n">
        <f aca="false">R14+R28+R42+R56+R70+R84+R98+R112+R126+R140+R154+R168+R182</f>
        <v>11278302091.7877</v>
      </c>
      <c r="S194" s="8" t="n">
        <f aca="false">S14+S28+S42+S56+S70+S84+S98+S112+S126+S140+S154+S168+S182</f>
        <v>11159543748.6207</v>
      </c>
      <c r="T194" s="8" t="n">
        <f aca="false">T14+T28+T42+T56+T70+T84+T98+T112+T126+T140+T154+T168+T182</f>
        <v>11042105077.5515</v>
      </c>
      <c r="U194" s="8" t="n">
        <f aca="false">U14+U28+U42+U56+U70+U84+U98+U112+U126+U140+U154+U168+U182</f>
        <v>10925951901.4624</v>
      </c>
      <c r="V194" s="8" t="n">
        <f aca="false">V14+V28+V42+V56+V70+V84+V98+V112+V126+V140+V154+V168+V182</f>
        <v>10811052508.2408</v>
      </c>
      <c r="W194" s="8" t="n">
        <f aca="false">W14+W28+W42+W56+W70+W84+W98+W112+W126+W140+W154+W168+W182</f>
        <v>10697377440.393</v>
      </c>
      <c r="X194" s="8" t="n">
        <f aca="false">X14+X28+X42+X56+X70+X84+X98+X112+X126+X140+X154+X168+X182</f>
        <v>10584899302.4078</v>
      </c>
      <c r="Y194" s="8" t="n">
        <f aca="false">Y14+Y28+Y42+Y56+Y70+Y84+Y98+Y112+Y126+Y140+Y154+Y168+Y182</f>
        <v>10473592584.3844</v>
      </c>
      <c r="Z194" s="8" t="n">
        <f aca="false">Z14+Z28+Z42+Z56+Z70+Z84+Z98+Z112+Z126+Z140+Z154+Z168+Z182</f>
        <v>10363433500.5681</v>
      </c>
    </row>
    <row r="195" customFormat="false" ht="15" hidden="false" customHeight="false" outlineLevel="0" collapsed="false">
      <c r="A195" s="3" t="s">
        <v>255</v>
      </c>
      <c r="B195" s="4"/>
      <c r="C195" s="8" t="n">
        <f aca="false">C18+C32+C46+C60+C74+C88+C102+C116+C130+C144+C158+C172+C186</f>
        <v>0</v>
      </c>
      <c r="D195" s="8" t="n">
        <f aca="false">D18+D32+D46+D60+D74+D88+D102+D116+D130+D144+D158+D172+D186</f>
        <v>-10597.5466666667</v>
      </c>
      <c r="E195" s="8" t="n">
        <f aca="false">E18+E32+E46+E60+E74+E88+E102+E116+E130+E144+E158+E172+E186</f>
        <v>-20957.9254133333</v>
      </c>
      <c r="F195" s="8" t="n">
        <f aca="false">F18+F32+F46+F60+F74+F88+F102+F116+F130+F144+F158+F172+F186</f>
        <v>-21364.48141542</v>
      </c>
      <c r="G195" s="8" t="n">
        <f aca="false">G18+G32+G46+G60+G74+G88+G102+G116+G130+G144+G158+G172+G186</f>
        <v>-20742.2805700105</v>
      </c>
      <c r="H195" s="8" t="n">
        <f aca="false">H18+H32+H46+H60+H74+H88+H102+H116+H130+H144+H158+H172+H186</f>
        <v>-20042.5530540993</v>
      </c>
      <c r="I195" s="8" t="n">
        <f aca="false">I18+I32+I46+I60+I74+I88+I102+I116+I130+I144+I158+I172+I186</f>
        <v>-19297.1486654805</v>
      </c>
      <c r="J195" s="8" t="n">
        <f aca="false">J18+J32+J46+J60+J74+J88+J102+J116+J130+J144+J158+J172+J186</f>
        <v>-17937.9123744474</v>
      </c>
      <c r="K195" s="8" t="n">
        <f aca="false">K18+K32+K46+K60+K74+K88+K102+K116+K130+K144+K158+K172+K186</f>
        <v>-15992.1366008654</v>
      </c>
      <c r="L195" s="8" t="n">
        <f aca="false">L18+L32+L46+L60+L74+L88+L102+L116+L130+L144+L158+L172+L186</f>
        <v>-13506.2607593227</v>
      </c>
      <c r="M195" s="8" t="n">
        <f aca="false">M18+M32+M46+M60+M74+M88+M102+M116+M130+M144+M158+M172+M186</f>
        <v>-10505.3373797927</v>
      </c>
      <c r="N195" s="8" t="n">
        <f aca="false">N18+N32+N46+N60+N74+N88+N102+N116+N130+N144+N158+N172+N186</f>
        <v>-25164.1894003527</v>
      </c>
      <c r="O195" s="8" t="n">
        <f aca="false">O18+O32+O46+O60+O74+O88+O102+O116+O130+O144+O158+O172+O186</f>
        <v>-39617.6012178299</v>
      </c>
      <c r="P195" s="8" t="n">
        <f aca="false">P18+P32+P46+P60+P74+P88+P102+P116+P130+P144+P158+P172+P186</f>
        <v>-42982.3540588546</v>
      </c>
      <c r="Q195" s="8" t="n">
        <f aca="false">Q18+Q32+Q46+Q60+Q74+Q88+Q102+Q116+Q130+Q144+Q158+Q172+Q186</f>
        <v>-46336.1923908484</v>
      </c>
      <c r="R195" s="8" t="n">
        <f aca="false">R18+R32+R46+R60+R74+R88+R102+R116+R130+R144+R158+R172+R186</f>
        <v>-42990.7030928351</v>
      </c>
      <c r="S195" s="8" t="n">
        <f aca="false">S18+S32+S46+S60+S74+S88+S102+S116+S130+S144+S158+S172+S186</f>
        <v>-39733.8076930712</v>
      </c>
      <c r="T195" s="8" t="n">
        <f aca="false">T18+T32+T46+T60+T74+T88+T102+T116+T130+T144+T158+T172+T186</f>
        <v>-36563.6172249754</v>
      </c>
      <c r="U195" s="8" t="n">
        <f aca="false">U18+U32+U46+U60+U74+U88+U102+U116+U130+U144+U158+U172+U186</f>
        <v>-33478.2792620534</v>
      </c>
      <c r="V195" s="8" t="n">
        <f aca="false">V18+V32+V46+V60+V74+V88+V102+V116+V130+V144+V158+V172+V186</f>
        <v>-30475.9772491057</v>
      </c>
      <c r="W195" s="8" t="n">
        <f aca="false">W18+W32+W46+W60+W74+W88+W102+W116+W130+W144+W158+W172+W186</f>
        <v>-27554.9298452488</v>
      </c>
      <c r="X195" s="8" t="n">
        <f aca="false">X18+X32+X46+X60+X74+X88+X102+X116+X130+X144+X158+X172+X186</f>
        <v>-24713.3902785449</v>
      </c>
      <c r="Y195" s="8" t="n">
        <f aca="false">Y18+Y32+Y46+Y60+Y74+Y88+Y102+Y116+Y130+Y144+Y158+Y172+Y186</f>
        <v>-21949.6457120406</v>
      </c>
      <c r="Z195" s="8" t="n">
        <f aca="false">Z18+Z32+Z46+Z60+Z74+Z88+Z102+Z116+Z130+Z144+Z158+Z172+Z186</f>
        <v>-19262.0166210183</v>
      </c>
    </row>
    <row r="196" customFormat="false" ht="15" hidden="false" customHeight="false" outlineLevel="0" collapsed="false">
      <c r="A196" s="3" t="s">
        <v>256</v>
      </c>
      <c r="B196" s="4"/>
      <c r="C196" s="8" t="n">
        <f aca="false">(C$5+C190*(1-Portfolio!$C$3))/(C$4+C192*(1-Portfolio!$C$3))</f>
        <v>18500</v>
      </c>
      <c r="D196" s="8" t="n">
        <f aca="false">(D$5+D190*(1-Portfolio!$C$3))/(D$4+D192*(1-Portfolio!$C$3))</f>
        <v>19280.9577315668</v>
      </c>
      <c r="E196" s="8" t="n">
        <f aca="false">(E$5+E190*(1-Portfolio!$C$3))/(E$4+E192*(1-Portfolio!$C$3))</f>
        <v>19408.7516101983</v>
      </c>
      <c r="F196" s="8" t="n">
        <f aca="false">(F$5+F190*(1-Portfolio!$C$3))/(F$4+F192*(1-Portfolio!$C$3))</f>
        <v>19513.4177372746</v>
      </c>
      <c r="G196" s="8" t="n">
        <f aca="false">(G$5+G190*(1-Portfolio!$C$3))/(G$4+G192*(1-Portfolio!$C$3))</f>
        <v>19591.9427502467</v>
      </c>
      <c r="H196" s="8" t="n">
        <f aca="false">(H$5+H190*(1-Portfolio!$C$3))/(H$4+H192*(1-Portfolio!$C$3))</f>
        <v>19626.4507216766</v>
      </c>
      <c r="I196" s="8" t="n">
        <f aca="false">(I$5+I190*(1-Portfolio!$C$3))/(I$4+I192*(1-Portfolio!$C$3))</f>
        <v>19649.4338061145</v>
      </c>
      <c r="J196" s="8" t="n">
        <f aca="false">(J$5+J190*(1-Portfolio!$C$3))/(J$4+J192*(1-Portfolio!$C$3))</f>
        <v>19784.2463109601</v>
      </c>
      <c r="K196" s="8" t="n">
        <f aca="false">(K$5+K190*(1-Portfolio!$C$3))/(K$4+K192*(1-Portfolio!$C$3))</f>
        <v>19926.0528703808</v>
      </c>
      <c r="L196" s="8" t="n">
        <f aca="false">(L$5+L190*(1-Portfolio!$C$3))/(L$4+L192*(1-Portfolio!$C$3))</f>
        <v>20068.3011793924</v>
      </c>
      <c r="M196" s="8" t="n">
        <f aca="false">(M$5+M190*(1-Portfolio!$C$3))/(M$4+M192*(1-Portfolio!$C$3))</f>
        <v>20210.9249745345</v>
      </c>
      <c r="N196" s="8" t="n">
        <f aca="false">(N$5+N190*(1-Portfolio!$C$3))/(N$4+N192*(1-Portfolio!$C$3))</f>
        <v>21424.9103070361</v>
      </c>
      <c r="O196" s="8" t="n">
        <f aca="false">(O$5+O190*(1-Portfolio!$C$3))/(O$4+O192*(1-Portfolio!$C$3))</f>
        <v>21454.5070021941</v>
      </c>
      <c r="P196" s="8" t="n">
        <f aca="false">(P$5+P190*(1-Portfolio!$C$3))/(P$4+P192*(1-Portfolio!$C$3))</f>
        <v>21452.5616923652</v>
      </c>
      <c r="Q196" s="8" t="n">
        <f aca="false">(Q$5+Q190*(1-Portfolio!$C$3))/(Q$4+Q192*(1-Portfolio!$C$3))</f>
        <v>21450.7175292681</v>
      </c>
      <c r="R196" s="8" t="n">
        <f aca="false">(R$5+R190*(1-Portfolio!$C$3))/(R$4+R192*(1-Portfolio!$C$3))</f>
        <v>21448.9678422815</v>
      </c>
      <c r="S196" s="8" t="n">
        <f aca="false">(S$5+S190*(1-Portfolio!$C$3))/(S$4+S192*(1-Portfolio!$C$3))</f>
        <v>21447.3064283895</v>
      </c>
      <c r="T196" s="8" t="n">
        <f aca="false">(T$5+T190*(1-Portfolio!$C$3))/(T$4+T192*(1-Portfolio!$C$3))</f>
        <v>21445.7275194475</v>
      </c>
      <c r="U196" s="8" t="n">
        <f aca="false">(U$5+U190*(1-Portfolio!$C$3))/(U$4+U192*(1-Portfolio!$C$3))</f>
        <v>21444.22575174</v>
      </c>
      <c r="V196" s="8" t="n">
        <f aca="false">(V$5+V190*(1-Portfolio!$C$3))/(V$4+V192*(1-Portfolio!$C$3))</f>
        <v>21442.7961376696</v>
      </c>
      <c r="W196" s="8" t="n">
        <f aca="false">(W$5+W190*(1-Portfolio!$C$3))/(W$4+W192*(1-Portfolio!$C$3))</f>
        <v>21441.4340394282</v>
      </c>
      <c r="X196" s="8" t="n">
        <f aca="false">(X$5+X190*(1-Portfolio!$C$3))/(X$4+X192*(1-Portfolio!$C$3))</f>
        <v>21440.1351445118</v>
      </c>
      <c r="Y196" s="8" t="n">
        <f aca="false">(Y$5+Y190*(1-Portfolio!$C$3))/(Y$4+Y192*(1-Portfolio!$C$3))</f>
        <v>21438.8954429497</v>
      </c>
      <c r="Z196" s="8" t="n">
        <f aca="false">(Z$5+Z190*(1-Portfolio!$C$3))/(Z$4+Z192*(1-Portfolio!$C$3))</f>
        <v>21437.7112061271</v>
      </c>
    </row>
    <row r="197" customFormat="false" ht="15" hidden="false" customHeight="false" outlineLevel="0" collapsed="false">
      <c r="A197" s="3" t="s">
        <v>257</v>
      </c>
      <c r="B197" s="4"/>
      <c r="C197" s="24" t="n">
        <f aca="false">C196/Inputs!$C$8-1</f>
        <v>0</v>
      </c>
      <c r="D197" s="24" t="n">
        <f aca="false">D196/Inputs!$C$8-1</f>
        <v>0.0422139314360408</v>
      </c>
      <c r="E197" s="24" t="n">
        <f aca="false">E196/Inputs!$C$8-1</f>
        <v>0.0491217086593674</v>
      </c>
      <c r="F197" s="24" t="n">
        <f aca="false">F196/Inputs!$C$8-1</f>
        <v>0.0547793371499756</v>
      </c>
      <c r="G197" s="24" t="n">
        <f aca="false">G196/Inputs!$C$8-1</f>
        <v>0.0590239324457655</v>
      </c>
      <c r="H197" s="24" t="n">
        <f aca="false">H196/Inputs!$C$8-1</f>
        <v>0.060889228198737</v>
      </c>
      <c r="I197" s="24" t="n">
        <f aca="false">I196/Inputs!$C$8-1</f>
        <v>0.0621315570872716</v>
      </c>
      <c r="J197" s="24" t="n">
        <f aca="false">J196/Inputs!$C$8-1</f>
        <v>0.069418719511358</v>
      </c>
      <c r="K197" s="24" t="n">
        <f aca="false">K196/Inputs!$C$8-1</f>
        <v>0.0770839389395031</v>
      </c>
      <c r="L197" s="24" t="n">
        <f aca="false">L196/Inputs!$C$8-1</f>
        <v>0.0847730367239115</v>
      </c>
      <c r="M197" s="24" t="n">
        <f aca="false">M196/Inputs!$C$8-1</f>
        <v>0.0924824310559202</v>
      </c>
      <c r="N197" s="24" t="n">
        <f aca="false">N196/Inputs!$C$8-1</f>
        <v>0.15810325983979</v>
      </c>
      <c r="O197" s="24" t="n">
        <f aca="false">O196/Inputs!$C$8-1</f>
        <v>0.159703081199678</v>
      </c>
      <c r="P197" s="24" t="n">
        <f aca="false">P196/Inputs!$C$8-1</f>
        <v>0.159597929317036</v>
      </c>
      <c r="Q197" s="24" t="n">
        <f aca="false">Q196/Inputs!$C$8-1</f>
        <v>0.159498244825305</v>
      </c>
      <c r="R197" s="24" t="n">
        <f aca="false">R196/Inputs!$C$8-1</f>
        <v>0.159403667150353</v>
      </c>
      <c r="S197" s="24" t="n">
        <f aca="false">S196/Inputs!$C$8-1</f>
        <v>0.159313860994026</v>
      </c>
      <c r="T197" s="24" t="n">
        <f aca="false">T196/Inputs!$C$8-1</f>
        <v>0.159228514564728</v>
      </c>
      <c r="U197" s="24" t="n">
        <f aca="false">U196/Inputs!$C$8-1</f>
        <v>0.15914733793189</v>
      </c>
      <c r="V197" s="24" t="n">
        <f aca="false">V196/Inputs!$C$8-1</f>
        <v>0.159070061495652</v>
      </c>
      <c r="W197" s="24" t="n">
        <f aca="false">W196/Inputs!$C$8-1</f>
        <v>0.158996434563685</v>
      </c>
      <c r="X197" s="24" t="n">
        <f aca="false">X196/Inputs!$C$8-1</f>
        <v>0.158926224027667</v>
      </c>
      <c r="Y197" s="24" t="n">
        <f aca="false">Y196/Inputs!$C$8-1</f>
        <v>0.158859213132414</v>
      </c>
      <c r="Z197" s="24" t="n">
        <f aca="false">Z196/Inputs!$C$8-1</f>
        <v>0.158795200331197</v>
      </c>
    </row>
    <row r="198" customFormat="false" ht="15" hidden="false" customHeight="false" outlineLevel="0" collapsed="false">
      <c r="A198" s="3" t="s">
        <v>258</v>
      </c>
      <c r="B198" s="4"/>
      <c r="C198" s="8" t="n">
        <f aca="false">(C$5+C194*(1-Portfolio!$C$3))/(C$4+C195*(1-Portfolio!$C$3))</f>
        <v>18500</v>
      </c>
      <c r="D198" s="8" t="n">
        <f aca="false">(D$5+D194*(1-Portfolio!$C$3))/(D$4+D195*(1-Portfolio!$C$3))</f>
        <v>19280.9577315668</v>
      </c>
      <c r="E198" s="8" t="n">
        <f aca="false">(E$5+E194*(1-Portfolio!$C$3))/(E$4+E195*(1-Portfolio!$C$3))</f>
        <v>19408.7516101983</v>
      </c>
      <c r="F198" s="8" t="n">
        <f aca="false">(F$5+F194*(1-Portfolio!$C$3))/(F$4+F195*(1-Portfolio!$C$3))</f>
        <v>19513.4177372746</v>
      </c>
      <c r="G198" s="8" t="n">
        <f aca="false">(G$5+G194*(1-Portfolio!$C$3))/(G$4+G195*(1-Portfolio!$C$3))</f>
        <v>19591.9427502467</v>
      </c>
      <c r="H198" s="8" t="n">
        <f aca="false">(H$5+H194*(1-Portfolio!$C$3))/(H$4+H195*(1-Portfolio!$C$3))</f>
        <v>19626.4507216766</v>
      </c>
      <c r="I198" s="8" t="n">
        <f aca="false">(I$5+I194*(1-Portfolio!$C$3))/(I$4+I195*(1-Portfolio!$C$3))</f>
        <v>19649.4338061145</v>
      </c>
      <c r="J198" s="8" t="n">
        <f aca="false">(J$5+J194*(1-Portfolio!$C$3))/(J$4+J195*(1-Portfolio!$C$3))</f>
        <v>19784.2463109601</v>
      </c>
      <c r="K198" s="8" t="n">
        <f aca="false">(K$5+K194*(1-Portfolio!$C$3))/(K$4+K195*(1-Portfolio!$C$3))</f>
        <v>19926.0528703808</v>
      </c>
      <c r="L198" s="8" t="n">
        <f aca="false">(L$5+L194*(1-Portfolio!$C$3))/(L$4+L195*(1-Portfolio!$C$3))</f>
        <v>20068.3011793924</v>
      </c>
      <c r="M198" s="8" t="n">
        <f aca="false">(M$5+M194*(1-Portfolio!$C$3))/(M$4+M195*(1-Portfolio!$C$3))</f>
        <v>20210.9249745345</v>
      </c>
      <c r="N198" s="8" t="n">
        <f aca="false">(N$5+N194*(1-Portfolio!$C$3))/(N$4+N195*(1-Portfolio!$C$3))</f>
        <v>21424.9103070361</v>
      </c>
      <c r="O198" s="8" t="n">
        <f aca="false">(O$5+O194*(1-Portfolio!$C$3))/(O$4+O195*(1-Portfolio!$C$3))</f>
        <v>21454.5070021941</v>
      </c>
      <c r="P198" s="8" t="n">
        <f aca="false">(P$5+P194*(1-Portfolio!$C$3))/(P$4+P195*(1-Portfolio!$C$3))</f>
        <v>22054.7204640584</v>
      </c>
      <c r="Q198" s="8" t="n">
        <f aca="false">(Q$5+Q194*(1-Portfolio!$C$3))/(Q$4+Q195*(1-Portfolio!$C$3))</f>
        <v>22040.913237271</v>
      </c>
      <c r="R198" s="8" t="n">
        <f aca="false">(R$5+R194*(1-Portfolio!$C$3))/(R$4+R195*(1-Portfolio!$C$3))</f>
        <v>22038.6983639755</v>
      </c>
      <c r="S198" s="8" t="n">
        <f aca="false">(S$5+S194*(1-Portfolio!$C$3))/(S$4+S195*(1-Portfolio!$C$3))</f>
        <v>22036.5725883364</v>
      </c>
      <c r="T198" s="8" t="n">
        <f aca="false">(T$5+T194*(1-Portfolio!$C$3))/(T$4+T195*(1-Portfolio!$C$3))</f>
        <v>22034.5301180519</v>
      </c>
      <c r="U198" s="8" t="n">
        <f aca="false">(U$5+U194*(1-Portfolio!$C$3))/(U$4+U195*(1-Portfolio!$C$3))</f>
        <v>22032.5655668686</v>
      </c>
      <c r="V198" s="8" t="n">
        <f aca="false">(V$5+V194*(1-Portfolio!$C$3))/(V$4+V195*(1-Portfolio!$C$3))</f>
        <v>22030.6739261555</v>
      </c>
      <c r="W198" s="8" t="n">
        <f aca="false">(W$5+W194*(1-Portfolio!$C$3))/(W$4+W195*(1-Portfolio!$C$3))</f>
        <v>22028.8505384698</v>
      </c>
      <c r="X198" s="8" t="n">
        <f aca="false">(X$5+X194*(1-Portfolio!$C$3))/(X$4+X195*(1-Portfolio!$C$3))</f>
        <v>22027.0910729724</v>
      </c>
      <c r="Y198" s="8" t="n">
        <f aca="false">(Y$5+Y194*(1-Portfolio!$C$3))/(Y$4+Y195*(1-Portfolio!$C$3))</f>
        <v>22025.3915025653</v>
      </c>
      <c r="Z198" s="8" t="n">
        <f aca="false">(Z$5+Z194*(1-Portfolio!$C$3))/(Z$4+Z195*(1-Portfolio!$C$3))</f>
        <v>22023.7480826293</v>
      </c>
    </row>
    <row r="199" customFormat="false" ht="15" hidden="false" customHeight="false" outlineLevel="0" collapsed="false">
      <c r="A199" s="3" t="s">
        <v>259</v>
      </c>
      <c r="B199" s="4"/>
      <c r="C199" s="24" t="n">
        <f aca="false">C198/Inputs!$C$8-1</f>
        <v>0</v>
      </c>
      <c r="D199" s="24" t="n">
        <f aca="false">D198/Inputs!$C$8-1</f>
        <v>0.0422139314360408</v>
      </c>
      <c r="E199" s="24" t="n">
        <f aca="false">E198/Inputs!$C$8-1</f>
        <v>0.0491217086593674</v>
      </c>
      <c r="F199" s="24" t="n">
        <f aca="false">F198/Inputs!$C$8-1</f>
        <v>0.0547793371499756</v>
      </c>
      <c r="G199" s="24" t="n">
        <f aca="false">G198/Inputs!$C$8-1</f>
        <v>0.0590239324457655</v>
      </c>
      <c r="H199" s="24" t="n">
        <f aca="false">H198/Inputs!$C$8-1</f>
        <v>0.060889228198737</v>
      </c>
      <c r="I199" s="24" t="n">
        <f aca="false">I198/Inputs!$C$8-1</f>
        <v>0.0621315570872716</v>
      </c>
      <c r="J199" s="24" t="n">
        <f aca="false">J198/Inputs!$C$8-1</f>
        <v>0.069418719511358</v>
      </c>
      <c r="K199" s="24" t="n">
        <f aca="false">K198/Inputs!$C$8-1</f>
        <v>0.0770839389395031</v>
      </c>
      <c r="L199" s="24" t="n">
        <f aca="false">L198/Inputs!$C$8-1</f>
        <v>0.0847730367239115</v>
      </c>
      <c r="M199" s="24" t="n">
        <f aca="false">M198/Inputs!$C$8-1</f>
        <v>0.0924824310559202</v>
      </c>
      <c r="N199" s="24" t="n">
        <f aca="false">N198/Inputs!$C$8-1</f>
        <v>0.15810325983979</v>
      </c>
      <c r="O199" s="24" t="n">
        <f aca="false">O198/Inputs!$C$8-1</f>
        <v>0.159703081199678</v>
      </c>
      <c r="P199" s="24" t="n">
        <f aca="false">P198/Inputs!$C$8-1</f>
        <v>0.192147052111267</v>
      </c>
      <c r="Q199" s="24" t="n">
        <f aca="false">Q198/Inputs!$C$8-1</f>
        <v>0.19140071552816</v>
      </c>
      <c r="R199" s="24" t="n">
        <f aca="false">R198/Inputs!$C$8-1</f>
        <v>0.191280992647323</v>
      </c>
      <c r="S199" s="24" t="n">
        <f aca="false">S198/Inputs!$C$8-1</f>
        <v>0.191166085856019</v>
      </c>
      <c r="T199" s="24" t="n">
        <f aca="false">T198/Inputs!$C$8-1</f>
        <v>0.191055682056861</v>
      </c>
      <c r="U199" s="24" t="n">
        <f aca="false">U198/Inputs!$C$8-1</f>
        <v>0.190949490101003</v>
      </c>
      <c r="V199" s="24" t="n">
        <f aca="false">V198/Inputs!$C$8-1</f>
        <v>0.190847239251648</v>
      </c>
      <c r="W199" s="24" t="n">
        <f aca="false">W198/Inputs!$C$8-1</f>
        <v>0.190748677755125</v>
      </c>
      <c r="X199" s="24" t="n">
        <f aca="false">X198/Inputs!$C$8-1</f>
        <v>0.190653571512023</v>
      </c>
      <c r="Y199" s="24" t="n">
        <f aca="false">Y198/Inputs!$C$8-1</f>
        <v>0.190561702841365</v>
      </c>
      <c r="Z199" s="24" t="n">
        <f aca="false">Z198/Inputs!$C$8-1</f>
        <v>0.190472869331314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50"/>
    <col collapsed="false" customWidth="true" hidden="false" outlineLevel="0" max="26" min="3" style="0" width="14"/>
  </cols>
  <sheetData>
    <row r="1" customFormat="false" ht="17.35" hidden="false" customHeight="false" outlineLevel="0" collapsed="false">
      <c r="A1" s="1" t="s">
        <v>260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4" t="s">
        <v>261</v>
      </c>
      <c r="B3" s="4"/>
      <c r="C3" s="7" t="n">
        <v>0.2</v>
      </c>
      <c r="D3" s="4" t="s">
        <v>262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26.85" hidden="false" customHeight="false" outlineLevel="0" collapsed="false">
      <c r="A5" s="5" t="s">
        <v>263</v>
      </c>
      <c r="B5" s="5" t="s">
        <v>264</v>
      </c>
      <c r="C5" s="5" t="s">
        <v>265</v>
      </c>
      <c r="D5" s="5" t="s">
        <v>266</v>
      </c>
      <c r="E5" s="5" t="s">
        <v>267</v>
      </c>
      <c r="F5" s="5" t="s">
        <v>268</v>
      </c>
      <c r="G5" s="5" t="s">
        <v>269</v>
      </c>
      <c r="H5" s="5" t="s">
        <v>270</v>
      </c>
      <c r="I5" s="5" t="s">
        <v>271</v>
      </c>
      <c r="J5" s="5" t="s">
        <v>272</v>
      </c>
      <c r="K5" s="5" t="s">
        <v>273</v>
      </c>
      <c r="L5" s="5" t="s">
        <v>274</v>
      </c>
      <c r="M5" s="5" t="s">
        <v>275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11" t="s">
        <v>65</v>
      </c>
      <c r="B6" s="25" t="str">
        <f aca="false">Initiatives!C4</f>
        <v>«Ucell 30 — Upgrade»: мягкая миграция с подарком</v>
      </c>
      <c r="C6" s="26" t="str">
        <f aca="false">Initiatives!C5</f>
        <v>EASY</v>
      </c>
      <c r="D6" s="20" t="n">
        <f aca="false">Initiatives!C8</f>
        <v>0</v>
      </c>
      <c r="E6" s="20" t="n">
        <f aca="false">Initiatives!C51</f>
        <v>7317904847.14509</v>
      </c>
      <c r="F6" s="20" t="n">
        <f aca="false">Initiatives!C52</f>
        <v>8471618520.38091</v>
      </c>
      <c r="G6" s="20" t="n">
        <f aca="false">Initiatives!C53</f>
        <v>8068854352.74846</v>
      </c>
      <c r="H6" s="20" t="n">
        <f aca="false">Initiatives!C56</f>
        <v>11860393422.3971</v>
      </c>
      <c r="I6" s="27" t="n">
        <f aca="false">Initiatives!C57</f>
        <v>7.59939929471526</v>
      </c>
      <c r="J6" s="22" t="n">
        <f aca="false">Initiatives!C58</f>
        <v>0.0140794054644096</v>
      </c>
      <c r="K6" s="28" t="n">
        <f aca="false">Initiatives!C61</f>
        <v>0.00291688581386411</v>
      </c>
      <c r="L6" s="29" t="n">
        <f aca="false">Initiatives!C35</f>
        <v>0.92</v>
      </c>
      <c r="M6" s="20" t="n">
        <f aca="false">Initiatives!C62</f>
        <v>10911561948.6053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26.85" hidden="false" customHeight="false" outlineLevel="0" collapsed="false">
      <c r="A7" s="11" t="s">
        <v>66</v>
      </c>
      <c r="B7" s="25" t="str">
        <f aca="false">Initiatives!D4</f>
        <v>Точечная индексация недооценённых архивных ТП (more-for-more)</v>
      </c>
      <c r="C7" s="26" t="str">
        <f aca="false">Initiatives!D5</f>
        <v>EASY</v>
      </c>
      <c r="D7" s="20" t="n">
        <f aca="false">Initiatives!D8</f>
        <v>0</v>
      </c>
      <c r="E7" s="20" t="n">
        <f aca="false">Initiatives!D51</f>
        <v>25719984730.9289</v>
      </c>
      <c r="F7" s="20" t="n">
        <f aca="false">Initiatives!D52</f>
        <v>23397644061.2481</v>
      </c>
      <c r="G7" s="20" t="n">
        <f aca="false">Initiatives!D53</f>
        <v>21502080307.7385</v>
      </c>
      <c r="H7" s="20" t="n">
        <f aca="false">Initiatives!D56</f>
        <v>42853249062.6846</v>
      </c>
      <c r="I7" s="27" t="n">
        <f aca="false">Initiatives!D57</f>
        <v>6.84078087746397</v>
      </c>
      <c r="J7" s="22" t="n">
        <f aca="false">Initiatives!D58</f>
        <v>0.045519115304399</v>
      </c>
      <c r="K7" s="28" t="n">
        <f aca="false">Initiatives!D61</f>
        <v>-0.0383269133106458</v>
      </c>
      <c r="L7" s="29" t="n">
        <f aca="false">Initiatives!D35</f>
        <v>0.8</v>
      </c>
      <c r="M7" s="20" t="n">
        <f aca="false">Initiatives!D62</f>
        <v>34282599250.1477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11" t="s">
        <v>67</v>
      </c>
      <c r="B8" s="25" t="str">
        <f aca="false">Initiatives!E4</f>
        <v>PAYG → суточные/недельные микропакеты</v>
      </c>
      <c r="C8" s="26" t="str">
        <f aca="false">Initiatives!E5</f>
        <v>EASY</v>
      </c>
      <c r="D8" s="20" t="n">
        <f aca="false">Initiatives!E8</f>
        <v>0</v>
      </c>
      <c r="E8" s="20" t="n">
        <f aca="false">Initiatives!E51</f>
        <v>1605790695.00426</v>
      </c>
      <c r="F8" s="20" t="n">
        <f aca="false">Initiatives!E52</f>
        <v>1700561116.31138</v>
      </c>
      <c r="G8" s="20" t="n">
        <f aca="false">Initiatives!E53</f>
        <v>1595118866.33786</v>
      </c>
      <c r="H8" s="20" t="n">
        <f aca="false">Initiatives!E56</f>
        <v>1711952400.16244</v>
      </c>
      <c r="I8" s="27" t="n">
        <f aca="false">Initiatives!E57</f>
        <v>1.55852122321618</v>
      </c>
      <c r="J8" s="22" t="n">
        <f aca="false">Initiatives!E58</f>
        <v>0.00266500342391263</v>
      </c>
      <c r="K8" s="28" t="n">
        <f aca="false">Initiatives!E61</f>
        <v>0.00217117401781624</v>
      </c>
      <c r="L8" s="29" t="n">
        <f aca="false">Initiatives!E35</f>
        <v>0.9</v>
      </c>
      <c r="M8" s="20" t="n">
        <f aca="false">Initiatives!E62</f>
        <v>1540757160.1462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26.85" hidden="false" customHeight="false" outlineLevel="0" collapsed="false">
      <c r="A9" s="11" t="s">
        <v>68</v>
      </c>
      <c r="B9" s="25" t="str">
        <f aca="false">Initiatives!F4</f>
        <v>Smart add-on: пакет-«бустер» в момент исчерпания (opt-in автопродление)</v>
      </c>
      <c r="C9" s="26" t="str">
        <f aca="false">Initiatives!F5</f>
        <v>EASY</v>
      </c>
      <c r="D9" s="20" t="n">
        <f aca="false">Initiatives!F8</f>
        <v>0</v>
      </c>
      <c r="E9" s="20" t="n">
        <f aca="false">Initiatives!F51</f>
        <v>2339178436.04719</v>
      </c>
      <c r="F9" s="20" t="n">
        <f aca="false">Initiatives!F52</f>
        <v>2346720787.35669</v>
      </c>
      <c r="G9" s="20" t="n">
        <f aca="false">Initiatives!F53</f>
        <v>2198901920.64531</v>
      </c>
      <c r="H9" s="20" t="n">
        <f aca="false">Initiatives!F56</f>
        <v>3075572916.01749</v>
      </c>
      <c r="I9" s="27" t="n">
        <f aca="false">Initiatives!F57</f>
        <v>3.38927983128798</v>
      </c>
      <c r="J9" s="22" t="n">
        <f aca="false">Initiatives!F58</f>
        <v>0.00381928320992175</v>
      </c>
      <c r="K9" s="28" t="n">
        <f aca="false">Initiatives!F61</f>
        <v>0.00102423676759064</v>
      </c>
      <c r="L9" s="29" t="n">
        <f aca="false">Initiatives!F35</f>
        <v>0.9</v>
      </c>
      <c r="M9" s="20" t="n">
        <f aca="false">Initiatives!F62</f>
        <v>2768015624.41574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26.85" hidden="false" customHeight="false" outlineLevel="0" collapsed="false">
      <c r="A10" s="11" t="s">
        <v>69</v>
      </c>
      <c r="B10" s="25" t="str">
        <f aca="false">Initiatives!G4</f>
        <v>Контент-надстройка (Yandex Plus / OVVA / Ucell TV) для архивных ТП</v>
      </c>
      <c r="C10" s="26" t="str">
        <f aca="false">Initiatives!G5</f>
        <v>EASY</v>
      </c>
      <c r="D10" s="20" t="n">
        <f aca="false">Initiatives!G8</f>
        <v>0</v>
      </c>
      <c r="E10" s="20" t="n">
        <f aca="false">Initiatives!G51</f>
        <v>1989685651.54394</v>
      </c>
      <c r="F10" s="20" t="n">
        <f aca="false">Initiatives!G52</f>
        <v>2714339758.82758</v>
      </c>
      <c r="G10" s="20" t="n">
        <f aca="false">Initiatives!G53</f>
        <v>2655843147.34435</v>
      </c>
      <c r="H10" s="20" t="n">
        <f aca="false">Initiatives!G56</f>
        <v>843367623.111454</v>
      </c>
      <c r="I10" s="27" t="n">
        <f aca="false">Initiatives!G57</f>
        <v>1.48522052534421</v>
      </c>
      <c r="J10" s="22" t="n">
        <f aca="false">Initiatives!G58</f>
        <v>0.00414336405929094</v>
      </c>
      <c r="K10" s="28" t="n">
        <f aca="false">Initiatives!G61</f>
        <v>0.00309113677385265</v>
      </c>
      <c r="L10" s="29" t="n">
        <f aca="false">Initiatives!G35</f>
        <v>0.85</v>
      </c>
      <c r="M10" s="20" t="n">
        <f aca="false">Initiatives!G62</f>
        <v>716862479.644736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11" t="s">
        <v>70</v>
      </c>
      <c r="B11" s="25" t="str">
        <f aca="false">Initiatives!H4</f>
        <v>Реактивация спящих архивных SIM (win-back оффер)</v>
      </c>
      <c r="C11" s="26" t="str">
        <f aca="false">Initiatives!H5</f>
        <v>EASY</v>
      </c>
      <c r="D11" s="20" t="n">
        <f aca="false">Initiatives!H8</f>
        <v>0</v>
      </c>
      <c r="E11" s="20" t="n">
        <f aca="false">Initiatives!H51</f>
        <v>1152959272.23391</v>
      </c>
      <c r="F11" s="20" t="n">
        <f aca="false">Initiatives!H52</f>
        <v>541513119.316211</v>
      </c>
      <c r="G11" s="20" t="n">
        <f aca="false">Initiatives!H53</f>
        <v>321100959.101932</v>
      </c>
      <c r="H11" s="20" t="n">
        <f aca="false">Initiatives!H56</f>
        <v>915418332.8176</v>
      </c>
      <c r="I11" s="27" t="n">
        <f aca="false">Initiatives!H57</f>
        <v>1.74404197508627</v>
      </c>
      <c r="J11" s="22" t="n">
        <f aca="false">Initiatives!H58</f>
        <v>0.00130097398539686</v>
      </c>
      <c r="K11" s="28" t="n">
        <f aca="false">Initiatives!H61</f>
        <v>0</v>
      </c>
      <c r="L11" s="29" t="n">
        <f aca="false">Initiatives!H35</f>
        <v>0.92</v>
      </c>
      <c r="M11" s="20" t="n">
        <f aca="false">Initiatives!H62</f>
        <v>842184866.192192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26.85" hidden="false" customHeight="false" outlineLevel="0" collapsed="false">
      <c r="A12" s="11" t="s">
        <v>71</v>
      </c>
      <c r="B12" s="25" t="str">
        <f aca="false">Initiatives!I4</f>
        <v>«Musofir»: пакеты роуминга/OTP для трудовых мигрантов на архивных ТП</v>
      </c>
      <c r="C12" s="26" t="str">
        <f aca="false">Initiatives!I5</f>
        <v>EASY</v>
      </c>
      <c r="D12" s="20" t="n">
        <f aca="false">Initiatives!I8</f>
        <v>0</v>
      </c>
      <c r="E12" s="20" t="n">
        <f aca="false">Initiatives!I51</f>
        <v>1404312329.20227</v>
      </c>
      <c r="F12" s="20" t="n">
        <f aca="false">Initiatives!I52</f>
        <v>1756883979.20386</v>
      </c>
      <c r="G12" s="20" t="n">
        <f aca="false">Initiatives!I53</f>
        <v>1695298469.58055</v>
      </c>
      <c r="H12" s="20" t="n">
        <f aca="false">Initiatives!I56</f>
        <v>1501373785.04368</v>
      </c>
      <c r="I12" s="27" t="n">
        <f aca="false">Initiatives!I57</f>
        <v>3.79763898034035</v>
      </c>
      <c r="J12" s="22" t="n">
        <f aca="false">Initiatives!I58</f>
        <v>0.00264450830931495</v>
      </c>
      <c r="K12" s="28" t="n">
        <f aca="false">Initiatives!I61</f>
        <v>0.00289539747901643</v>
      </c>
      <c r="L12" s="29" t="n">
        <f aca="false">Initiatives!I35</f>
        <v>0.9</v>
      </c>
      <c r="M12" s="20" t="n">
        <f aca="false">Initiatives!I62</f>
        <v>1351236406.53931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26.85" hidden="false" customHeight="false" outlineLevel="0" collapsed="false">
      <c r="A13" s="11" t="s">
        <v>72</v>
      </c>
      <c r="B13" s="25" t="str">
        <f aca="false">Initiatives!J4</f>
        <v>ОПЦИЯ: ежегодная индексация архивных пакетов на инфляцию (волна 2)</v>
      </c>
      <c r="C13" s="26" t="str">
        <f aca="false">Initiatives!J5</f>
        <v>EASY</v>
      </c>
      <c r="D13" s="20" t="n">
        <f aca="false">Initiatives!J8</f>
        <v>1</v>
      </c>
      <c r="E13" s="20" t="n">
        <f aca="false">Initiatives!J51</f>
        <v>0</v>
      </c>
      <c r="F13" s="20" t="n">
        <f aca="false">Initiatives!J52</f>
        <v>18414311479.8129</v>
      </c>
      <c r="G13" s="20" t="n">
        <f aca="false">Initiatives!J53</f>
        <v>18412899715.0741</v>
      </c>
      <c r="H13" s="20" t="n">
        <f aca="false">Initiatives!J56</f>
        <v>16723014930.3044</v>
      </c>
      <c r="I13" s="27" t="n">
        <f aca="false">Initiatives!J57</f>
        <v>9.88768937958528</v>
      </c>
      <c r="J13" s="22" t="n">
        <f aca="false">Initiatives!J58</f>
        <v>0.0387801322064303</v>
      </c>
      <c r="K13" s="28" t="n">
        <f aca="false">Initiatives!J61</f>
        <v>-0.031746071170825</v>
      </c>
      <c r="L13" s="29" t="n">
        <f aca="false">Initiatives!J35</f>
        <v>0.65</v>
      </c>
      <c r="M13" s="20" t="n">
        <f aca="false">Initiatives!J62</f>
        <v>10869959704.6979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26.85" hidden="false" customHeight="false" outlineLevel="0" collapsed="false">
      <c r="A14" s="11" t="s">
        <v>73</v>
      </c>
      <c r="B14" s="25" t="str">
        <f aca="false">Initiatives!K4</f>
        <v>AI Next-Best-Offer: персональные офферы в реальном времени (RTD/CVM)</v>
      </c>
      <c r="C14" s="26" t="str">
        <f aca="false">Initiatives!K5</f>
        <v>HARD</v>
      </c>
      <c r="D14" s="20" t="n">
        <f aca="false">Initiatives!K8</f>
        <v>0</v>
      </c>
      <c r="E14" s="20" t="n">
        <f aca="false">Initiatives!K51</f>
        <v>6180724544.65531</v>
      </c>
      <c r="F14" s="20" t="n">
        <f aca="false">Initiatives!K52</f>
        <v>22106590405.8703</v>
      </c>
      <c r="G14" s="20" t="n">
        <f aca="false">Initiatives!K53</f>
        <v>22631816667.0656</v>
      </c>
      <c r="H14" s="20" t="n">
        <f aca="false">Initiatives!K56</f>
        <v>12494217707.9468</v>
      </c>
      <c r="I14" s="27" t="n">
        <f aca="false">Initiatives!K57</f>
        <v>1.08175045090448</v>
      </c>
      <c r="J14" s="22" t="n">
        <f aca="false">Initiatives!K58</f>
        <v>0.0297655959320351</v>
      </c>
      <c r="K14" s="28" t="n">
        <f aca="false">Initiatives!K61</f>
        <v>0.078003177188188</v>
      </c>
      <c r="L14" s="29" t="n">
        <f aca="false">Initiatives!K35</f>
        <v>0.65</v>
      </c>
      <c r="M14" s="20" t="n">
        <f aca="false">Initiatives!K62</f>
        <v>8121241510.16542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11" t="s">
        <v>74</v>
      </c>
      <c r="B15" s="25" t="str">
        <f aca="false">Initiatives!L4</f>
        <v>«Ucell Oila»: семейный/групповой аккаунт с общим пакетом</v>
      </c>
      <c r="C15" s="26" t="str">
        <f aca="false">Initiatives!L5</f>
        <v>HARD</v>
      </c>
      <c r="D15" s="20" t="n">
        <f aca="false">Initiatives!L8</f>
        <v>0</v>
      </c>
      <c r="E15" s="20" t="n">
        <f aca="false">Initiatives!L51</f>
        <v>1350555095.89263</v>
      </c>
      <c r="F15" s="20" t="n">
        <f aca="false">Initiatives!L52</f>
        <v>6216589534.17307</v>
      </c>
      <c r="G15" s="20" t="n">
        <f aca="false">Initiatives!L53</f>
        <v>6007084362.39</v>
      </c>
      <c r="H15" s="20" t="n">
        <f aca="false">Initiatives!L56</f>
        <v>-66043748.2423842</v>
      </c>
      <c r="I15" s="27" t="n">
        <f aca="false">Initiatives!L57</f>
        <v>-0.010163521441074</v>
      </c>
      <c r="J15" s="22" t="n">
        <f aca="false">Initiatives!L58</f>
        <v>0.00853419017545098</v>
      </c>
      <c r="K15" s="28" t="n">
        <f aca="false">Initiatives!L61</f>
        <v>0.0221414531827016</v>
      </c>
      <c r="L15" s="29" t="n">
        <f aca="false">Initiatives!L35</f>
        <v>0.65</v>
      </c>
      <c r="M15" s="20" t="n">
        <f aca="false">Initiatives!L62</f>
        <v>-42928436.3575497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26.85" hidden="false" customHeight="false" outlineLevel="0" collapsed="false">
      <c r="A16" s="11" t="s">
        <v>75</v>
      </c>
      <c r="B16" s="25" t="str">
        <f aca="false">Initiatives!M4</f>
        <v>Sunset-программа: вывод устаревших семейств ТП с ценовой защитой</v>
      </c>
      <c r="C16" s="26" t="str">
        <f aca="false">Initiatives!M5</f>
        <v>HARD</v>
      </c>
      <c r="D16" s="20" t="n">
        <f aca="false">Initiatives!M8</f>
        <v>0</v>
      </c>
      <c r="E16" s="20" t="n">
        <f aca="false">Initiatives!M51</f>
        <v>3952142857.14286</v>
      </c>
      <c r="F16" s="20" t="n">
        <f aca="false">Initiatives!M52</f>
        <v>40127465589.5793</v>
      </c>
      <c r="G16" s="20" t="n">
        <f aca="false">Initiatives!M53</f>
        <v>36876532756.6541</v>
      </c>
      <c r="H16" s="20" t="n">
        <f aca="false">Initiatives!M56</f>
        <v>34053675364.5812</v>
      </c>
      <c r="I16" s="27" t="n">
        <f aca="false">Initiatives!M57</f>
        <v>3.39655921155512</v>
      </c>
      <c r="J16" s="22" t="n">
        <f aca="false">Initiatives!M58</f>
        <v>0.0808810562761764</v>
      </c>
      <c r="K16" s="28" t="n">
        <f aca="false">Initiatives!M61</f>
        <v>-0.0810548207939834</v>
      </c>
      <c r="L16" s="29" t="n">
        <f aca="false">Initiatives!M35</f>
        <v>0.6</v>
      </c>
      <c r="M16" s="20" t="n">
        <f aca="false">Initiatives!M62</f>
        <v>20432205218.7487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11" t="s">
        <v>76</v>
      </c>
      <c r="B17" s="25" t="str">
        <f aca="false">Initiatives!N4</f>
        <v>Апгрейд 2G/3G → 4G-смартфон в рассрочку (BNPL-партнёр)</v>
      </c>
      <c r="C17" s="26" t="str">
        <f aca="false">Initiatives!N5</f>
        <v>HARD</v>
      </c>
      <c r="D17" s="20" t="n">
        <f aca="false">Initiatives!N8</f>
        <v>0</v>
      </c>
      <c r="E17" s="20" t="n">
        <f aca="false">Initiatives!N51</f>
        <v>220884164.676543</v>
      </c>
      <c r="F17" s="20" t="n">
        <f aca="false">Initiatives!N52</f>
        <v>708589287.865316</v>
      </c>
      <c r="G17" s="20" t="n">
        <f aca="false">Initiatives!N53</f>
        <v>673219556.790591</v>
      </c>
      <c r="H17" s="20" t="n">
        <f aca="false">Initiatives!N56</f>
        <v>-2862503999.86999</v>
      </c>
      <c r="I17" s="27" t="n">
        <f aca="false">Initiatives!N57</f>
        <v>-0.783698774044509</v>
      </c>
      <c r="J17" s="22" t="n">
        <f aca="false">Initiatives!N58</f>
        <v>0.00114043578504597</v>
      </c>
      <c r="K17" s="28" t="n">
        <f aca="false">Initiatives!N61</f>
        <v>0.000633984625185446</v>
      </c>
      <c r="L17" s="29" t="n">
        <f aca="false">Initiatives!N35</f>
        <v>0.6</v>
      </c>
      <c r="M17" s="20" t="n">
        <f aca="false">Initiatives!N62</f>
        <v>-1717502399.92199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11" t="s">
        <v>77</v>
      </c>
      <c r="B18" s="25" t="str">
        <f aca="false">Initiatives!O4</f>
        <v>Персональные лимиты «Mobil avans» на ML-скоринге</v>
      </c>
      <c r="C18" s="26" t="str">
        <f aca="false">Initiatives!O5</f>
        <v>HARD</v>
      </c>
      <c r="D18" s="20" t="n">
        <f aca="false">Initiatives!O8</f>
        <v>0</v>
      </c>
      <c r="E18" s="20" t="n">
        <f aca="false">Initiatives!O51</f>
        <v>1513985219.52099</v>
      </c>
      <c r="F18" s="20" t="n">
        <f aca="false">Initiatives!O52</f>
        <v>2846906079.17289</v>
      </c>
      <c r="G18" s="20" t="n">
        <f aca="false">Initiatives!O53</f>
        <v>2735268323.51928</v>
      </c>
      <c r="H18" s="20" t="n">
        <f aca="false">Initiatives!O56</f>
        <v>-254896090.914283</v>
      </c>
      <c r="I18" s="27" t="n">
        <f aca="false">Initiatives!O57</f>
        <v>-0.0770656234623774</v>
      </c>
      <c r="J18" s="22" t="n">
        <f aca="false">Initiatives!O58</f>
        <v>0.00434526650248546</v>
      </c>
      <c r="K18" s="28" t="n">
        <f aca="false">Initiatives!O61</f>
        <v>0.00474744855864609</v>
      </c>
      <c r="L18" s="29" t="n">
        <f aca="false">Initiatives!O35</f>
        <v>0.7</v>
      </c>
      <c r="M18" s="20" t="n">
        <f aca="false">Initiatives!O62</f>
        <v>-178427263.639998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3" t="s">
        <v>276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false" outlineLevel="0" collapsed="false">
      <c r="A21" s="4" t="s">
        <v>277</v>
      </c>
      <c r="B21" s="4"/>
      <c r="C21" s="13" t="n">
        <f aca="false">SUMIFS(E6:E18,$D$6:$D$18,0)*(1-$C$3)</f>
        <v>43798486275.1951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" hidden="false" customHeight="false" outlineLevel="0" collapsed="false">
      <c r="A22" s="4" t="s">
        <v>278</v>
      </c>
      <c r="B22" s="4"/>
      <c r="C22" s="13" t="n">
        <f aca="false">SUMIFS(F6:F18,$D$6:$D$18,0)*(1-$C$3)</f>
        <v>90348337791.4445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" hidden="false" customHeight="false" outlineLevel="0" collapsed="false">
      <c r="A23" s="4" t="s">
        <v>279</v>
      </c>
      <c r="B23" s="4"/>
      <c r="C23" s="13" t="n">
        <f aca="false">SUMIFS(G6:G18,$D$6:$D$18,0)*(1-$C$3)</f>
        <v>85568895751.9332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false" outlineLevel="0" collapsed="false">
      <c r="A24" s="4" t="s">
        <v>280</v>
      </c>
      <c r="B24" s="4"/>
      <c r="C24" s="30" t="n">
        <f aca="false">C23/Inputs!$C$11</f>
        <v>7071809.56627547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false" outlineLevel="0" collapsed="false">
      <c r="A25" s="4" t="s">
        <v>281</v>
      </c>
      <c r="B25" s="4"/>
      <c r="C25" s="13" t="n">
        <f aca="false">SUMIFS(H6:H18,$D$6:$D$18,0)-$C$3*MAX(SUMIFS(H6:H18,$D$6:$D$18,0),0)</f>
        <v>84900621420.5886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" hidden="false" customHeight="false" outlineLevel="0" collapsed="false">
      <c r="A26" s="4" t="s">
        <v>282</v>
      </c>
      <c r="B26" s="4"/>
      <c r="C26" s="13" t="n">
        <f aca="false">Inputs!$C$8</f>
        <v>18500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" hidden="false" customHeight="false" outlineLevel="0" collapsed="false">
      <c r="A27" s="4" t="s">
        <v>283</v>
      </c>
      <c r="B27" s="4"/>
      <c r="C27" s="13" t="n">
        <f aca="false">Monthly!N196</f>
        <v>21424.9103070361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" hidden="false" customHeight="false" outlineLevel="0" collapsed="false">
      <c r="A28" s="4" t="s">
        <v>284</v>
      </c>
      <c r="B28" s="4"/>
      <c r="C28" s="13" t="n">
        <f aca="false">Monthly!Z196</f>
        <v>21437.7112061271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false" outlineLevel="0" collapsed="false">
      <c r="A29" s="4" t="s">
        <v>285</v>
      </c>
      <c r="B29" s="4"/>
      <c r="C29" s="12" t="n">
        <f aca="false">Monthly!N197</f>
        <v>0.15810325983979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false" outlineLevel="0" collapsed="false">
      <c r="A30" s="4" t="s">
        <v>286</v>
      </c>
      <c r="B30" s="4"/>
      <c r="C30" s="12" t="n">
        <f aca="false">Monthly!Z197</f>
        <v>0.158795200331197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" hidden="false" customHeight="false" outlineLevel="0" collapsed="false">
      <c r="A31" s="4" t="s">
        <v>287</v>
      </c>
      <c r="B31" s="4"/>
      <c r="C31" s="12" t="n">
        <f aca="false">Monthly!Z199</f>
        <v>0.190472869331314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false" outlineLevel="0" collapsed="false">
      <c r="A32" s="4" t="s">
        <v>288</v>
      </c>
      <c r="B32" s="4"/>
      <c r="C32" s="12" t="n">
        <f aca="false">IF(Inputs!C13&gt;0,C23/(Inputs!C13*12),0)</f>
        <v>0.109501555784108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" hidden="false" customHeight="false" outlineLevel="0" collapsed="false">
      <c r="A33" s="4" t="s">
        <v>289</v>
      </c>
      <c r="B33" s="4"/>
      <c r="C33" s="31" t="n">
        <f aca="false">SUMIFS(K6:K18,$D$6:$D$18,0)*(1-$C$3)</f>
        <v>-0.00140547175821443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" hidden="false" customHeight="false" outlineLevel="0" collapsed="false">
      <c r="A36" s="3" t="s">
        <v>290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" hidden="false" customHeight="false" outlineLevel="0" collapsed="false">
      <c r="A37" s="4" t="s">
        <v>209</v>
      </c>
      <c r="B37" s="4"/>
      <c r="C37" s="8" t="n">
        <v>1</v>
      </c>
      <c r="D37" s="8" t="n">
        <v>2</v>
      </c>
      <c r="E37" s="8" t="n">
        <v>3</v>
      </c>
      <c r="F37" s="8" t="n">
        <v>4</v>
      </c>
      <c r="G37" s="8" t="n">
        <v>5</v>
      </c>
      <c r="H37" s="8" t="n">
        <v>6</v>
      </c>
      <c r="I37" s="8" t="n">
        <v>7</v>
      </c>
      <c r="J37" s="8" t="n">
        <v>8</v>
      </c>
      <c r="K37" s="8" t="n">
        <v>9</v>
      </c>
      <c r="L37" s="8" t="n">
        <v>10</v>
      </c>
      <c r="M37" s="8" t="n">
        <v>11</v>
      </c>
      <c r="N37" s="8" t="n">
        <v>12</v>
      </c>
      <c r="O37" s="8" t="n">
        <v>13</v>
      </c>
      <c r="P37" s="8" t="n">
        <v>14</v>
      </c>
      <c r="Q37" s="8" t="n">
        <v>15</v>
      </c>
      <c r="R37" s="8" t="n">
        <v>16</v>
      </c>
      <c r="S37" s="8" t="n">
        <v>17</v>
      </c>
      <c r="T37" s="8" t="n">
        <v>18</v>
      </c>
      <c r="U37" s="8" t="n">
        <v>19</v>
      </c>
      <c r="V37" s="8" t="n">
        <v>20</v>
      </c>
      <c r="W37" s="8" t="n">
        <v>21</v>
      </c>
      <c r="X37" s="8" t="n">
        <v>22</v>
      </c>
      <c r="Y37" s="8" t="n">
        <v>23</v>
      </c>
      <c r="Z37" s="8" t="n">
        <v>24</v>
      </c>
    </row>
    <row r="38" customFormat="false" ht="15" hidden="false" customHeight="false" outlineLevel="0" collapsed="false">
      <c r="A38" s="4" t="s">
        <v>291</v>
      </c>
      <c r="B38" s="4"/>
      <c r="C38" s="29" t="n">
        <f aca="false">Monthly!C197</f>
        <v>0</v>
      </c>
      <c r="D38" s="29" t="n">
        <f aca="false">Monthly!D197</f>
        <v>0.0422139314360408</v>
      </c>
      <c r="E38" s="29" t="n">
        <f aca="false">Monthly!E197</f>
        <v>0.0491217086593674</v>
      </c>
      <c r="F38" s="29" t="n">
        <f aca="false">Monthly!F197</f>
        <v>0.0547793371499756</v>
      </c>
      <c r="G38" s="29" t="n">
        <f aca="false">Monthly!G197</f>
        <v>0.0590239324457655</v>
      </c>
      <c r="H38" s="29" t="n">
        <f aca="false">Monthly!H197</f>
        <v>0.060889228198737</v>
      </c>
      <c r="I38" s="29" t="n">
        <f aca="false">Monthly!I197</f>
        <v>0.0621315570872716</v>
      </c>
      <c r="J38" s="29" t="n">
        <f aca="false">Monthly!J197</f>
        <v>0.069418719511358</v>
      </c>
      <c r="K38" s="29" t="n">
        <f aca="false">Monthly!K197</f>
        <v>0.0770839389395031</v>
      </c>
      <c r="L38" s="29" t="n">
        <f aca="false">Monthly!L197</f>
        <v>0.0847730367239115</v>
      </c>
      <c r="M38" s="29" t="n">
        <f aca="false">Monthly!M197</f>
        <v>0.0924824310559202</v>
      </c>
      <c r="N38" s="29" t="n">
        <f aca="false">Monthly!N197</f>
        <v>0.15810325983979</v>
      </c>
      <c r="O38" s="29" t="n">
        <f aca="false">Monthly!O197</f>
        <v>0.159703081199678</v>
      </c>
      <c r="P38" s="29" t="n">
        <f aca="false">Monthly!P197</f>
        <v>0.159597929317036</v>
      </c>
      <c r="Q38" s="29" t="n">
        <f aca="false">Monthly!Q197</f>
        <v>0.159498244825305</v>
      </c>
      <c r="R38" s="29" t="n">
        <f aca="false">Monthly!R197</f>
        <v>0.159403667150353</v>
      </c>
      <c r="S38" s="29" t="n">
        <f aca="false">Monthly!S197</f>
        <v>0.159313860994026</v>
      </c>
      <c r="T38" s="29" t="n">
        <f aca="false">Monthly!T197</f>
        <v>0.159228514564728</v>
      </c>
      <c r="U38" s="29" t="n">
        <f aca="false">Monthly!U197</f>
        <v>0.15914733793189</v>
      </c>
      <c r="V38" s="29" t="n">
        <f aca="false">Monthly!V197</f>
        <v>0.159070061495652</v>
      </c>
      <c r="W38" s="29" t="n">
        <f aca="false">Monthly!W197</f>
        <v>0.158996434563685</v>
      </c>
      <c r="X38" s="29" t="n">
        <f aca="false">Monthly!X197</f>
        <v>0.158926224027667</v>
      </c>
      <c r="Y38" s="29" t="n">
        <f aca="false">Monthly!Y197</f>
        <v>0.158859213132414</v>
      </c>
      <c r="Z38" s="29" t="n">
        <f aca="false">Monthly!Z197</f>
        <v>0.158795200331197</v>
      </c>
    </row>
    <row r="39" customFormat="false" ht="15" hidden="false" customHeight="false" outlineLevel="0" collapsed="false">
      <c r="A39" s="4" t="s">
        <v>292</v>
      </c>
      <c r="B39" s="4"/>
      <c r="C39" s="29" t="n">
        <f aca="false">Monthly!C199</f>
        <v>0</v>
      </c>
      <c r="D39" s="29" t="n">
        <f aca="false">Monthly!D199</f>
        <v>0.0422139314360408</v>
      </c>
      <c r="E39" s="29" t="n">
        <f aca="false">Monthly!E199</f>
        <v>0.0491217086593674</v>
      </c>
      <c r="F39" s="29" t="n">
        <f aca="false">Monthly!F199</f>
        <v>0.0547793371499756</v>
      </c>
      <c r="G39" s="29" t="n">
        <f aca="false">Monthly!G199</f>
        <v>0.0590239324457655</v>
      </c>
      <c r="H39" s="29" t="n">
        <f aca="false">Monthly!H199</f>
        <v>0.060889228198737</v>
      </c>
      <c r="I39" s="29" t="n">
        <f aca="false">Monthly!I199</f>
        <v>0.0621315570872716</v>
      </c>
      <c r="J39" s="29" t="n">
        <f aca="false">Monthly!J199</f>
        <v>0.069418719511358</v>
      </c>
      <c r="K39" s="29" t="n">
        <f aca="false">Monthly!K199</f>
        <v>0.0770839389395031</v>
      </c>
      <c r="L39" s="29" t="n">
        <f aca="false">Monthly!L199</f>
        <v>0.0847730367239115</v>
      </c>
      <c r="M39" s="29" t="n">
        <f aca="false">Monthly!M199</f>
        <v>0.0924824310559202</v>
      </c>
      <c r="N39" s="29" t="n">
        <f aca="false">Monthly!N199</f>
        <v>0.15810325983979</v>
      </c>
      <c r="O39" s="29" t="n">
        <f aca="false">Monthly!O199</f>
        <v>0.159703081199678</v>
      </c>
      <c r="P39" s="29" t="n">
        <f aca="false">Monthly!P199</f>
        <v>0.192147052111267</v>
      </c>
      <c r="Q39" s="29" t="n">
        <f aca="false">Monthly!Q199</f>
        <v>0.19140071552816</v>
      </c>
      <c r="R39" s="29" t="n">
        <f aca="false">Monthly!R199</f>
        <v>0.191280992647323</v>
      </c>
      <c r="S39" s="29" t="n">
        <f aca="false">Monthly!S199</f>
        <v>0.191166085856019</v>
      </c>
      <c r="T39" s="29" t="n">
        <f aca="false">Monthly!T199</f>
        <v>0.191055682056861</v>
      </c>
      <c r="U39" s="29" t="n">
        <f aca="false">Monthly!U199</f>
        <v>0.190949490101003</v>
      </c>
      <c r="V39" s="29" t="n">
        <f aca="false">Monthly!V199</f>
        <v>0.190847239251648</v>
      </c>
      <c r="W39" s="29" t="n">
        <f aca="false">Monthly!W199</f>
        <v>0.190748677755125</v>
      </c>
      <c r="X39" s="29" t="n">
        <f aca="false">Monthly!X199</f>
        <v>0.190653571512023</v>
      </c>
      <c r="Y39" s="29" t="n">
        <f aca="false">Monthly!Y199</f>
        <v>0.190561702841365</v>
      </c>
      <c r="Z39" s="29" t="n">
        <f aca="false">Monthly!Z199</f>
        <v>0.190472869331314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293</v>
      </c>
      <c r="B1" s="4"/>
    </row>
    <row r="2" customFormat="false" ht="15" hidden="false" customHeight="false" outlineLevel="0" collapsed="false">
      <c r="A2" s="4"/>
      <c r="B2" s="4"/>
    </row>
    <row r="3" customFormat="false" ht="15" hidden="false" customHeight="false" outlineLevel="0" collapsed="false">
      <c r="A3" s="4" t="s">
        <v>294</v>
      </c>
      <c r="B3" s="7" t="n">
        <v>0.05</v>
      </c>
    </row>
    <row r="4" customFormat="false" ht="15" hidden="false" customHeight="false" outlineLevel="0" collapsed="false">
      <c r="A4" s="4" t="s">
        <v>295</v>
      </c>
      <c r="B4" s="7" t="n">
        <v>0.8</v>
      </c>
    </row>
    <row r="5" customFormat="false" ht="15" hidden="false" customHeight="false" outlineLevel="0" collapsed="false">
      <c r="A5" s="4" t="s">
        <v>296</v>
      </c>
      <c r="B5" s="32" t="n">
        <v>1.2</v>
      </c>
    </row>
    <row r="6" customFormat="false" ht="15" hidden="false" customHeight="false" outlineLevel="0" collapsed="false">
      <c r="A6" s="4" t="s">
        <v>297</v>
      </c>
      <c r="B6" s="7" t="n">
        <v>0.03</v>
      </c>
    </row>
    <row r="7" customFormat="false" ht="15" hidden="false" customHeight="false" outlineLevel="0" collapsed="false">
      <c r="A7" s="4"/>
      <c r="B7" s="4"/>
    </row>
    <row r="8" customFormat="false" ht="15" hidden="false" customHeight="false" outlineLevel="0" collapsed="false">
      <c r="A8" s="4" t="s">
        <v>298</v>
      </c>
      <c r="B8" s="13" t="n">
        <f aca="false">ROUNDUP(2*(NORMSINV(1-B3/2)+NORMSINV(B4))^2*B5^2/B6^2,0)</f>
        <v>25117</v>
      </c>
    </row>
    <row r="9" customFormat="false" ht="15" hidden="false" customHeight="false" outlineLevel="0" collapsed="false">
      <c r="A9" s="4"/>
      <c r="B9" s="4"/>
    </row>
    <row r="10" customFormat="false" ht="15" hidden="false" customHeight="false" outlineLevel="0" collapsed="false">
      <c r="A10" s="4" t="s">
        <v>299</v>
      </c>
      <c r="B10" s="7" t="n">
        <v>0.1</v>
      </c>
    </row>
    <row r="11" customFormat="false" ht="15" hidden="false" customHeight="false" outlineLevel="0" collapsed="false">
      <c r="A11" s="4" t="s">
        <v>300</v>
      </c>
      <c r="B11" s="7" t="n">
        <v>0.11</v>
      </c>
    </row>
    <row r="12" customFormat="false" ht="15" hidden="false" customHeight="false" outlineLevel="0" collapsed="false">
      <c r="A12" s="4" t="s">
        <v>301</v>
      </c>
      <c r="B12" s="13" t="n">
        <f aca="false">ROUNDUP((NORMSINV(1-B3/2)*SQRT(2*((B10+B11)/2)*(1-(B10+B11)/2))+NORMSINV(B4)*SQRT(B10*(1-B10)+B11*(1-B11)))^2/(B11-B10)^2,0)</f>
        <v>14751</v>
      </c>
    </row>
    <row r="13" customFormat="false" ht="15" hidden="false" customHeight="false" outlineLevel="0" collapsed="false">
      <c r="A13" s="4"/>
      <c r="B13" s="4"/>
    </row>
    <row r="14" customFormat="false" ht="15" hidden="false" customHeight="false" outlineLevel="0" collapsed="false">
      <c r="A14" s="4" t="s">
        <v>302</v>
      </c>
      <c r="B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14" min="3" style="0" width="16"/>
  </cols>
  <sheetData>
    <row r="1" customFormat="false" ht="17.35" hidden="false" customHeight="false" outlineLevel="0" collapsed="false">
      <c r="A1" s="1" t="s">
        <v>303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4" t="s">
        <v>304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6.85" hidden="false" customHeight="false" outlineLevel="0" collapsed="false">
      <c r="A4" s="5" t="s">
        <v>263</v>
      </c>
      <c r="B4" s="5" t="s">
        <v>264</v>
      </c>
      <c r="C4" s="5" t="s">
        <v>265</v>
      </c>
      <c r="D4" s="5" t="s">
        <v>305</v>
      </c>
      <c r="E4" s="5" t="s">
        <v>306</v>
      </c>
      <c r="F4" s="5" t="s">
        <v>307</v>
      </c>
      <c r="G4" s="5" t="s">
        <v>308</v>
      </c>
      <c r="H4" s="5" t="s">
        <v>309</v>
      </c>
      <c r="I4" s="5" t="s">
        <v>310</v>
      </c>
      <c r="J4" s="5" t="s">
        <v>311</v>
      </c>
      <c r="K4" s="5" t="s">
        <v>312</v>
      </c>
      <c r="L4" s="5" t="s">
        <v>274</v>
      </c>
      <c r="M4" s="5" t="s">
        <v>313</v>
      </c>
      <c r="N4" s="5" t="s">
        <v>314</v>
      </c>
    </row>
    <row r="5" customFormat="false" ht="15" hidden="false" customHeight="false" outlineLevel="0" collapsed="false">
      <c r="A5" s="15" t="s">
        <v>65</v>
      </c>
      <c r="B5" s="15" t="s">
        <v>80</v>
      </c>
      <c r="C5" s="15" t="s">
        <v>95</v>
      </c>
      <c r="D5" s="16" t="n">
        <v>4.22</v>
      </c>
      <c r="E5" s="16" t="n">
        <v>7.32</v>
      </c>
      <c r="F5" s="16" t="n">
        <v>11.65</v>
      </c>
      <c r="G5" s="16" t="n">
        <v>6.26</v>
      </c>
      <c r="H5" s="16" t="n">
        <v>11.79</v>
      </c>
      <c r="I5" s="16" t="n">
        <v>19.52</v>
      </c>
      <c r="J5" s="33" t="n">
        <v>0.014370196063023</v>
      </c>
      <c r="K5" s="9" t="n">
        <v>1</v>
      </c>
      <c r="L5" s="9" t="n">
        <v>0.92</v>
      </c>
      <c r="M5" s="9" t="n">
        <v>0.92</v>
      </c>
      <c r="N5" s="9" t="n">
        <v>0.708446</v>
      </c>
    </row>
    <row r="6" customFormat="false" ht="15" hidden="false" customHeight="false" outlineLevel="0" collapsed="false">
      <c r="A6" s="15" t="s">
        <v>66</v>
      </c>
      <c r="B6" s="15" t="s">
        <v>81</v>
      </c>
      <c r="C6" s="15" t="s">
        <v>95</v>
      </c>
      <c r="D6" s="16" t="n">
        <v>19.52</v>
      </c>
      <c r="E6" s="16" t="n">
        <v>24.41</v>
      </c>
      <c r="F6" s="16" t="n">
        <v>29.6</v>
      </c>
      <c r="G6" s="16" t="n">
        <v>30.2</v>
      </c>
      <c r="H6" s="16" t="n">
        <v>39.56</v>
      </c>
      <c r="I6" s="16" t="n">
        <v>49.25</v>
      </c>
      <c r="J6" s="33" t="n">
        <v>0.0441998771384594</v>
      </c>
      <c r="K6" s="9" t="n">
        <v>1</v>
      </c>
      <c r="L6" s="9" t="n">
        <v>0.8</v>
      </c>
      <c r="M6" s="9" t="n">
        <v>0.8</v>
      </c>
      <c r="N6" s="9" t="n">
        <v>0.72408</v>
      </c>
    </row>
    <row r="7" customFormat="false" ht="15" hidden="false" customHeight="false" outlineLevel="0" collapsed="false">
      <c r="A7" s="15" t="s">
        <v>67</v>
      </c>
      <c r="B7" s="15" t="s">
        <v>82</v>
      </c>
      <c r="C7" s="15" t="s">
        <v>95</v>
      </c>
      <c r="D7" s="16" t="n">
        <v>0.1</v>
      </c>
      <c r="E7" s="16" t="n">
        <v>1.42</v>
      </c>
      <c r="F7" s="16" t="n">
        <v>2.81</v>
      </c>
      <c r="G7" s="16" t="n">
        <v>-0.89</v>
      </c>
      <c r="H7" s="16" t="n">
        <v>1.39</v>
      </c>
      <c r="I7" s="16" t="n">
        <v>3.71</v>
      </c>
      <c r="J7" s="33" t="n">
        <v>0.00241641928020686</v>
      </c>
      <c r="K7" s="9" t="n">
        <v>0.77915</v>
      </c>
      <c r="L7" s="9" t="n">
        <v>0.9</v>
      </c>
      <c r="M7" s="9" t="n">
        <v>0.701235</v>
      </c>
      <c r="N7" s="9" t="n">
        <v>0.48906</v>
      </c>
    </row>
    <row r="8" customFormat="false" ht="15" hidden="false" customHeight="false" outlineLevel="0" collapsed="false">
      <c r="A8" s="15" t="s">
        <v>68</v>
      </c>
      <c r="B8" s="15" t="s">
        <v>83</v>
      </c>
      <c r="C8" s="15" t="s">
        <v>95</v>
      </c>
      <c r="D8" s="16" t="n">
        <v>1.65</v>
      </c>
      <c r="E8" s="16" t="n">
        <v>2.49</v>
      </c>
      <c r="F8" s="16" t="n">
        <v>3.7</v>
      </c>
      <c r="G8" s="16" t="n">
        <v>1.93</v>
      </c>
      <c r="H8" s="16" t="n">
        <v>3.29</v>
      </c>
      <c r="I8" s="16" t="n">
        <v>5.23</v>
      </c>
      <c r="J8" s="33" t="n">
        <v>0.0041554891076363</v>
      </c>
      <c r="K8" s="9" t="n">
        <v>1</v>
      </c>
      <c r="L8" s="9" t="n">
        <v>0.9</v>
      </c>
      <c r="M8" s="9" t="n">
        <v>0.9</v>
      </c>
      <c r="N8" s="9" t="n">
        <v>0.765495</v>
      </c>
    </row>
    <row r="9" customFormat="false" ht="15" hidden="false" customHeight="false" outlineLevel="0" collapsed="false">
      <c r="A9" s="15" t="s">
        <v>69</v>
      </c>
      <c r="B9" s="15" t="s">
        <v>84</v>
      </c>
      <c r="C9" s="15" t="s">
        <v>95</v>
      </c>
      <c r="D9" s="16" t="n">
        <v>1.38</v>
      </c>
      <c r="E9" s="16" t="n">
        <v>2.23</v>
      </c>
      <c r="F9" s="16" t="n">
        <v>3.33</v>
      </c>
      <c r="G9" s="16" t="n">
        <v>0.4</v>
      </c>
      <c r="H9" s="16" t="n">
        <v>1</v>
      </c>
      <c r="I9" s="16" t="n">
        <v>1.79</v>
      </c>
      <c r="J9" s="33" t="n">
        <v>0.00464169563819472</v>
      </c>
      <c r="K9" s="9" t="n">
        <v>0.99655</v>
      </c>
      <c r="L9" s="9" t="n">
        <v>0.85</v>
      </c>
      <c r="M9" s="9" t="n">
        <v>0.8470675</v>
      </c>
      <c r="N9" s="9" t="n">
        <v>0.6771525</v>
      </c>
    </row>
    <row r="10" customFormat="false" ht="15" hidden="false" customHeight="false" outlineLevel="0" collapsed="false">
      <c r="A10" s="15" t="s">
        <v>70</v>
      </c>
      <c r="B10" s="15" t="s">
        <v>85</v>
      </c>
      <c r="C10" s="15" t="s">
        <v>95</v>
      </c>
      <c r="D10" s="16" t="n">
        <v>0.79</v>
      </c>
      <c r="E10" s="16" t="n">
        <v>1.23</v>
      </c>
      <c r="F10" s="16" t="n">
        <v>1.84</v>
      </c>
      <c r="G10" s="16" t="n">
        <v>0.43</v>
      </c>
      <c r="H10" s="16" t="n">
        <v>0.99</v>
      </c>
      <c r="I10" s="16" t="n">
        <v>1.78</v>
      </c>
      <c r="J10" s="33" t="n">
        <v>0.00137725896981611</v>
      </c>
      <c r="K10" s="9" t="n">
        <v>0.9989</v>
      </c>
      <c r="L10" s="9" t="n">
        <v>0.92</v>
      </c>
      <c r="M10" s="9" t="n">
        <v>0.918988</v>
      </c>
      <c r="N10" s="9" t="n">
        <v>0.710056</v>
      </c>
    </row>
    <row r="11" customFormat="false" ht="15" hidden="false" customHeight="false" outlineLevel="0" collapsed="false">
      <c r="A11" s="15" t="s">
        <v>71</v>
      </c>
      <c r="B11" s="15" t="s">
        <v>86</v>
      </c>
      <c r="C11" s="15" t="s">
        <v>95</v>
      </c>
      <c r="D11" s="16" t="n">
        <v>0.87</v>
      </c>
      <c r="E11" s="16" t="n">
        <v>1.44</v>
      </c>
      <c r="F11" s="16" t="n">
        <v>2.26</v>
      </c>
      <c r="G11" s="16" t="n">
        <v>0.79</v>
      </c>
      <c r="H11" s="16" t="n">
        <v>1.54</v>
      </c>
      <c r="I11" s="16" t="n">
        <v>2.64</v>
      </c>
      <c r="J11" s="33" t="n">
        <v>0.00271166652009303</v>
      </c>
      <c r="K11" s="9" t="n">
        <v>1</v>
      </c>
      <c r="L11" s="9" t="n">
        <v>0.9</v>
      </c>
      <c r="M11" s="9" t="n">
        <v>0.9</v>
      </c>
      <c r="N11" s="9" t="n">
        <v>0.702405</v>
      </c>
    </row>
    <row r="12" customFormat="false" ht="15" hidden="false" customHeight="false" outlineLevel="0" collapsed="false">
      <c r="A12" s="15" t="s">
        <v>72</v>
      </c>
      <c r="B12" s="15" t="s">
        <v>87</v>
      </c>
      <c r="C12" s="15" t="s">
        <v>95</v>
      </c>
      <c r="D12" s="16" t="n">
        <v>0</v>
      </c>
      <c r="E12" s="16" t="n">
        <v>0</v>
      </c>
      <c r="F12" s="16" t="n">
        <v>0</v>
      </c>
      <c r="G12" s="16" t="n">
        <v>11.34</v>
      </c>
      <c r="H12" s="16" t="n">
        <v>15.24</v>
      </c>
      <c r="I12" s="16" t="n">
        <v>19.39</v>
      </c>
      <c r="J12" s="33" t="n">
        <v>0.0375035266907472</v>
      </c>
      <c r="K12" s="9" t="n">
        <v>1</v>
      </c>
      <c r="L12" s="9" t="n">
        <v>0.65</v>
      </c>
      <c r="M12" s="9" t="n">
        <v>0.65</v>
      </c>
      <c r="N12" s="9" t="n">
        <v>0.56953</v>
      </c>
    </row>
    <row r="13" customFormat="false" ht="15" hidden="false" customHeight="false" outlineLevel="0" collapsed="false">
      <c r="A13" s="15" t="s">
        <v>73</v>
      </c>
      <c r="B13" s="15" t="s">
        <v>88</v>
      </c>
      <c r="C13" s="15" t="s">
        <v>96</v>
      </c>
      <c r="D13" s="16" t="n">
        <v>4.28</v>
      </c>
      <c r="E13" s="16" t="n">
        <v>6.74</v>
      </c>
      <c r="F13" s="16" t="n">
        <v>9.65</v>
      </c>
      <c r="G13" s="16" t="n">
        <v>5.23</v>
      </c>
      <c r="H13" s="16" t="n">
        <v>14.17</v>
      </c>
      <c r="I13" s="16" t="n">
        <v>24.48</v>
      </c>
      <c r="J13" s="33" t="n">
        <v>0.0323822450686249</v>
      </c>
      <c r="K13" s="9" t="n">
        <v>0.9901</v>
      </c>
      <c r="L13" s="9" t="n">
        <v>0.65</v>
      </c>
      <c r="M13" s="9" t="n">
        <v>0.643565</v>
      </c>
      <c r="N13" s="9" t="n">
        <v>0.5026775</v>
      </c>
    </row>
    <row r="14" customFormat="false" ht="15" hidden="false" customHeight="false" outlineLevel="0" collapsed="false">
      <c r="A14" s="15" t="s">
        <v>74</v>
      </c>
      <c r="B14" s="15" t="s">
        <v>89</v>
      </c>
      <c r="C14" s="15" t="s">
        <v>96</v>
      </c>
      <c r="D14" s="16" t="n">
        <v>0.92</v>
      </c>
      <c r="E14" s="16" t="n">
        <v>1.44</v>
      </c>
      <c r="F14" s="16" t="n">
        <v>2.15</v>
      </c>
      <c r="G14" s="16" t="n">
        <v>-2.6</v>
      </c>
      <c r="H14" s="16" t="n">
        <v>0.05</v>
      </c>
      <c r="I14" s="16" t="n">
        <v>3.38</v>
      </c>
      <c r="J14" s="33" t="n">
        <v>0.00902731650053823</v>
      </c>
      <c r="K14" s="9" t="n">
        <v>0.5079</v>
      </c>
      <c r="L14" s="9" t="n">
        <v>0.65</v>
      </c>
      <c r="M14" s="9" t="n">
        <v>0.330135</v>
      </c>
      <c r="N14" s="9" t="n">
        <v>0.330135</v>
      </c>
    </row>
    <row r="15" customFormat="false" ht="15" hidden="false" customHeight="false" outlineLevel="0" collapsed="false">
      <c r="A15" s="15" t="s">
        <v>75</v>
      </c>
      <c r="B15" s="15" t="s">
        <v>90</v>
      </c>
      <c r="C15" s="15" t="s">
        <v>96</v>
      </c>
      <c r="D15" s="16" t="n">
        <v>2.51</v>
      </c>
      <c r="E15" s="16" t="n">
        <v>3.82</v>
      </c>
      <c r="F15" s="16" t="n">
        <v>5.46</v>
      </c>
      <c r="G15" s="16" t="n">
        <v>16.57</v>
      </c>
      <c r="H15" s="16" t="n">
        <v>31.55</v>
      </c>
      <c r="I15" s="16" t="n">
        <v>50.3</v>
      </c>
      <c r="J15" s="33" t="n">
        <v>0.0790926810386173</v>
      </c>
      <c r="K15" s="9" t="n">
        <v>1</v>
      </c>
      <c r="L15" s="9" t="n">
        <v>0.6</v>
      </c>
      <c r="M15" s="9" t="n">
        <v>0.6</v>
      </c>
      <c r="N15" s="9" t="n">
        <v>0.43839</v>
      </c>
    </row>
    <row r="16" customFormat="false" ht="15" hidden="false" customHeight="false" outlineLevel="0" collapsed="false">
      <c r="A16" s="15" t="s">
        <v>76</v>
      </c>
      <c r="B16" s="15" t="s">
        <v>91</v>
      </c>
      <c r="C16" s="15" t="s">
        <v>96</v>
      </c>
      <c r="D16" s="16" t="n">
        <v>0.14</v>
      </c>
      <c r="E16" s="16" t="n">
        <v>0.24</v>
      </c>
      <c r="F16" s="16" t="n">
        <v>0.38</v>
      </c>
      <c r="G16" s="16" t="n">
        <v>-3.78</v>
      </c>
      <c r="H16" s="16" t="n">
        <v>-2.97</v>
      </c>
      <c r="I16" s="16" t="n">
        <v>-2.24</v>
      </c>
      <c r="J16" s="33" t="n">
        <v>0.00123491577250101</v>
      </c>
      <c r="K16" s="9" t="n">
        <v>0</v>
      </c>
      <c r="L16" s="9" t="n">
        <v>0.6</v>
      </c>
      <c r="M16" s="9" t="n">
        <v>0</v>
      </c>
      <c r="N16" s="9" t="n">
        <v>0</v>
      </c>
    </row>
    <row r="17" customFormat="false" ht="15" hidden="false" customHeight="false" outlineLevel="0" collapsed="false">
      <c r="A17" s="15" t="s">
        <v>77</v>
      </c>
      <c r="B17" s="15" t="s">
        <v>92</v>
      </c>
      <c r="C17" s="15" t="s">
        <v>96</v>
      </c>
      <c r="D17" s="16" t="n">
        <v>1.05</v>
      </c>
      <c r="E17" s="16" t="n">
        <v>1.69</v>
      </c>
      <c r="F17" s="16" t="n">
        <v>2.58</v>
      </c>
      <c r="G17" s="16" t="n">
        <v>-1.47</v>
      </c>
      <c r="H17" s="16" t="n">
        <v>-0.02</v>
      </c>
      <c r="I17" s="16" t="n">
        <v>1.85</v>
      </c>
      <c r="J17" s="33" t="n">
        <v>0.00482514343652818</v>
      </c>
      <c r="K17" s="9" t="n">
        <v>0.4928</v>
      </c>
      <c r="L17" s="9" t="n">
        <v>0.7</v>
      </c>
      <c r="M17" s="9" t="n">
        <v>0.34496</v>
      </c>
      <c r="N17" s="9" t="n">
        <v>0.34496</v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3" t="s">
        <v>315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5" t="s">
        <v>316</v>
      </c>
      <c r="B20" s="5"/>
      <c r="C20" s="5" t="s">
        <v>317</v>
      </c>
      <c r="D20" s="5" t="s">
        <v>318</v>
      </c>
      <c r="E20" s="5" t="s">
        <v>319</v>
      </c>
      <c r="F20" s="5" t="s">
        <v>320</v>
      </c>
      <c r="G20" s="5" t="s">
        <v>306</v>
      </c>
      <c r="H20" s="5" t="s">
        <v>321</v>
      </c>
      <c r="I20" s="5" t="s">
        <v>309</v>
      </c>
      <c r="J20" s="5" t="s">
        <v>322</v>
      </c>
      <c r="K20" s="5" t="s">
        <v>323</v>
      </c>
      <c r="L20" s="5" t="s">
        <v>324</v>
      </c>
      <c r="M20" s="4"/>
      <c r="N20" s="4"/>
    </row>
    <row r="21" customFormat="false" ht="15" hidden="false" customHeight="false" outlineLevel="0" collapsed="false">
      <c r="A21" s="15" t="s">
        <v>325</v>
      </c>
      <c r="B21" s="15"/>
      <c r="C21" s="9" t="n">
        <v>0.11470935337184</v>
      </c>
      <c r="D21" s="9" t="n">
        <v>0.0615791309015985</v>
      </c>
      <c r="E21" s="9" t="n">
        <v>0.115396552014496</v>
      </c>
      <c r="F21" s="9" t="n">
        <v>0.169959922979799</v>
      </c>
      <c r="G21" s="16" t="n">
        <v>36.9</v>
      </c>
      <c r="H21" s="16" t="n">
        <v>65</v>
      </c>
      <c r="I21" s="16" t="n">
        <v>58.6</v>
      </c>
      <c r="J21" s="9" t="n">
        <v>0.61145</v>
      </c>
      <c r="K21" s="9" t="n">
        <v>0.2285</v>
      </c>
      <c r="L21" s="9" t="n">
        <v>0.01405</v>
      </c>
      <c r="M21" s="4"/>
      <c r="N21" s="4"/>
    </row>
    <row r="22" customFormat="false" ht="15" hidden="false" customHeight="false" outlineLevel="0" collapsed="false">
      <c r="A22" s="15" t="s">
        <v>326</v>
      </c>
      <c r="B22" s="15"/>
      <c r="C22" s="9" t="n">
        <v>0.0552039467336665</v>
      </c>
      <c r="D22" s="9" t="n">
        <v>0.0222230076613436</v>
      </c>
      <c r="E22" s="9" t="n">
        <v>0.055036925998051</v>
      </c>
      <c r="F22" s="9" t="n">
        <v>0.0673543226769087</v>
      </c>
      <c r="G22" s="16" t="n">
        <v>30.2</v>
      </c>
      <c r="H22" s="16" t="n">
        <v>29.7</v>
      </c>
      <c r="I22" s="16" t="n">
        <v>44.3</v>
      </c>
      <c r="J22" s="9" t="n">
        <v>0</v>
      </c>
      <c r="K22" s="9" t="n">
        <v>0</v>
      </c>
      <c r="L22" s="9" t="n">
        <v>0</v>
      </c>
      <c r="M22" s="4"/>
      <c r="N22" s="4"/>
    </row>
    <row r="23" customFormat="false" ht="15" hidden="false" customHeight="false" outlineLevel="0" collapsed="false">
      <c r="A23" s="15" t="s">
        <v>327</v>
      </c>
      <c r="B23" s="15"/>
      <c r="C23" s="9" t="n">
        <v>0.0655693187125627</v>
      </c>
      <c r="D23" s="9" t="n">
        <v>0.0113336019029391</v>
      </c>
      <c r="E23" s="9" t="n">
        <v>0.0669059035218867</v>
      </c>
      <c r="F23" s="9" t="n">
        <v>0.11297205557994</v>
      </c>
      <c r="G23" s="16" t="n">
        <v>7.4</v>
      </c>
      <c r="H23" s="16" t="n">
        <v>36.2</v>
      </c>
      <c r="I23" s="16" t="n">
        <v>16.8</v>
      </c>
      <c r="J23" s="9" t="n">
        <v>0.1982</v>
      </c>
      <c r="K23" s="9" t="n">
        <v>0.00435</v>
      </c>
      <c r="L23" s="9" t="n">
        <v>0</v>
      </c>
      <c r="M23" s="4"/>
      <c r="N23" s="4"/>
    </row>
    <row r="24" customFormat="false" ht="15" hidden="false" customHeight="false" outlineLevel="0" collapsed="false">
      <c r="A24" s="15" t="s">
        <v>292</v>
      </c>
      <c r="B24" s="15"/>
      <c r="C24" s="9" t="n">
        <v>0.114474198489721</v>
      </c>
      <c r="D24" s="9" t="n">
        <v>0.0763168896552873</v>
      </c>
      <c r="E24" s="9" t="n">
        <v>0.134682976508839</v>
      </c>
      <c r="F24" s="9" t="n">
        <v>0.19421287704953</v>
      </c>
      <c r="G24" s="16" t="n">
        <v>36.9</v>
      </c>
      <c r="H24" s="16" t="n">
        <v>74.1</v>
      </c>
      <c r="I24" s="16" t="n">
        <v>66.4</v>
      </c>
      <c r="J24" s="9" t="n">
        <v>0.75755</v>
      </c>
      <c r="K24" s="9" t="n">
        <v>0.38625</v>
      </c>
      <c r="L24" s="9" t="n">
        <v>0.0764</v>
      </c>
      <c r="M24" s="4"/>
      <c r="N2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2026-09-30T10:21:55Z</dcterms:created>
  <dc:creator>openpyxl</dc:creator>
  <dc:description/>
  <dc:language>en-US</dc:language>
  <cp:lastModifiedBy/>
  <dcterms:modified xsi:type="dcterms:W3CDTF">2026-09-30T10:21:57Z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